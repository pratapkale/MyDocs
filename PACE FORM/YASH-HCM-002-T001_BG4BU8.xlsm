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emf" ContentType="image/x-emf"/>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activeX/activeX3.xml" ContentType="application/vnd.ms-office.activeX+xml"/>
  <Override PartName="/xl/drawings/drawing2.xml" ContentType="application/vnd.openxmlformats-officedocument.drawing+xml"/>
  <Override PartName="/xl/drawings/drawing3.xml" ContentType="application/vnd.openxmlformats-officedocument.drawing+xml"/>
  <Override PartName="/xl/activeX/activeX4.xml" ContentType="application/vnd.ms-office.activeX+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5" yWindow="-15" windowWidth="9600" windowHeight="8265" tabRatio="669" activeTab="3"/>
  </bookViews>
  <sheets>
    <sheet name="PACE Form" sheetId="2" r:id="rId1"/>
    <sheet name="Rating Remarks" sheetId="9" r:id="rId2"/>
    <sheet name="KRA" sheetId="4" r:id="rId3"/>
    <sheet name="Employee Project Details" sheetId="5" r:id="rId4"/>
    <sheet name="Analytics" sheetId="3" r:id="rId5"/>
    <sheet name="KRA Inventory" sheetId="6" state="veryHidden" r:id="rId6"/>
    <sheet name="Tmp" sheetId="7" state="veryHidden" r:id="rId7"/>
    <sheet name="Back" sheetId="8" state="veryHidden" r:id="rId8"/>
  </sheets>
  <definedNames>
    <definedName name="_xlnm._FilterDatabase" localSheetId="5" hidden="1">'KRA Inventory'!$B$2:$D$314</definedName>
  </definedNames>
  <calcPr calcId="124519"/>
  <fileRecoveryPr autoRecover="0"/>
</workbook>
</file>

<file path=xl/calcChain.xml><?xml version="1.0" encoding="utf-8"?>
<calcChain xmlns="http://schemas.openxmlformats.org/spreadsheetml/2006/main">
  <c r="F168" i="4"/>
  <c r="E168"/>
  <c r="D168"/>
  <c r="C168"/>
  <c r="F164"/>
  <c r="E164"/>
  <c r="D164"/>
  <c r="C164"/>
  <c r="F161"/>
  <c r="E161"/>
  <c r="D161"/>
  <c r="C161"/>
  <c r="F158"/>
  <c r="F153"/>
  <c r="F149"/>
  <c r="F144"/>
  <c r="F140"/>
  <c r="F136"/>
  <c r="F128"/>
  <c r="F124"/>
  <c r="F119"/>
  <c r="F115"/>
  <c r="F111"/>
  <c r="F106"/>
  <c r="F102"/>
  <c r="F97"/>
  <c r="F93"/>
  <c r="F89"/>
  <c r="F81"/>
  <c r="F77"/>
  <c r="F72"/>
  <c r="F68"/>
  <c r="F64"/>
  <c r="F57"/>
  <c r="F53"/>
  <c r="F48"/>
  <c r="F44"/>
  <c r="F40"/>
  <c r="F32"/>
  <c r="F28"/>
  <c r="F23"/>
  <c r="F19"/>
  <c r="F15"/>
  <c r="C13"/>
  <c r="D13"/>
  <c r="E13"/>
  <c r="F13"/>
  <c r="F174"/>
  <c r="F178"/>
  <c r="F182"/>
  <c r="F187"/>
  <c r="F191"/>
  <c r="F199"/>
  <c r="F203"/>
  <c r="F207"/>
  <c r="F212"/>
  <c r="F216"/>
  <c r="F223"/>
  <c r="F227"/>
  <c r="F231"/>
  <c r="F236"/>
  <c r="F240"/>
  <c r="F248"/>
  <c r="F252"/>
  <c r="F256"/>
  <c r="F261"/>
  <c r="F265"/>
  <c r="F270"/>
  <c r="F274"/>
  <c r="F278"/>
  <c r="F283"/>
  <c r="F287"/>
  <c r="F295"/>
  <c r="F299"/>
  <c r="F303"/>
  <c r="F308"/>
  <c r="F312"/>
  <c r="F317"/>
  <c r="C319"/>
  <c r="D319"/>
  <c r="E319"/>
  <c r="F319"/>
  <c r="C323"/>
  <c r="D323"/>
  <c r="E323"/>
  <c r="F323"/>
  <c r="L52" i="2" l="1"/>
  <c r="K52"/>
  <c r="J52"/>
  <c r="I52"/>
  <c r="H52"/>
  <c r="G52"/>
  <c r="D368" l="1"/>
  <c r="E371" l="1"/>
  <c r="E370"/>
  <c r="L30"/>
  <c r="K30"/>
  <c r="J30"/>
  <c r="I30"/>
  <c r="H30"/>
  <c r="H28"/>
  <c r="G30"/>
  <c r="G28"/>
  <c r="L45"/>
  <c r="K45"/>
  <c r="J45"/>
  <c r="I45"/>
  <c r="H45"/>
  <c r="H43"/>
  <c r="G45"/>
  <c r="G43"/>
  <c r="L37"/>
  <c r="K37"/>
  <c r="J37"/>
  <c r="I37"/>
  <c r="H37"/>
  <c r="H35"/>
  <c r="G37"/>
  <c r="L23"/>
  <c r="K23"/>
  <c r="J23"/>
  <c r="I23"/>
  <c r="H23"/>
  <c r="G23"/>
  <c r="G22"/>
  <c r="L43"/>
  <c r="K43"/>
  <c r="J43"/>
  <c r="I43"/>
  <c r="L35"/>
  <c r="K35"/>
  <c r="J35"/>
  <c r="I35"/>
  <c r="G35"/>
  <c r="L28"/>
  <c r="K28"/>
  <c r="J28"/>
  <c r="I28"/>
  <c r="L22"/>
  <c r="K22"/>
  <c r="J22"/>
  <c r="I22"/>
  <c r="H22"/>
  <c r="D33" l="1"/>
  <c r="B5" i="3" s="1"/>
  <c r="D26" i="2"/>
  <c r="F372"/>
  <c r="D51"/>
  <c r="B7" i="3" s="1"/>
  <c r="D42" i="2"/>
  <c r="B6" i="3" s="1"/>
  <c r="E373" i="2"/>
  <c r="D378" l="1"/>
  <c r="E378"/>
  <c r="F379" s="1"/>
  <c r="F371"/>
  <c r="F373" s="1"/>
  <c r="D370"/>
  <c r="D371"/>
  <c r="D373" s="1"/>
  <c r="D377"/>
  <c r="B8" i="3"/>
  <c r="B4"/>
  <c r="E372" i="2"/>
  <c r="E374" s="1"/>
  <c r="D379" l="1"/>
  <c r="D372"/>
  <c r="D374" s="1"/>
  <c r="F375" l="1"/>
  <c r="F376"/>
  <c r="F380" s="1"/>
  <c r="F377" l="1"/>
  <c r="F374" s="1"/>
  <c r="D381" s="1"/>
  <c r="E375"/>
  <c r="E376" l="1"/>
  <c r="B9" i="3" s="1"/>
</calcChain>
</file>

<file path=xl/comments1.xml><?xml version="1.0" encoding="utf-8"?>
<comments xmlns="http://schemas.openxmlformats.org/spreadsheetml/2006/main">
  <authors>
    <author>shilpi.gupta</author>
  </authors>
  <commentList>
    <comment ref="A14" authorId="0">
      <text>
        <r>
          <rPr>
            <b/>
            <sz val="10"/>
            <color indexed="81"/>
            <rFont val="Tahoma"/>
            <family val="2"/>
          </rPr>
          <t>In SECTION 3, it is mandatory for an Appraisee to specify “Employee Status” along with other relevant information. 
a) If the selected Employee Status is “Billable/Shared Resource” please specify details of project(s) handled along with complete information pertaining to the projects handled during the Review Period. 
b) If an Appraisee has been On Bench / On Training, details of duration &amp; other relevant information have to be provided. 
c) Incase in the review period; Appraisee had multiple Employee Statuses; please specify each status and relevant information in different rows. For Ex: Appraisee has been for initial 3 months was on Training then the Employee Status chosen would be “Under Training” and then relevant information; for next 3 months was on “A” project then in next row would choose Employee Status as “Billable” and relevant information. For next 6 months was on “B” project then in next row would choose Employee Status as “Billable” and relevant information.
1) Click on Hyperlink to go to Project Details Sheet.
2) Fill in all mandatory fields of information related to Project(s) handled.
3) Click on Hyperlink to go back to PACE Form.
This shall be further concurred by Appraiser. Incase after reviewing the information Appraiser makes any amendment in the sheet;he/she has to inform Appraisee accordingly.</t>
        </r>
      </text>
    </comment>
    <comment ref="C392" authorId="0">
      <text>
        <r>
          <rPr>
            <sz val="8"/>
            <color indexed="81"/>
            <rFont val="Tahoma"/>
            <family val="2"/>
          </rPr>
          <t xml:space="preserve">Training Requisition/Certifications/other Education Programs can also be recommended.
</t>
        </r>
      </text>
    </comment>
  </commentList>
</comments>
</file>

<file path=xl/comments2.xml><?xml version="1.0" encoding="utf-8"?>
<comments xmlns="http://schemas.openxmlformats.org/spreadsheetml/2006/main">
  <authors>
    <author>shilpi.gupta</author>
    <author>Laveena Nabar</author>
  </authors>
  <commentList>
    <comment ref="B3" authorId="0">
      <text>
        <r>
          <rPr>
            <b/>
            <sz val="8"/>
            <color indexed="81"/>
            <rFont val="Tahoma"/>
            <family val="2"/>
          </rPr>
          <t xml:space="preserve"> It is mandatory for an Appraisee to specify “Employee Status” along with other relevant information. 
a) If the selected Employee Status is “Billable/Shared Resource” please specify details of project(s) handled along with complete information pertaining to the projects handled during the Review Period. 
b) If an Appraisee has been On Bench / On Training, details of duration &amp; other relevant information have to be provided. 
c) Incase in the review period; Appraisee had multiple Employee Status; please specify each status and relevant information in different rows. For Ex: Appraisee has been for initial 3 months was on Training then the Employee Status chosen would be “Under Training” and then relevant information; for next 3 months was on “A” project then in next row would choose Employee Status as “Billable” and relevant information. For next 6 months was on “B” project then in next row would choose Employee Status as “Billable” and relevant information.
Click on Hyperlink to go back to PACE Form.
This shall be further concurred by Appraiser. Incase after reviewing the information Appraiser makes any amendment in the sheet;he/she has to inform Appraisee accordingly.</t>
        </r>
        <r>
          <rPr>
            <sz val="8"/>
            <color indexed="81"/>
            <rFont val="Tahoma"/>
            <family val="2"/>
          </rPr>
          <t xml:space="preserve">
</t>
        </r>
      </text>
    </comment>
    <comment ref="C3" authorId="1">
      <text>
        <r>
          <rPr>
            <sz val="8"/>
            <color indexed="81"/>
            <rFont val="Tahoma"/>
            <family val="2"/>
          </rPr>
          <t>Incase, Employee status is Others; please specify nature of occupancy.</t>
        </r>
      </text>
    </comment>
    <comment ref="D3" authorId="1">
      <text>
        <r>
          <rPr>
            <sz val="8"/>
            <color indexed="81"/>
            <rFont val="Tahoma"/>
            <family val="2"/>
          </rPr>
          <t>Incase, Employee Status is Billable or Shadow resource; please specify the Name of Project. Incase Employee Status is Under Training for Immediate Project Mapping, Under Training for Future Project Mapping, Under Training, pls specify Training Name and description of it.</t>
        </r>
      </text>
    </comment>
    <comment ref="F3" authorId="0">
      <text>
        <r>
          <rPr>
            <sz val="8"/>
            <color indexed="81"/>
            <rFont val="Tahoma"/>
            <family val="2"/>
          </rPr>
          <t xml:space="preserve">
Incase Employee Status is Under Training for Immediate Project Mapping, Under Training for Future Project Mapping, Under Training, pls specify Start Date of Training.</t>
        </r>
      </text>
    </comment>
    <comment ref="K3" authorId="1">
      <text>
        <r>
          <rPr>
            <sz val="8"/>
            <color indexed="81"/>
            <rFont val="Tahoma"/>
            <family val="2"/>
          </rPr>
          <t>Incase Employee is deputed at client location.</t>
        </r>
      </text>
    </comment>
    <comment ref="M3" authorId="0">
      <text>
        <r>
          <rPr>
            <sz val="8"/>
            <color indexed="81"/>
            <rFont val="Tahoma"/>
            <family val="2"/>
          </rPr>
          <t xml:space="preserve">
Incase Employee Status is Under Training for Immediate Project Mapping, Under Training for Future Project Mapping, Under Training, pls specifyEnd Date of Training.</t>
        </r>
      </text>
    </comment>
  </commentList>
</comments>
</file>

<file path=xl/sharedStrings.xml><?xml version="1.0" encoding="utf-8"?>
<sst xmlns="http://schemas.openxmlformats.org/spreadsheetml/2006/main" count="2048" uniqueCount="366">
  <si>
    <t>S</t>
  </si>
  <si>
    <t>Service Excellence</t>
  </si>
  <si>
    <t>Rating   (S – P – D – I - N)</t>
  </si>
  <si>
    <t>P</t>
  </si>
  <si>
    <t>Appraisee</t>
  </si>
  <si>
    <t>D1</t>
  </si>
  <si>
    <t>D</t>
  </si>
  <si>
    <t>I</t>
  </si>
  <si>
    <t>N</t>
  </si>
  <si>
    <t>Description</t>
  </si>
  <si>
    <t>Defining Client Needs</t>
  </si>
  <si>
    <t>Meets client needs by acting with a sense of poise, urgency, practicality and integrity within the standards set by the management.  Executes the client service plan so that commitments are met, potential problems are anticipated and surprises avoided.  Establishes effective and creative communications, both internal and external, to enhance client perceptions of the value and quality of our service.</t>
  </si>
  <si>
    <t>Retaining the Client</t>
  </si>
  <si>
    <t>Constantly strives to improve quality of service performance and strengthen our relationships with key client personnel to facilitate effective communication and foster greater loyalty.</t>
  </si>
  <si>
    <t>Management Effectiveness</t>
  </si>
  <si>
    <t>Making Decisions</t>
  </si>
  <si>
    <t>Implementing</t>
  </si>
  <si>
    <t>Communicates decisions and keeps other members well-informed. Balances a number of responsibilities in the face of competing priorities and recognizes relative importance and urgency.  Builds skills and capabilities in all appropriate competency areas.</t>
  </si>
  <si>
    <t xml:space="preserve">Following Through </t>
  </si>
  <si>
    <t>Actively seeks performance feedback and guidance that contributes to ongoing development.</t>
  </si>
  <si>
    <t>Leadership Effectiveness</t>
  </si>
  <si>
    <t>Creating a Vision</t>
  </si>
  <si>
    <t>Challenges the status quo.  Embraces change and exhibits flexibility.  Maintains a positive attitude with respect to our increasingly changing operating environment.</t>
  </si>
  <si>
    <t>Developing Commitment</t>
  </si>
  <si>
    <t>Supports function and firm goals and objectives by committing oneself to their achievement and by providing a positive example.</t>
  </si>
  <si>
    <t>Achieving Results</t>
  </si>
  <si>
    <t>Holds self accountable for ensuring that results are achieved.</t>
  </si>
  <si>
    <t>Team Playing</t>
  </si>
  <si>
    <t>Knows and applies global shared beliefs.  Contributes to knowledge sharing network.  Demonstrates an understanding and appreciation of the cultural diversity present in the business environment.</t>
  </si>
  <si>
    <t>Overall rating</t>
  </si>
  <si>
    <t>Strengths</t>
  </si>
  <si>
    <t>Development Needs</t>
  </si>
  <si>
    <t>Proposed Designation/Grade</t>
  </si>
  <si>
    <t>Proposed new CTC</t>
  </si>
  <si>
    <t>Approved Designation/Grade</t>
  </si>
  <si>
    <t>Approved new CTC</t>
  </si>
  <si>
    <t xml:space="preserve">Rating </t>
  </si>
  <si>
    <t>Definition</t>
  </si>
  <si>
    <t xml:space="preserve">An evaluation rating directly translates to an overall year end rating. The year end rating also takes into consideration factors such as:  contribution to firm initiatives, level of commitment to the firm, contribution to the practice success, and also considers the Team Lead’s and Leadership Inputs. </t>
  </si>
  <si>
    <t xml:space="preserve">Leading performance.  Sustained excellent achievement and distinguished performance. Some of the characteristics you might have observed include:
• Highly sought after by others
• Exemplary demonstration of all attributes
• Willingly accepts all assigned responsibilities and consistently seeks to accept new responsibilities without requiring additional supervision
• Demonstrates an interest and initiative in the development of others
• Exhibits extraordinary involvement in practice office activities
• Surpasses all planned accomplishments agreed to in Professional Development Plan
</t>
  </si>
  <si>
    <t xml:space="preserve">Exceptional performance.  Fulfilled all assigned responsibilities and consistently produced high quality results. Has normal developmental issues for his/her position or level. Some of the characteristics you might have observed include:
• Consistently strong performance on projects and daily tasks
• Strong demonstration of all attributes
• Willingly accepts all assigned responsibilities without requiring additional supervision
• Recognized as strong contributor to practice success
• Above average involvement in practice office activities
• Accomplishes all planned accomplishments agreed to in Professional Development Plan
</t>
  </si>
  <si>
    <t xml:space="preserve">Improvement required.  Satisfactory and sustained performance expected within 6-9 months.  Some of the characteristics you might have observed include:
• Inconsistent/uneven performance on projects and daily tasks
• Failure to demonstrate some attributes
• Completes tasks with significant supervision
• Minimal involvement in practice office activities
• Makes limited progress on planned accomplishments
</t>
  </si>
  <si>
    <t xml:space="preserve">Below minimum expectations. Development needs too significant to expect immediate, improved and sustained performance. Some of the characteristics you might have observed include:
• Consistently poor performance on projects and daily tasks
• Failure to demonstrate a number of attributes
• Does not meet or makes very limited progress on planned accomplishments
</t>
  </si>
  <si>
    <t>Organization Citizenship</t>
  </si>
  <si>
    <t>Initiatives and Achievement</t>
  </si>
  <si>
    <t>Buddy Program</t>
  </si>
  <si>
    <t xml:space="preserve">Strong performance.  Fulfilled all assigned responsibilities and generally produced high quality results.  Some improvement opportunities may be identified. Some of the characteristics you might have observed include:
• Overall solid performance on projects and daily tasks
• Strong demonstration of all attributes
• Fulfils assigned responsibilities with minimal supervision
• Contributes to practice success
• Average involvement in practice office activities
• Accomplishes most planned accomplishments agreed to in Professional Development Plan
</t>
  </si>
  <si>
    <t>Ethical and Behavioral Compliance</t>
  </si>
  <si>
    <t>Appraiser (HR)</t>
  </si>
  <si>
    <t>Team Development</t>
  </si>
  <si>
    <t>Demonstrates a frank and forthright attitude with an ability to adapt to changing circumstances while adhering to values of the organization.</t>
  </si>
  <si>
    <t>Takes active participation in Buddy Program Interacts effectively and maintains positive relationships with peers and subordinates; motivates and inspires others; treats people with respect.</t>
  </si>
  <si>
    <t>KRA =</t>
  </si>
  <si>
    <t>Others =</t>
  </si>
  <si>
    <t>KRA</t>
  </si>
  <si>
    <t>Overall Rating</t>
  </si>
  <si>
    <t>Cumulative Rating:</t>
  </si>
  <si>
    <t>To view the graphical analysis please view the Analysis Sheet.</t>
  </si>
  <si>
    <t>1.0  PURPOSE</t>
  </si>
  <si>
    <t>Date:</t>
  </si>
  <si>
    <t xml:space="preserve"> Technical Skills/KRA</t>
  </si>
  <si>
    <t>Description of KRAs</t>
  </si>
  <si>
    <t>Training Needs</t>
  </si>
  <si>
    <t>Remarks</t>
  </si>
  <si>
    <t>Appraisal Cycle: January - December.</t>
  </si>
  <si>
    <t xml:space="preserve">Actively participates in decision making. Seeks to understand the broader impact of current decisions.  </t>
  </si>
  <si>
    <t xml:space="preserve">Listens actively to determine the clients’ needs and expectations, and participates in the development of the overall client service plan.  Conveys a genuine interest in and understanding of the clients’ business &amp; industry. </t>
  </si>
  <si>
    <t xml:space="preserve">Serving the Client   </t>
  </si>
  <si>
    <t xml:space="preserve">Competency    </t>
  </si>
  <si>
    <r>
      <t xml:space="preserve">The purpose of this section is to provide a description of KRAs of the identified designations. Employees in the </t>
    </r>
    <r>
      <rPr>
        <b/>
        <sz val="11"/>
        <rFont val="Calibri"/>
        <family val="2"/>
      </rPr>
      <t xml:space="preserve">Grade Band T-E5 </t>
    </r>
    <r>
      <rPr>
        <sz val="11"/>
        <rFont val="Calibri"/>
        <family val="2"/>
      </rPr>
      <t>could be covered.</t>
    </r>
  </si>
  <si>
    <t>Name of the Project</t>
  </si>
  <si>
    <t>Client Name</t>
  </si>
  <si>
    <t>Client Reporting Manager</t>
  </si>
  <si>
    <t>Employee Status</t>
  </si>
  <si>
    <t>Project End Date</t>
  </si>
  <si>
    <t>Sr. No.</t>
  </si>
  <si>
    <t>Project Start date</t>
  </si>
  <si>
    <t>Billable</t>
  </si>
  <si>
    <t>Non- Billable</t>
  </si>
  <si>
    <t>Shadow Resource</t>
  </si>
  <si>
    <t>On Bench</t>
  </si>
  <si>
    <t>Mode of Project Handling</t>
  </si>
  <si>
    <t>Individual</t>
  </si>
  <si>
    <t>Team</t>
  </si>
  <si>
    <t>Role in Project</t>
  </si>
  <si>
    <t>Immediate Reporting Manager (RM1)</t>
  </si>
  <si>
    <t>Secondary Reporting Manager (RM2)</t>
  </si>
  <si>
    <t>Under Training</t>
  </si>
  <si>
    <t>Others</t>
  </si>
  <si>
    <t>Others; please specify</t>
  </si>
  <si>
    <t>Delivery Head</t>
  </si>
  <si>
    <t>Click here to go back to PACE Form</t>
  </si>
  <si>
    <t xml:space="preserve">Current Designation: </t>
  </si>
  <si>
    <t>Learning and Development</t>
  </si>
  <si>
    <t>Adherance to HR Policies &amp; Process</t>
  </si>
  <si>
    <t>Code of Conduct</t>
  </si>
  <si>
    <t>Trains, guides, and assists fellow employees; plays an active role in training and development of team.</t>
  </si>
  <si>
    <t>To be filled by Appraisee</t>
  </si>
  <si>
    <t>To be filled by Appraiser</t>
  </si>
  <si>
    <r>
      <t>2.0  KEY INFORMATION</t>
    </r>
    <r>
      <rPr>
        <b/>
        <sz val="10"/>
        <rFont val="Calibri"/>
        <family val="2"/>
        <scheme val="minor"/>
      </rPr>
      <t xml:space="preserve"> - to be completed by Appraisee</t>
    </r>
  </si>
  <si>
    <t>Appraiser (Reporting Manager)</t>
  </si>
  <si>
    <t xml:space="preserve">Overall rating by Appraiser(s): </t>
  </si>
  <si>
    <r>
      <t xml:space="preserve">2.0  KEY INFORMATION </t>
    </r>
    <r>
      <rPr>
        <b/>
        <sz val="10"/>
        <rFont val="Calibri"/>
        <family val="2"/>
        <scheme val="minor"/>
      </rPr>
      <t>- to be completed Appraiser</t>
    </r>
  </si>
  <si>
    <t>Deals with professionalism, honesty and integrity, while conforming to high moral and ethical standards.</t>
  </si>
  <si>
    <t>Technical Competency/ Softskills</t>
  </si>
  <si>
    <t>No. of Hours</t>
  </si>
  <si>
    <t>Takes active participation in Training Programs. Learns appropriate new work-related skills and procedures to keep up with dynamic work environment and business needs.</t>
  </si>
  <si>
    <t xml:space="preserve">Appraiser's Name (Reporting Manager): </t>
  </si>
  <si>
    <t>Remarks: Cumulative rating contains the weighted average of overall rating done by Appraiser(s).</t>
  </si>
  <si>
    <t>Remarks by Reporting Manager</t>
  </si>
  <si>
    <t>Remarks by HR</t>
  </si>
  <si>
    <t>Remarks by Business Unit Head</t>
  </si>
  <si>
    <t>Strengths, Developmental &amp; Training Needs</t>
  </si>
  <si>
    <t>Provide qualitative feedback and actively participates in the engagement activities and events conducted at YASH.</t>
  </si>
  <si>
    <r>
      <t xml:space="preserve">4.0  COMPETENCIES </t>
    </r>
    <r>
      <rPr>
        <b/>
        <sz val="10"/>
        <rFont val="Calibri"/>
        <family val="2"/>
        <scheme val="minor"/>
      </rPr>
      <t>– to be completed by Appraisee and Appraiser</t>
    </r>
  </si>
  <si>
    <t>4.1 Service Excellence</t>
  </si>
  <si>
    <t>4.2 Management Effectiveness</t>
  </si>
  <si>
    <t>4.3 Organization Citizenship</t>
  </si>
  <si>
    <t>4.4 Leadership Effectiveness</t>
  </si>
  <si>
    <r>
      <t xml:space="preserve">8.0  OVERALL PERFORMANCE RATING - </t>
    </r>
    <r>
      <rPr>
        <b/>
        <sz val="10"/>
        <rFont val="Calibri"/>
        <family val="2"/>
        <scheme val="minor"/>
      </rPr>
      <t>by Business Unit Head</t>
    </r>
  </si>
  <si>
    <t>10.0  RATING GUIDELINES</t>
  </si>
  <si>
    <r>
      <t xml:space="preserve">5.0  COMPETENCY DESCRIPTION </t>
    </r>
    <r>
      <rPr>
        <b/>
        <sz val="10"/>
        <rFont val="Calibri"/>
        <family val="2"/>
        <scheme val="minor"/>
      </rPr>
      <t>-  to be completed by Appraisee and Appraiser</t>
    </r>
  </si>
  <si>
    <t>BUH Final Rating (BUH):</t>
  </si>
  <si>
    <t>Role</t>
  </si>
  <si>
    <t>Parameters</t>
  </si>
  <si>
    <t>Project Manager</t>
  </si>
  <si>
    <t/>
  </si>
  <si>
    <r>
      <t xml:space="preserve">Other Designation
</t>
    </r>
    <r>
      <rPr>
        <b/>
        <sz val="9"/>
        <rFont val="Calibri"/>
        <family val="2"/>
        <scheme val="minor"/>
      </rPr>
      <t>(pls specify "Other Designation" only when in "Current Designation" "Others" option is selected)</t>
    </r>
  </si>
  <si>
    <t xml:space="preserve">Review Period      </t>
  </si>
  <si>
    <t xml:space="preserve">Appraiser's Designation: </t>
  </si>
  <si>
    <r>
      <t xml:space="preserve">6.0 CAREER DEVELOPMENT PLAN (CDP) </t>
    </r>
    <r>
      <rPr>
        <b/>
        <sz val="10"/>
        <rFont val="Calibri"/>
        <family val="2"/>
        <scheme val="minor"/>
      </rPr>
      <t>– to be completed by Appraiser</t>
    </r>
  </si>
  <si>
    <t>4.5 Technical Skills/KRA                                                                                                                             (Goals and Objectives (G's &amp; O's))</t>
  </si>
  <si>
    <t>envision</t>
  </si>
  <si>
    <r>
      <t>3.0  KRA (Goals and Objectives (G's &amp; O's))</t>
    </r>
    <r>
      <rPr>
        <b/>
        <sz val="10"/>
        <rFont val="Calibri"/>
        <family val="2"/>
        <scheme val="minor"/>
      </rPr>
      <t xml:space="preserve">- to be completed Appraiser </t>
    </r>
  </si>
  <si>
    <r>
      <t xml:space="preserve">7.0 OVERALL APPRAISERS' REMARKS </t>
    </r>
    <r>
      <rPr>
        <b/>
        <sz val="10"/>
        <rFont val="Calibri"/>
        <family val="2"/>
        <scheme val="minor"/>
      </rPr>
      <t>- to be completed by Appraisers</t>
    </r>
  </si>
  <si>
    <t>For KRA Setting for forthcoming year please click here.</t>
  </si>
  <si>
    <t>Software Engineer</t>
  </si>
  <si>
    <t>Development/Programming</t>
  </si>
  <si>
    <t>Demonstrates ability in writing simple and medium programs without guidance and complex programs with guidance, debugging programs.</t>
  </si>
  <si>
    <t>Demonstrates ability in writing specifications for simple and medium programs.</t>
  </si>
  <si>
    <t>Demonstrates ability to review  simple program code for adherence to standards and specifications.</t>
  </si>
  <si>
    <t>Technology</t>
  </si>
  <si>
    <t>Demonstrates ability  in understanding and usage of features of platform.</t>
  </si>
  <si>
    <t>Demonstrates ability to debug code and /or optimize performance.</t>
  </si>
  <si>
    <t>Testing</t>
  </si>
  <si>
    <t>Demonstrates ability to create unit test plans for small and medium programs.</t>
  </si>
  <si>
    <t>Applies technology with guidance</t>
  </si>
  <si>
    <t>Theoretical knowledge of concepts and technology</t>
  </si>
  <si>
    <t>Level of Autonomy</t>
  </si>
  <si>
    <t>Works under direct supervision with specific instructions.</t>
  </si>
  <si>
    <t>People Management</t>
  </si>
  <si>
    <t>User Interface Specialist</t>
  </si>
  <si>
    <t>Mock-ups</t>
  </si>
  <si>
    <t>Create designs, concepts, and sample layouts based on knowledge of layout principles and esthetic design concepts for clients/ stakeholders</t>
  </si>
  <si>
    <t>Graphic Design and Development</t>
  </si>
  <si>
    <t>Requirements gathering, visualize, design, develop and suggest graphic needs in projects</t>
  </si>
  <si>
    <t>Requirements gathering, visualize, design, develop and recommend appropriate UI elements and manage</t>
  </si>
  <si>
    <t>Usability and acceptance</t>
  </si>
  <si>
    <t>Periodically run and evaluate usability testing of design works</t>
  </si>
  <si>
    <t>Learn, adopt and incorporate basic branding principles for corporate, clients, products or services</t>
  </si>
  <si>
    <t>Research trends, experiment new tools n technologies to be used for designing and recommend and use them in projects accordingly</t>
  </si>
  <si>
    <t>Interact with team, client teams and understand and share the ideas and recommendations for design. Suggest or follow defined timelines for deliveries</t>
  </si>
  <si>
    <t>Provide Thought leadership &amp; motivation to the team</t>
  </si>
  <si>
    <t>Day to day management of team.</t>
  </si>
  <si>
    <t>Sr. Software Engineer</t>
  </si>
  <si>
    <t>Demonstrates ability to understand functional requirements of simple transactions.</t>
  </si>
  <si>
    <t>Estimation</t>
  </si>
  <si>
    <t>Demonstrates ability in carrying out impact analysis and effort estimation for minor changes.</t>
  </si>
  <si>
    <t>Demonstrates ability in writing complex programs without guidance in understanding others programs.</t>
  </si>
  <si>
    <t>Demonstrates ability to review medium and complex programs code for adherence to standards and specifications.</t>
  </si>
  <si>
    <t>Demonstrates ability in writing and changing specifications for simple and medium programs, writing specifications for complex  programs.</t>
  </si>
  <si>
    <t>Demonstrates ability to manage configuration at a single location.</t>
  </si>
  <si>
    <t>Demonstrates ability  in the usage of platform features to improve efficiency and quality.</t>
  </si>
  <si>
    <t>Demonstrates ability to isolate problem domain across language or platform and provide work around.</t>
  </si>
  <si>
    <t>Demonstrates ability to create unit test plans for complex programs.</t>
  </si>
  <si>
    <t>Has a good practical understanding of technology and its application</t>
  </si>
  <si>
    <t>Works under general supervision with few direct instructions.</t>
  </si>
  <si>
    <t>Carries out routine and semi-routine tasks.</t>
  </si>
  <si>
    <t>Guide for freshers and SE's</t>
  </si>
  <si>
    <t>Tech Lead</t>
  </si>
  <si>
    <t>Demonstrates ability to work with customer to capture requirements and assist project management team in scoping and planning.</t>
  </si>
  <si>
    <t>Demonstrates ability of data collection.</t>
  </si>
  <si>
    <t>Demonstrates ability to understand requirements for complex business processes.</t>
  </si>
  <si>
    <t>Demonstrates ability in application design.</t>
  </si>
  <si>
    <t>Demonstrates ability to create physical design for simple applications.</t>
  </si>
  <si>
    <t>Demonstrates ability to define the data structures for a module</t>
  </si>
  <si>
    <t>Demonstrates ability to design prototypes for demonstrating UI features.</t>
  </si>
  <si>
    <t>Demonstrates ability to understand the functionality of the project being executed.</t>
  </si>
  <si>
    <t>Demonstrates ability in carrying out impact analysis and effort estimation for major changes or new development and project / modules.</t>
  </si>
  <si>
    <t>Demonstrates ability  in changing specifications for complex programs. Reviewing others specifications.</t>
  </si>
  <si>
    <t>Demonstrates ability to identify risks.</t>
  </si>
  <si>
    <t>Project Management</t>
  </si>
  <si>
    <t>Demonstrates ability to create project plan for a project having less than 10 persons at peak.</t>
  </si>
  <si>
    <t>Demonstrates ability in the usage of planning and monitoring tools.</t>
  </si>
  <si>
    <t>Demonstrates ability to monitor project progress and take corrective action in case of deviation.</t>
  </si>
  <si>
    <t>Demonstrates release &amp; configuration management capabilities for the project.</t>
  </si>
  <si>
    <t>Demonstrate ability to interact with Customer for functional/technical issues</t>
  </si>
  <si>
    <t>Demonstrates ability to identify features of new technology independently</t>
  </si>
  <si>
    <t>Demonstrates ability to identify &amp; plan infrastructure requirements of the project.</t>
  </si>
  <si>
    <t>Demonstrates ability to manage changes and bugs reported during integration and acceptance testing.</t>
  </si>
  <si>
    <t>Demonstrates ability to review integration and/or regression test plans for large programs.</t>
  </si>
  <si>
    <t>Demonstrates ability to validate/ verify test cases &amp; work with customer to provide test data.</t>
  </si>
  <si>
    <t>Good grasp of technology and tools used for development</t>
  </si>
  <si>
    <t>Beginner in project management and/or architect skills</t>
  </si>
  <si>
    <t>Works under minimal supervision</t>
  </si>
  <si>
    <t>Day to day management of team on technical issues (Technical guide).</t>
  </si>
  <si>
    <t>Provide Technology, Design, Coding and Thought leadership to the team</t>
  </si>
  <si>
    <t>Module Lead</t>
  </si>
  <si>
    <t>Demonstrates ability in application design for a module.</t>
  </si>
  <si>
    <t>Demonstrates ability to manage changes and bugs reported during Acceptance/integration testing.</t>
  </si>
  <si>
    <t>Works under broad supervision</t>
  </si>
  <si>
    <t>Technical guide.</t>
  </si>
  <si>
    <t>Sr. Tech Lead</t>
  </si>
  <si>
    <t>Demonstrates ability to architect solutions for complex applications</t>
  </si>
  <si>
    <t>Demonstrate ability to provide inputs on creating and implementing risk mitigation plans related to Technology Aspects of a project.</t>
  </si>
  <si>
    <t>Demonstrates the ability to understand the project plans to ensure that all delivery milestones are met in discussion with project management team</t>
  </si>
  <si>
    <t>Demonstrates ability to convince all affected parties on the legitimacy of the changes and their commercial &amp; time implication.</t>
  </si>
  <si>
    <t xml:space="preserve">Demonstrates ability to effectively create and maintain relevant project documents as per the defined area of responsibility for the project </t>
  </si>
  <si>
    <t>UI Lead</t>
  </si>
  <si>
    <t>requirements gathering, visualize, design, develop and recommend appropriate UI elements and manage</t>
  </si>
  <si>
    <t>periodically run and evaluate usability testing of design works</t>
  </si>
  <si>
    <t>learn, adopt and incorporate basic branding principles for corporate, clients, products or services</t>
  </si>
  <si>
    <t>research trends, experiment new tools n technologies to be used for designing and recommend and use them in projects accordingly</t>
  </si>
  <si>
    <t>interact with team, client teams and understand and share the ideas and recommendations for design. Suggest or follow defined timelines for deliveries</t>
  </si>
  <si>
    <t>Business Analyst</t>
  </si>
  <si>
    <t>Requirements Gathering</t>
  </si>
  <si>
    <t>Demonstrates ability to elicit requirements using interviews, document analysis, requirements workshops, surveys, client visits, business process descriptions, use cases, scenarios/stories, business analysis, task and workflow analysis.</t>
  </si>
  <si>
    <t>Demonstrates ability to showcase strong analytical and product management skills, including a thorough understanding of how to interpret customer business needs and translate them into application and operational requirements.</t>
  </si>
  <si>
    <t>Demonstrates ability to act as a conduit between customer and team through which requirements flow.</t>
  </si>
  <si>
    <t>Demonstrate ability to critically evaluate information gathered from multiple sources, reconcile conflicts, decompose high-level information with details, abstract up from low-level information to a general understanding &amp; distinguish user requests from the underlying true needs.</t>
  </si>
  <si>
    <t>Demonstrate ability to communicate proactively and collaborate with customers to analyze information needs and functional requirements</t>
  </si>
  <si>
    <t>Demonstrates ability to provide initial training and documentation to key users as new functionality or project is rolled out.</t>
  </si>
  <si>
    <t>Demonstrates ability to clearly define Project Objectives.</t>
  </si>
  <si>
    <t>Demonstrates ability to create project Work Breakdown Structure.</t>
  </si>
  <si>
    <t>Demonstrate ability to develop a manageable project schedule.</t>
  </si>
  <si>
    <t>Demonstrates ability to have a high level understanding of the technologies to be used in the project in order to provide an effective solution.</t>
  </si>
  <si>
    <t>Demonstrates ability to coordinate and manage the execution of the User Acceptance Testing.</t>
  </si>
  <si>
    <t>Demonstrates ability to review test plans, test cases, test scripts &amp; objectives.</t>
  </si>
  <si>
    <t>Good grasp of Business Analysis Skills and tools used for multiple engagements.</t>
  </si>
  <si>
    <t>Demonstrates ability to work independently with Users &amp; team to define concepts and under direction of Project Managers.</t>
  </si>
  <si>
    <t>Demonstrates ability to direct and coordinate work of any team members as required to meet project goals.</t>
  </si>
  <si>
    <t>Project lead</t>
  </si>
  <si>
    <t>Demonstrates ability to work with customer to capture requirements  &amp; resolving issues.</t>
  </si>
  <si>
    <t>Demonstrates ability to understand interactions between multiple functions &amp; systems.</t>
  </si>
  <si>
    <t>Demonstrates ability in designing of base classes and common components for a project.</t>
  </si>
  <si>
    <t>Demonstrates ability to design prototypes to demonstrate business functionality.</t>
  </si>
  <si>
    <t>Demonstrates ability to understand the generic requirements of a function or a module.</t>
  </si>
  <si>
    <t>Demonstrates ability to guide team in case of any complex issues.</t>
  </si>
  <si>
    <t>Demonstrates ability to create project plan for a project having more than 10 persons at peak.</t>
  </si>
  <si>
    <t>Demonstrates ability to schedule activities in a project to meet milestone objectives in an unstable environment without loss of utilization.</t>
  </si>
  <si>
    <t>Demonstrate ability to create and implement risk mitigation plans.</t>
  </si>
  <si>
    <t>Demonstrates ability to forecast project progress and take pre-emptive action to prevent deviations.</t>
  </si>
  <si>
    <t>Demonstrates the ability to review project plan to ensure that all delivery milestones are met.</t>
  </si>
  <si>
    <t>Demonstrates ability to use metrics to predict trends and decide on future course of action.</t>
  </si>
  <si>
    <t>Demonstrates ability to effectively create and maintain project documents as per the defined standard process for the project.</t>
  </si>
  <si>
    <t>Demonstrates ability to have a high level understanding of the technologies to be used in the project in order to effectively guide team.</t>
  </si>
  <si>
    <t>Demonstrates ability to define acceptance test criteria and acceptance test strategy.</t>
  </si>
  <si>
    <t>Demonstrates ability to evaluate and implement integration and/or regression testing tool to improve testing.</t>
  </si>
  <si>
    <t>Demonstrates ability to implement and effectively monitor defect tracking tools and extract the required metrics for successful completion of testing phases.</t>
  </si>
  <si>
    <t>Medium level expertise  in project management.</t>
  </si>
  <si>
    <t>Demonstrates ability to work under no supervision.</t>
  </si>
  <si>
    <t>Day to day management of team on non-technical issues (Project  guide).</t>
  </si>
  <si>
    <t>Demonstrates ability to suggest improvements and generate alternatives for existing processes.</t>
  </si>
  <si>
    <t>Demonstrates ability to understand the functional requirements for the target industry.</t>
  </si>
  <si>
    <t>Demonstrates ability to guide team in coming up with effective and optimal design and reviewing the same.</t>
  </si>
  <si>
    <t>Demonstrates ability in reviewing and fine-tuning estimation of effort and schedule for multiphase/iterative deliveries.</t>
  </si>
  <si>
    <t>Demonstrates ability to guide team in coming up with optimal solution.</t>
  </si>
  <si>
    <t>Demonstrates ability to create full scale project plans, including but not limited to , scope, schedule, risk, communication &amp; so on.</t>
  </si>
  <si>
    <t>Demonstrates the ability to manage a crisis by working with the customer as a team.</t>
  </si>
  <si>
    <t>Demonstrates ability to understand the business perspective of the project.</t>
  </si>
  <si>
    <t>Demonstrates ability to identify critical metrics for meeting project objectives.</t>
  </si>
  <si>
    <t>Demonstrates ability to identify project documents &amp; its content structure as per the defined standard process for the project.</t>
  </si>
  <si>
    <t>Demonstrates ability to have a high level understanding of the technologies from solutioning perspective to be used in the project in order to effectively guide team.</t>
  </si>
  <si>
    <t>Advanced Skills expertise  in project management.</t>
  </si>
  <si>
    <t>Day to day management of team and leads.</t>
  </si>
  <si>
    <t>Technical Project Manager</t>
  </si>
  <si>
    <t>Demonstrates ability to create high level project execution strategy (i.e. Proposals, SoWs) to meet commercial and milestone objectives.</t>
  </si>
  <si>
    <t>Demonstrates ability to schedule activities across projects to meet milestone objectives in an unstable environment without loss of utilization.</t>
  </si>
  <si>
    <t>Demonstrate ability to create contingency plans to minimize impact of risk materialization.</t>
  </si>
  <si>
    <t>Demonstrate ability of the usage of office automation tools to improve management productivity.</t>
  </si>
  <si>
    <t>Demonstrates ability to monitor multiple projects or projects with multiple modules and meet objectives.</t>
  </si>
  <si>
    <t>Demonstrates the ability to review multiple projects plans to ensure that they are meeting all stakeholders objectives.</t>
  </si>
  <si>
    <t>Sr. Project Manager</t>
  </si>
  <si>
    <t>Technical Manager</t>
  </si>
  <si>
    <t>Sr.Technical Manager</t>
  </si>
  <si>
    <t>UI Design and Development</t>
  </si>
  <si>
    <t>Web Design and Development</t>
  </si>
  <si>
    <t>Branding and Communications</t>
  </si>
  <si>
    <t>Designing tools and technologies</t>
  </si>
  <si>
    <t>Team coordination and deadlines</t>
  </si>
  <si>
    <t>Analysis and Design</t>
  </si>
  <si>
    <t>Skills and Knowledge</t>
  </si>
  <si>
    <t>Core Competency:</t>
  </si>
  <si>
    <t>Leads by example through exhibiting culturally appropriate behaviour and adhering to HR policies &amp; process.</t>
  </si>
  <si>
    <t>Demonstrate ability of the usage of tools to analyze project data and predict behavior.</t>
  </si>
  <si>
    <t>Demonstrates ability to provide guidance to QA team for system behavior and identify scenarios which would be suitable to test.</t>
  </si>
  <si>
    <t>Possesses good current industry knowledge for the engagement being involved.</t>
  </si>
  <si>
    <t>Demonstrates ability in estimation of effort and schedule for single-phase or multiphase/iterative deliveries.</t>
  </si>
  <si>
    <t>Good grasp of Business Analysis, Project Management &amp; other tools used for a given engagement.</t>
  </si>
  <si>
    <t>Demonstrates ability to fulfill required infrastructure needs (i.e. User IDs, Servers, Access &amp; so on) for successful and timely testing execution.</t>
  </si>
  <si>
    <t>Good grasp of Business Analysis, Project Management &amp; other tools used for multiple engagement.</t>
  </si>
  <si>
    <t>E-Biz - Role-KRA Inventory</t>
  </si>
  <si>
    <t>requirement gathering, visualize, design, develop, and coordinate till production n support</t>
  </si>
  <si>
    <t>Demonstrates the ability to emphasize on the customers needs and take pro-active action.</t>
  </si>
  <si>
    <t>Competency</t>
  </si>
  <si>
    <t>Appraiser</t>
  </si>
  <si>
    <t>Listens actively to determine the clients’ needs and expectations, and participates in the development of the overall client service plan.  Conveys a genuine interest in and understanding of the clients’ business &amp; industry.</t>
  </si>
  <si>
    <t>Following Through</t>
  </si>
  <si>
    <t>4.5 Technical Skills/KRA (Goals and Objectives (G's &amp; O's))</t>
  </si>
  <si>
    <r>
      <rPr>
        <b/>
        <sz val="12"/>
        <rFont val="Calibri"/>
        <family val="2"/>
        <scheme val="minor"/>
      </rPr>
      <t xml:space="preserve">                                                          </t>
    </r>
    <r>
      <rPr>
        <b/>
        <sz val="20"/>
        <rFont val="Calibri"/>
        <family val="2"/>
        <scheme val="minor"/>
      </rPr>
      <t xml:space="preserve">Employee Project Details - (Review Period:2012) </t>
    </r>
    <r>
      <rPr>
        <b/>
        <sz val="10"/>
        <rFont val="Calibri"/>
        <family val="2"/>
        <scheme val="minor"/>
      </rPr>
      <t xml:space="preserve">(to be filled by Appraisee &amp; concurred by Appraiser)                                                                                           </t>
    </r>
    <r>
      <rPr>
        <b/>
        <sz val="16"/>
        <rFont val="Calibri"/>
        <family val="2"/>
        <scheme val="minor"/>
      </rPr>
      <t>YASH-HCM-002-T001</t>
    </r>
  </si>
  <si>
    <t>Significant Achievement(s) of Appraisee in the Review Period:</t>
  </si>
  <si>
    <r>
      <t xml:space="preserve">9.0  APPRAISEES' KRA IN THE FORTHCOMING YEAR (Review Period:2013) – </t>
    </r>
    <r>
      <rPr>
        <b/>
        <sz val="10"/>
        <rFont val="Calibri"/>
        <family val="2"/>
        <scheme val="minor"/>
      </rPr>
      <t>to be filled by Appraiser</t>
    </r>
  </si>
  <si>
    <r>
      <t xml:space="preserve">                                       KRA SETTING:- 2013 </t>
    </r>
    <r>
      <rPr>
        <b/>
        <sz val="12"/>
        <rFont val="Calibri"/>
        <family val="2"/>
      </rPr>
      <t>(Forthcoming year)                                           YASH-HCM-002-T001</t>
    </r>
  </si>
  <si>
    <t>KRA Setting for the Year: 2013</t>
  </si>
  <si>
    <r>
      <t xml:space="preserve">3.0  APPRAISEE'S UTILIZATION IN THE PRECEDING YEAR (Review Period:2012) </t>
    </r>
    <r>
      <rPr>
        <b/>
        <sz val="10"/>
        <rFont val="Calibri"/>
        <family val="2"/>
        <scheme val="minor"/>
      </rPr>
      <t>– to be filled by Appraisee &amp; concurred by Appraiser</t>
    </r>
  </si>
  <si>
    <r>
      <t xml:space="preserve">                      </t>
    </r>
    <r>
      <rPr>
        <b/>
        <sz val="18"/>
        <rFont val="Calibri"/>
        <family val="2"/>
        <scheme val="minor"/>
      </rPr>
      <t>Performance Appraisal &amp; Career Development Plan (CDP)- 2013</t>
    </r>
    <r>
      <rPr>
        <b/>
        <sz val="20"/>
        <rFont val="Calibri"/>
        <family val="2"/>
        <scheme val="minor"/>
      </rPr>
      <t xml:space="preserve">                       </t>
    </r>
    <r>
      <rPr>
        <b/>
        <sz val="15"/>
        <rFont val="Calibri"/>
        <family val="2"/>
        <scheme val="minor"/>
      </rPr>
      <t>YASH-HCM-002-T001</t>
    </r>
  </si>
  <si>
    <r>
      <t xml:space="preserve">                          </t>
    </r>
    <r>
      <rPr>
        <b/>
        <sz val="18"/>
        <rFont val="Calibri"/>
        <family val="2"/>
        <scheme val="minor"/>
      </rPr>
      <t>Performance Appraisal &amp; Career Development Plan (CDP) - 2013</t>
    </r>
    <r>
      <rPr>
        <b/>
        <sz val="20"/>
        <rFont val="Calibri"/>
        <family val="2"/>
        <scheme val="minor"/>
      </rPr>
      <t xml:space="preserve">                              </t>
    </r>
    <r>
      <rPr>
        <b/>
        <sz val="16"/>
        <rFont val="Calibri"/>
        <family val="2"/>
        <scheme val="minor"/>
      </rPr>
      <t>YASH-HCM-002-T001</t>
    </r>
  </si>
  <si>
    <r>
      <t>The purpose of the Appraisal is to review the Appraisees' job performance for an year long engagement as it relates to the competencies specific to each job level and service line. The Appraiser will review input(s) received from the Appraisee on this form to facilitate feedback/ discussion for annual appraisal.</t>
    </r>
    <r>
      <rPr>
        <b/>
        <sz val="11"/>
        <rFont val="Calibri"/>
        <family val="2"/>
      </rPr>
      <t xml:space="preserve"> We are committed to a culture of employee development and providing opportunities, resources, and support to our employees.This assessment tool will be vital in formulating Career Development Plan of the Appraisee for the forthcoming year.</t>
    </r>
  </si>
  <si>
    <r>
      <t>Instructions:</t>
    </r>
    <r>
      <rPr>
        <sz val="11"/>
        <rFont val="Calibri"/>
        <family val="2"/>
      </rPr>
      <t xml:space="preserve">
Provide ratings for each competency listed below.  Specific comments can be documented in Section 2.  Please use the below key for determining the appropriate rating based upon performance.
</t>
    </r>
    <r>
      <rPr>
        <b/>
        <sz val="11"/>
        <rFont val="Calibri"/>
        <family val="2"/>
      </rPr>
      <t xml:space="preserve">Key:  S - Strength to build upon </t>
    </r>
    <r>
      <rPr>
        <sz val="11"/>
        <rFont val="Calibri"/>
        <family val="2"/>
      </rPr>
      <t xml:space="preserve">= Individual has demonstrated performance that would be expected from someone at the next level; </t>
    </r>
    <r>
      <rPr>
        <b/>
        <sz val="11"/>
        <rFont val="Calibri"/>
        <family val="2"/>
      </rPr>
      <t xml:space="preserve"> P - Performs well and meets expectations</t>
    </r>
    <r>
      <rPr>
        <sz val="11"/>
        <rFont val="Calibri"/>
        <family val="2"/>
      </rPr>
      <t xml:space="preserve"> = Individual is meeting performance expectations for someone at this level;  </t>
    </r>
    <r>
      <rPr>
        <b/>
        <sz val="11"/>
        <rFont val="Calibri"/>
        <family val="2"/>
      </rPr>
      <t xml:space="preserve">D – Developmental need </t>
    </r>
    <r>
      <rPr>
        <sz val="11"/>
        <rFont val="Calibri"/>
        <family val="2"/>
      </rPr>
      <t>= Individual has not met one or more of the expectations identified for this competency area.  Specific developmental needs should be addressed in Section 5 of the appraisal form.</t>
    </r>
    <r>
      <rPr>
        <b/>
        <sz val="11"/>
        <rFont val="Calibri"/>
        <family val="2"/>
      </rPr>
      <t xml:space="preserve"> I – Issue</t>
    </r>
    <r>
      <rPr>
        <sz val="11"/>
        <rFont val="Calibri"/>
        <family val="2"/>
      </rPr>
      <t xml:space="preserve"> = Individual has continued to not meet expectations identified for this competency area. </t>
    </r>
    <r>
      <rPr>
        <b/>
        <sz val="11"/>
        <rFont val="Calibri"/>
        <family val="2"/>
      </rPr>
      <t xml:space="preserve"> N – Not applicable.</t>
    </r>
    <r>
      <rPr>
        <sz val="11"/>
        <rFont val="Calibri"/>
        <family val="2"/>
      </rPr>
      <t xml:space="preserve">
                                                                                                                                                                                                                                                  </t>
    </r>
  </si>
  <si>
    <t>For Resource Utilization in the Preceding Year (Review Period), please click here.</t>
  </si>
  <si>
    <t>Demonstrates ability to schedule activities to meet milestone objectives in a stable environment.</t>
  </si>
  <si>
    <t>Demonstrates ability to develop following requirements specifications/artifacts according to standard templates, using natural language : Functional Requirements/BRD, Use Case Documentation, Screen Mockups, Interface Design &amp; so on.</t>
  </si>
  <si>
    <t>Day to day management of team. Provide Thought leadership &amp; motivation to the team</t>
  </si>
  <si>
    <t>Guide for freshers at level T</t>
  </si>
  <si>
    <t>Requirement gathering, visualize, design, develop, and coordinate till production and support</t>
  </si>
  <si>
    <t>To mention Remarks against Ratings specified in the below Section, click here</t>
  </si>
  <si>
    <r>
      <t>The Appraiser identifies the strengths that Appraisee exhibited which contributed positively to his/her job performance.  In addition, the Appraiser identifies the development needs on which the Appraisee should work in order to improve/enhance his/her job performance and would suggest the training/</t>
    </r>
    <r>
      <rPr>
        <sz val="11"/>
        <rFont val="Calibri"/>
        <family val="2"/>
      </rPr>
      <t>Certifications/other Education Programs that can lead to Appraisees' professional development and would provide skills and tools for successful accomplishment of the deliverables. Based on the Training Needs, a Career Development Plan of 32 hours (Technical (atleast 20 Hrs.) and Soft skill (atleast 12 Hrs.)), will be formulated, that would be mandatory for the Appraisee and would provide a platform for Career Development Path.</t>
    </r>
  </si>
  <si>
    <t>Name:   Praveen Kumar Dhulipalla</t>
  </si>
  <si>
    <t>Empl ID:  YI0599</t>
  </si>
  <si>
    <t>DOJ: 17 th MAY 2010</t>
  </si>
  <si>
    <t>From :   Jan 2012</t>
  </si>
  <si>
    <t>To:  Dec 2012</t>
  </si>
  <si>
    <t>Total IT Experience : 4.8 years</t>
  </si>
  <si>
    <t>Total Experience with YASH: 2.7 years</t>
  </si>
  <si>
    <t>Relevant Experience in Domain/Technology: 4.8 years</t>
  </si>
  <si>
    <t>Sales Incentive</t>
  </si>
  <si>
    <t>John Deere</t>
  </si>
  <si>
    <t>Developer</t>
  </si>
  <si>
    <t>Khanna Vardhan</t>
  </si>
  <si>
    <t>AMS</t>
  </si>
  <si>
    <t>Financial Management</t>
  </si>
  <si>
    <t>Shailendra Gupta</t>
  </si>
  <si>
    <t xml:space="preserve">Grade: E2  </t>
  </si>
  <si>
    <t xml:space="preserve">I use to discuss all the decisions with the team and by considering their opinions I will take the final decision. I did this in all of my previous projects.  </t>
  </si>
  <si>
    <t>I have actively participated in decision making.I use to see the overall impact of my decisions everytime.</t>
  </si>
  <si>
    <t>I always take the performance feedback positively. It will definitely help for the ongoing development.</t>
  </si>
  <si>
    <t>I followed the all policies strictly and I am abide by yash policies and process</t>
  </si>
  <si>
    <t xml:space="preserve">I think my code of conduct is good interms of 
professionalism, honesty and integrity. 
</t>
  </si>
  <si>
    <t>I am participating in events.</t>
  </si>
  <si>
    <t xml:space="preserve"> Affter having few development projects like SI and AMS,right now iam working for FM Support projects where buisiness and interacting with the people is more important than development. Iam going with the positive attitude with respect to the changing things.
</t>
  </si>
  <si>
    <t xml:space="preserve">I am alsways be part in firm goals with my work 
</t>
  </si>
  <si>
    <t xml:space="preserve">Maintained possitive attitude when I moved from Development projects to FM Support projects.
</t>
  </si>
  <si>
    <t>s</t>
  </si>
  <si>
    <t>I have actively participated in Buddy program and interacted well with my buddies like Rambabu Yadala,Pradip Ganpati More. I have provided all information and technical questions to Pradip and he got selected to JD Interview.</t>
  </si>
  <si>
    <t>Participated in HR Learning Training sessions and Technical sessions like Communication classes,Mailing skills,Web service sessions and Agile methodology.</t>
  </si>
  <si>
    <t>Name of the Employee : Praveen Kumar Dhulipalla</t>
  </si>
  <si>
    <t>Employee ID : YI0599</t>
  </si>
  <si>
    <t>Designation : Sr.Software Engineer</t>
  </si>
  <si>
    <t>Name of the Reporting Manager : Vardan Khanna</t>
  </si>
  <si>
    <t>I always try to fulfill the client needs. With genuine interest iam trying to understand the buisiness &amp; industry.</t>
  </si>
  <si>
    <t xml:space="preserve">Based on the priorities set by the management, we are providing the 24 hours support. I used get the calls in mid nights if there is any urgent issue. </t>
  </si>
  <si>
    <t>Smith Dan</t>
  </si>
  <si>
    <t>Vorac Chris T</t>
  </si>
  <si>
    <t>Released success builds for AU/NZ. Implemented the important geography  Cache mechanism in that. Given the support for that release.</t>
  </si>
  <si>
    <t>Implemented multiple usecases like History,Admin functionality.</t>
  </si>
  <si>
    <t>Supporting all the FM Projects, working on DM Projects and Total Fill applications.</t>
  </si>
</sst>
</file>

<file path=xl/styles.xml><?xml version="1.0" encoding="utf-8"?>
<styleSheet xmlns="http://schemas.openxmlformats.org/spreadsheetml/2006/main">
  <numFmts count="1">
    <numFmt numFmtId="164" formatCode="[$-409]d\-mmm\-yy;@"/>
  </numFmts>
  <fonts count="47">
    <font>
      <sz val="11"/>
      <color theme="1"/>
      <name val="Calibri"/>
      <family val="2"/>
      <scheme val="minor"/>
    </font>
    <font>
      <sz val="11"/>
      <name val="Calibri"/>
      <family val="2"/>
    </font>
    <font>
      <b/>
      <sz val="11"/>
      <name val="Calibri"/>
      <family val="2"/>
    </font>
    <font>
      <sz val="11"/>
      <color theme="0"/>
      <name val="Calibri"/>
      <family val="2"/>
      <scheme val="minor"/>
    </font>
    <font>
      <u/>
      <sz val="10.55"/>
      <color theme="10"/>
      <name val="Calibri"/>
      <family val="2"/>
    </font>
    <font>
      <sz val="11"/>
      <name val="Calibri"/>
      <family val="2"/>
      <scheme val="minor"/>
    </font>
    <font>
      <sz val="10"/>
      <color indexed="23"/>
      <name val="Calibri"/>
      <family val="2"/>
      <scheme val="minor"/>
    </font>
    <font>
      <b/>
      <sz val="11"/>
      <color indexed="23"/>
      <name val="Calibri"/>
      <family val="2"/>
      <scheme val="minor"/>
    </font>
    <font>
      <sz val="9"/>
      <color indexed="23"/>
      <name val="Calibri"/>
      <family val="2"/>
      <scheme val="minor"/>
    </font>
    <font>
      <b/>
      <i/>
      <sz val="9"/>
      <name val="Calibri"/>
      <family val="2"/>
      <scheme val="minor"/>
    </font>
    <font>
      <b/>
      <sz val="14"/>
      <color indexed="10"/>
      <name val="Calibri"/>
      <family val="2"/>
      <scheme val="minor"/>
    </font>
    <font>
      <b/>
      <sz val="20"/>
      <color indexed="10"/>
      <name val="Calibri"/>
      <family val="2"/>
      <scheme val="minor"/>
    </font>
    <font>
      <sz val="9"/>
      <name val="Calibri"/>
      <family val="2"/>
      <scheme val="minor"/>
    </font>
    <font>
      <b/>
      <sz val="10"/>
      <color indexed="23"/>
      <name val="Calibri"/>
      <family val="2"/>
      <scheme val="minor"/>
    </font>
    <font>
      <sz val="11"/>
      <color indexed="8"/>
      <name val="Calibri"/>
      <family val="2"/>
      <scheme val="minor"/>
    </font>
    <font>
      <b/>
      <sz val="11"/>
      <color indexed="8"/>
      <name val="Calibri"/>
      <family val="2"/>
      <scheme val="minor"/>
    </font>
    <font>
      <sz val="11"/>
      <color indexed="23"/>
      <name val="Calibri"/>
      <family val="2"/>
      <scheme val="minor"/>
    </font>
    <font>
      <b/>
      <sz val="11"/>
      <name val="Calibri"/>
      <family val="2"/>
      <scheme val="minor"/>
    </font>
    <font>
      <b/>
      <sz val="11"/>
      <color indexed="10"/>
      <name val="Calibri"/>
      <family val="2"/>
      <scheme val="minor"/>
    </font>
    <font>
      <b/>
      <sz val="18"/>
      <color indexed="10"/>
      <name val="Calibri"/>
      <family val="2"/>
      <scheme val="minor"/>
    </font>
    <font>
      <b/>
      <sz val="9"/>
      <name val="Calibri"/>
      <family val="2"/>
      <scheme val="minor"/>
    </font>
    <font>
      <sz val="36"/>
      <name val="Calibri"/>
      <family val="2"/>
      <scheme val="minor"/>
    </font>
    <font>
      <b/>
      <sz val="9"/>
      <color indexed="23"/>
      <name val="Calibri"/>
      <family val="2"/>
      <scheme val="minor"/>
    </font>
    <font>
      <b/>
      <sz val="10"/>
      <name val="Calibri"/>
      <family val="2"/>
      <scheme val="minor"/>
    </font>
    <font>
      <i/>
      <sz val="11"/>
      <name val="Calibri"/>
      <family val="2"/>
      <scheme val="minor"/>
    </font>
    <font>
      <u/>
      <sz val="11"/>
      <color theme="10"/>
      <name val="Calibri"/>
      <family val="2"/>
      <scheme val="minor"/>
    </font>
    <font>
      <sz val="10"/>
      <name val="Arial"/>
      <family val="2"/>
    </font>
    <font>
      <sz val="8"/>
      <color indexed="81"/>
      <name val="Tahoma"/>
      <family val="2"/>
    </font>
    <font>
      <sz val="10"/>
      <color theme="1"/>
      <name val="Calibri"/>
      <family val="2"/>
      <scheme val="minor"/>
    </font>
    <font>
      <b/>
      <u/>
      <sz val="10.55"/>
      <color rgb="FFFF0000"/>
      <name val="Calibri"/>
      <family val="2"/>
    </font>
    <font>
      <b/>
      <sz val="12"/>
      <name val="Calibri"/>
      <family val="2"/>
      <scheme val="minor"/>
    </font>
    <font>
      <b/>
      <sz val="10"/>
      <color indexed="8"/>
      <name val="Calibri"/>
      <family val="2"/>
      <scheme val="minor"/>
    </font>
    <font>
      <b/>
      <sz val="11"/>
      <color theme="1"/>
      <name val="Calibri"/>
      <family val="2"/>
      <scheme val="minor"/>
    </font>
    <font>
      <sz val="11"/>
      <color theme="1"/>
      <name val="Calibri"/>
      <family val="2"/>
      <scheme val="minor"/>
    </font>
    <font>
      <sz val="11"/>
      <name val="Courier New"/>
      <family val="3"/>
    </font>
    <font>
      <b/>
      <sz val="12"/>
      <color theme="1"/>
      <name val="Calibri"/>
      <family val="2"/>
      <scheme val="minor"/>
    </font>
    <font>
      <b/>
      <sz val="14"/>
      <color theme="1"/>
      <name val="Calibri"/>
      <family val="2"/>
      <scheme val="minor"/>
    </font>
    <font>
      <b/>
      <sz val="8"/>
      <color indexed="81"/>
      <name val="Tahoma"/>
      <family val="2"/>
    </font>
    <font>
      <b/>
      <sz val="10"/>
      <color indexed="81"/>
      <name val="Tahoma"/>
      <family val="2"/>
    </font>
    <font>
      <b/>
      <sz val="22"/>
      <name val="Calibri"/>
      <family val="2"/>
      <scheme val="minor"/>
    </font>
    <font>
      <b/>
      <sz val="18"/>
      <name val="Calibri"/>
      <family val="2"/>
      <scheme val="minor"/>
    </font>
    <font>
      <b/>
      <sz val="20"/>
      <name val="Calibri"/>
      <family val="2"/>
      <scheme val="minor"/>
    </font>
    <font>
      <b/>
      <sz val="16"/>
      <name val="Calibri"/>
      <family val="2"/>
      <scheme val="minor"/>
    </font>
    <font>
      <b/>
      <sz val="12"/>
      <name val="Calibri"/>
      <family val="2"/>
    </font>
    <font>
      <b/>
      <sz val="15"/>
      <name val="Calibri"/>
      <family val="2"/>
      <scheme val="minor"/>
    </font>
    <font>
      <b/>
      <u/>
      <sz val="10.55"/>
      <color theme="10"/>
      <name val="Calibri"/>
      <family val="2"/>
    </font>
    <font>
      <sz val="11"/>
      <color rgb="FF000000"/>
      <name val="Calibri"/>
      <family val="2"/>
    </font>
  </fonts>
  <fills count="17">
    <fill>
      <patternFill patternType="none"/>
    </fill>
    <fill>
      <patternFill patternType="gray125"/>
    </fill>
    <fill>
      <patternFill patternType="solid">
        <fgColor indexed="23"/>
        <bgColor indexed="64"/>
      </patternFill>
    </fill>
    <fill>
      <patternFill patternType="solid">
        <fgColor indexed="45"/>
        <bgColor indexed="64"/>
      </patternFill>
    </fill>
    <fill>
      <patternFill patternType="solid">
        <fgColor indexed="41"/>
        <bgColor indexed="64"/>
      </patternFill>
    </fill>
    <fill>
      <patternFill patternType="solid">
        <fgColor indexed="13"/>
        <bgColor indexed="64"/>
      </patternFill>
    </fill>
    <fill>
      <patternFill patternType="solid">
        <fgColor indexed="63"/>
        <bgColor indexed="64"/>
      </patternFill>
    </fill>
    <fill>
      <patternFill patternType="solid">
        <fgColor theme="0"/>
        <bgColor indexed="64"/>
      </patternFill>
    </fill>
    <fill>
      <patternFill patternType="solid">
        <fgColor rgb="FF808080"/>
        <bgColor indexed="64"/>
      </patternFill>
    </fill>
    <fill>
      <patternFill patternType="solid">
        <fgColor rgb="FFFFFF00"/>
        <bgColor indexed="64"/>
      </patternFill>
    </fill>
    <fill>
      <patternFill patternType="solid">
        <fgColor theme="5" tint="0.79998168889431442"/>
        <bgColor indexed="64"/>
      </patternFill>
    </fill>
    <fill>
      <patternFill patternType="solid">
        <fgColor rgb="FF00206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rgb="FF00FFFF"/>
        <bgColor indexed="64"/>
      </patternFill>
    </fill>
    <fill>
      <patternFill patternType="solid">
        <fgColor theme="9" tint="0.59999389629810485"/>
        <bgColor indexed="64"/>
      </patternFill>
    </fill>
    <fill>
      <patternFill patternType="solid">
        <fgColor rgb="FFFFFFFF"/>
        <bgColor indexed="64"/>
      </patternFill>
    </fill>
  </fills>
  <borders count="64">
    <border>
      <left/>
      <right/>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medium">
        <color indexed="64"/>
      </bottom>
      <diagonal/>
    </border>
    <border>
      <left/>
      <right style="medium">
        <color rgb="FF002060"/>
      </right>
      <top/>
      <bottom/>
      <diagonal/>
    </border>
    <border>
      <left style="medium">
        <color indexed="64"/>
      </left>
      <right style="medium">
        <color rgb="FF002060"/>
      </right>
      <top style="medium">
        <color indexed="64"/>
      </top>
      <bottom style="medium">
        <color indexed="64"/>
      </bottom>
      <diagonal/>
    </border>
    <border>
      <left/>
      <right style="medium">
        <color rgb="FF002060"/>
      </right>
      <top style="medium">
        <color indexed="64"/>
      </top>
      <bottom/>
      <diagonal/>
    </border>
    <border>
      <left/>
      <right style="medium">
        <color rgb="FF002060"/>
      </right>
      <top/>
      <bottom style="medium">
        <color indexed="64"/>
      </bottom>
      <diagonal/>
    </border>
    <border>
      <left/>
      <right style="medium">
        <color rgb="FF002060"/>
      </right>
      <top style="medium">
        <color indexed="64"/>
      </top>
      <bottom style="medium">
        <color indexed="64"/>
      </bottom>
      <diagonal/>
    </border>
    <border>
      <left/>
      <right/>
      <top/>
      <bottom style="thin">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bottom/>
      <diagonal/>
    </border>
  </borders>
  <cellStyleXfs count="5">
    <xf numFmtId="0" fontId="0" fillId="0" borderId="0"/>
    <xf numFmtId="0" fontId="4" fillId="0" borderId="0" applyNumberFormat="0" applyFill="0" applyBorder="0" applyAlignment="0" applyProtection="0">
      <alignment vertical="top"/>
      <protection locked="0"/>
    </xf>
    <xf numFmtId="0" fontId="26" fillId="0" borderId="0"/>
    <xf numFmtId="0" fontId="33" fillId="0" borderId="0"/>
    <xf numFmtId="164" fontId="26" fillId="0" borderId="0"/>
  </cellStyleXfs>
  <cellXfs count="633">
    <xf numFmtId="0" fontId="0" fillId="0" borderId="0" xfId="0"/>
    <xf numFmtId="0" fontId="0" fillId="7" borderId="0" xfId="0" applyFill="1"/>
    <xf numFmtId="0" fontId="0" fillId="8" borderId="0" xfId="0" applyFill="1"/>
    <xf numFmtId="0" fontId="3" fillId="7" borderId="0" xfId="0" applyFont="1" applyFill="1"/>
    <xf numFmtId="0" fontId="0" fillId="8" borderId="0" xfId="0" applyFill="1" applyAlignment="1">
      <alignment wrapText="1"/>
    </xf>
    <xf numFmtId="0" fontId="3" fillId="7" borderId="0" xfId="0" applyFont="1" applyFill="1" applyAlignment="1"/>
    <xf numFmtId="0" fontId="5" fillId="7" borderId="0" xfId="0" applyFont="1" applyFill="1" applyAlignment="1"/>
    <xf numFmtId="0" fontId="0" fillId="7" borderId="0" xfId="0" applyFont="1" applyFill="1"/>
    <xf numFmtId="0" fontId="6" fillId="7" borderId="0" xfId="0" applyFont="1" applyFill="1"/>
    <xf numFmtId="0" fontId="6" fillId="8" borderId="0" xfId="0" applyFont="1" applyFill="1"/>
    <xf numFmtId="0" fontId="6" fillId="2" borderId="0" xfId="0" applyFont="1" applyFill="1"/>
    <xf numFmtId="0" fontId="7" fillId="7" borderId="0" xfId="0" applyFont="1" applyFill="1"/>
    <xf numFmtId="0" fontId="7" fillId="8" borderId="0" xfId="0" applyFont="1" applyFill="1"/>
    <xf numFmtId="0" fontId="7" fillId="2" borderId="0" xfId="0" applyFont="1" applyFill="1"/>
    <xf numFmtId="0" fontId="6" fillId="7" borderId="0" xfId="0" applyFont="1" applyFill="1" applyAlignment="1">
      <alignment horizontal="right"/>
    </xf>
    <xf numFmtId="0" fontId="6" fillId="7" borderId="0" xfId="0" applyFont="1" applyFill="1" applyAlignment="1">
      <alignment wrapText="1"/>
    </xf>
    <xf numFmtId="0" fontId="6" fillId="8" borderId="0" xfId="0" applyFont="1" applyFill="1" applyAlignment="1">
      <alignment wrapText="1"/>
    </xf>
    <xf numFmtId="0" fontId="6" fillId="2" borderId="0" xfId="0" applyFont="1" applyFill="1" applyAlignment="1">
      <alignment wrapText="1"/>
    </xf>
    <xf numFmtId="0" fontId="8" fillId="7" borderId="0" xfId="0" applyFont="1" applyFill="1"/>
    <xf numFmtId="0" fontId="8" fillId="8" borderId="0" xfId="0" applyFont="1" applyFill="1"/>
    <xf numFmtId="0" fontId="8" fillId="2" borderId="0" xfId="0" applyFont="1" applyFill="1"/>
    <xf numFmtId="0" fontId="0" fillId="0" borderId="44" xfId="0" applyFont="1" applyBorder="1"/>
    <xf numFmtId="0" fontId="6" fillId="7" borderId="0" xfId="0" applyFont="1" applyFill="1" applyAlignment="1">
      <alignment vertical="center"/>
    </xf>
    <xf numFmtId="0" fontId="6" fillId="8" borderId="0" xfId="0" applyFont="1" applyFill="1" applyAlignment="1">
      <alignment vertical="center"/>
    </xf>
    <xf numFmtId="0" fontId="6" fillId="2" borderId="0" xfId="0" applyFont="1" applyFill="1" applyAlignment="1">
      <alignment vertical="center"/>
    </xf>
    <xf numFmtId="0" fontId="11" fillId="4" borderId="0" xfId="0" applyFont="1" applyFill="1" applyBorder="1" applyAlignment="1">
      <alignment vertical="center" wrapText="1"/>
    </xf>
    <xf numFmtId="0" fontId="13" fillId="8" borderId="0" xfId="0" applyFont="1" applyFill="1"/>
    <xf numFmtId="0" fontId="13" fillId="2" borderId="0" xfId="0" applyFont="1" applyFill="1"/>
    <xf numFmtId="0" fontId="6" fillId="8" borderId="0" xfId="0" applyFont="1" applyFill="1" applyAlignment="1">
      <alignment horizontal="left" wrapText="1"/>
    </xf>
    <xf numFmtId="0" fontId="6" fillId="2" borderId="0" xfId="0" applyFont="1" applyFill="1" applyAlignment="1">
      <alignment horizontal="left" wrapText="1"/>
    </xf>
    <xf numFmtId="0" fontId="6" fillId="2" borderId="0" xfId="0" applyFont="1" applyFill="1" applyAlignment="1">
      <alignment horizontal="center"/>
    </xf>
    <xf numFmtId="0" fontId="6" fillId="8" borderId="0" xfId="0" applyFont="1" applyFill="1" applyAlignment="1">
      <alignment horizontal="center"/>
    </xf>
    <xf numFmtId="0" fontId="0" fillId="0" borderId="0" xfId="0" applyFont="1"/>
    <xf numFmtId="0" fontId="15" fillId="5" borderId="46" xfId="0" applyFont="1" applyFill="1" applyBorder="1" applyAlignment="1">
      <alignment vertical="top" wrapText="1"/>
    </xf>
    <xf numFmtId="0" fontId="16" fillId="7" borderId="45" xfId="0" applyFont="1" applyFill="1" applyBorder="1"/>
    <xf numFmtId="0" fontId="17" fillId="7" borderId="8" xfId="0" applyFont="1" applyFill="1" applyBorder="1" applyAlignment="1">
      <alignment vertical="top" wrapText="1"/>
    </xf>
    <xf numFmtId="0" fontId="18" fillId="4" borderId="44" xfId="0" applyFont="1" applyFill="1" applyBorder="1" applyAlignment="1">
      <alignment vertical="top" wrapText="1"/>
    </xf>
    <xf numFmtId="0" fontId="14" fillId="0" borderId="10" xfId="0" applyFont="1" applyBorder="1" applyAlignment="1">
      <alignment vertical="top" wrapText="1"/>
    </xf>
    <xf numFmtId="0" fontId="15" fillId="5" borderId="9" xfId="0" applyFont="1" applyFill="1" applyBorder="1" applyAlignment="1">
      <alignment vertical="top" wrapText="1"/>
    </xf>
    <xf numFmtId="0" fontId="6" fillId="7" borderId="0" xfId="0" applyFont="1" applyFill="1" applyBorder="1"/>
    <xf numFmtId="0" fontId="6" fillId="7" borderId="4" xfId="0" applyFont="1" applyFill="1" applyBorder="1"/>
    <xf numFmtId="0" fontId="6" fillId="7" borderId="11" xfId="0" applyFont="1" applyFill="1" applyBorder="1"/>
    <xf numFmtId="0" fontId="6" fillId="7" borderId="14" xfId="0" applyFont="1" applyFill="1" applyBorder="1"/>
    <xf numFmtId="0" fontId="7" fillId="7" borderId="0" xfId="0" applyFont="1" applyFill="1" applyBorder="1"/>
    <xf numFmtId="0" fontId="6" fillId="7" borderId="0" xfId="0" applyFont="1" applyFill="1" applyBorder="1" applyAlignment="1">
      <alignment horizontal="right"/>
    </xf>
    <xf numFmtId="0" fontId="6" fillId="7" borderId="14" xfId="0" applyFont="1" applyFill="1" applyBorder="1" applyAlignment="1">
      <alignment horizontal="right"/>
    </xf>
    <xf numFmtId="0" fontId="6" fillId="7" borderId="0" xfId="0" applyFont="1" applyFill="1" applyBorder="1" applyAlignment="1">
      <alignment wrapText="1"/>
    </xf>
    <xf numFmtId="0" fontId="6" fillId="7" borderId="14" xfId="0" applyFont="1" applyFill="1" applyBorder="1" applyAlignment="1">
      <alignment wrapText="1"/>
    </xf>
    <xf numFmtId="0" fontId="8" fillId="7" borderId="0" xfId="0" applyFont="1" applyFill="1" applyBorder="1"/>
    <xf numFmtId="0" fontId="8" fillId="7" borderId="14" xfId="0" applyFont="1" applyFill="1" applyBorder="1"/>
    <xf numFmtId="0" fontId="17" fillId="7" borderId="20" xfId="0" applyFont="1" applyFill="1" applyBorder="1" applyAlignment="1">
      <alignment vertical="top" wrapText="1"/>
    </xf>
    <xf numFmtId="0" fontId="6" fillId="7" borderId="0" xfId="0" applyFont="1" applyFill="1" applyBorder="1" applyAlignment="1">
      <alignment vertical="center"/>
    </xf>
    <xf numFmtId="0" fontId="6" fillId="7" borderId="14" xfId="0" applyFont="1" applyFill="1" applyBorder="1" applyAlignment="1">
      <alignment vertical="center"/>
    </xf>
    <xf numFmtId="0" fontId="13" fillId="7" borderId="0" xfId="0" applyFont="1" applyFill="1" applyBorder="1"/>
    <xf numFmtId="0" fontId="6" fillId="7" borderId="0" xfId="0" applyFont="1" applyFill="1" applyBorder="1" applyAlignment="1">
      <alignment horizontal="left" wrapText="1"/>
    </xf>
    <xf numFmtId="0" fontId="21" fillId="0" borderId="17" xfId="0" applyFont="1" applyBorder="1" applyAlignment="1">
      <alignment horizontal="center" vertical="center"/>
    </xf>
    <xf numFmtId="0" fontId="21" fillId="0" borderId="2" xfId="0" applyFont="1" applyBorder="1" applyAlignment="1">
      <alignment horizontal="center" vertical="center"/>
    </xf>
    <xf numFmtId="0" fontId="6" fillId="7" borderId="8" xfId="0" applyFont="1" applyFill="1" applyBorder="1"/>
    <xf numFmtId="0" fontId="6" fillId="7" borderId="22" xfId="0" applyFont="1" applyFill="1" applyBorder="1"/>
    <xf numFmtId="0" fontId="6" fillId="7" borderId="0" xfId="0" applyFont="1" applyFill="1" applyProtection="1">
      <protection locked="0"/>
    </xf>
    <xf numFmtId="0" fontId="6" fillId="2" borderId="0" xfId="0" applyFont="1" applyFill="1" applyProtection="1">
      <protection locked="0"/>
    </xf>
    <xf numFmtId="0" fontId="17" fillId="0" borderId="23" xfId="0" applyFont="1" applyFill="1" applyBorder="1" applyAlignment="1" applyProtection="1">
      <alignment wrapText="1"/>
    </xf>
    <xf numFmtId="0" fontId="17" fillId="0" borderId="26" xfId="0" applyFont="1" applyFill="1" applyBorder="1" applyAlignment="1" applyProtection="1">
      <alignment wrapText="1"/>
    </xf>
    <xf numFmtId="14" fontId="17" fillId="0" borderId="26" xfId="0" applyNumberFormat="1" applyFont="1" applyFill="1" applyBorder="1" applyAlignment="1" applyProtection="1">
      <alignment wrapText="1"/>
    </xf>
    <xf numFmtId="0" fontId="0" fillId="0" borderId="23" xfId="0" applyBorder="1" applyAlignment="1">
      <alignment horizontal="center"/>
    </xf>
    <xf numFmtId="0" fontId="0" fillId="0" borderId="37" xfId="0" applyBorder="1" applyAlignment="1">
      <alignment horizontal="center"/>
    </xf>
    <xf numFmtId="0" fontId="28" fillId="7" borderId="0" xfId="0" applyFont="1" applyFill="1"/>
    <xf numFmtId="0" fontId="28" fillId="0" borderId="0" xfId="0" applyFont="1"/>
    <xf numFmtId="0" fontId="15" fillId="12" borderId="46" xfId="0" applyFont="1" applyFill="1" applyBorder="1" applyAlignment="1">
      <alignment horizontal="center" vertical="center" wrapText="1"/>
    </xf>
    <xf numFmtId="0" fontId="18" fillId="12" borderId="44" xfId="0" applyFont="1" applyFill="1" applyBorder="1" applyAlignment="1">
      <alignment vertical="center" wrapText="1"/>
    </xf>
    <xf numFmtId="0" fontId="18" fillId="12" borderId="11" xfId="0" applyFont="1" applyFill="1" applyBorder="1" applyAlignment="1">
      <alignment vertical="center" wrapText="1"/>
    </xf>
    <xf numFmtId="0" fontId="18" fillId="12" borderId="10" xfId="0" applyFont="1" applyFill="1" applyBorder="1" applyAlignment="1">
      <alignment horizontal="right" vertical="center" wrapText="1"/>
    </xf>
    <xf numFmtId="0" fontId="18" fillId="12" borderId="10" xfId="0" applyFont="1" applyFill="1" applyBorder="1" applyAlignment="1">
      <alignment vertical="center" wrapText="1"/>
    </xf>
    <xf numFmtId="0" fontId="17" fillId="12" borderId="44" xfId="0" applyFont="1" applyFill="1" applyBorder="1" applyAlignment="1">
      <alignment vertical="center"/>
    </xf>
    <xf numFmtId="0" fontId="19" fillId="12" borderId="11" xfId="0" applyFont="1" applyFill="1" applyBorder="1" applyAlignment="1">
      <alignment vertical="center" wrapText="1"/>
    </xf>
    <xf numFmtId="0" fontId="17" fillId="7" borderId="25" xfId="0" applyFont="1" applyFill="1" applyBorder="1" applyAlignment="1">
      <alignment horizontal="left" vertical="center" wrapText="1"/>
    </xf>
    <xf numFmtId="0" fontId="17" fillId="12" borderId="14" xfId="0" applyFont="1" applyFill="1" applyBorder="1" applyAlignment="1" applyProtection="1">
      <alignment horizontal="left" vertical="top" wrapText="1"/>
    </xf>
    <xf numFmtId="0" fontId="17" fillId="7" borderId="26" xfId="0" applyFont="1" applyFill="1" applyBorder="1" applyAlignment="1">
      <alignment horizontal="left" vertical="center" wrapText="1"/>
    </xf>
    <xf numFmtId="0" fontId="17" fillId="7" borderId="15" xfId="0" applyFont="1" applyFill="1" applyBorder="1" applyAlignment="1">
      <alignment horizontal="left" vertical="center" wrapText="1"/>
    </xf>
    <xf numFmtId="0" fontId="30" fillId="0" borderId="11" xfId="0" applyFont="1" applyFill="1" applyBorder="1" applyAlignment="1">
      <alignment horizontal="left"/>
    </xf>
    <xf numFmtId="164" fontId="17" fillId="0" borderId="23" xfId="0" applyNumberFormat="1" applyFont="1" applyFill="1" applyBorder="1" applyAlignment="1" applyProtection="1">
      <alignment wrapText="1"/>
    </xf>
    <xf numFmtId="0" fontId="30" fillId="7" borderId="3" xfId="0" applyFont="1" applyFill="1" applyBorder="1" applyAlignment="1">
      <alignment horizontal="left" vertical="center"/>
    </xf>
    <xf numFmtId="0" fontId="30" fillId="7" borderId="9" xfId="0" applyFont="1" applyFill="1" applyBorder="1" applyAlignment="1">
      <alignment horizontal="left" vertical="center"/>
    </xf>
    <xf numFmtId="0" fontId="30" fillId="7" borderId="10" xfId="0" applyFont="1" applyFill="1" applyBorder="1" applyAlignment="1">
      <alignment horizontal="left" vertical="center"/>
    </xf>
    <xf numFmtId="0" fontId="6" fillId="7" borderId="27" xfId="0" applyFont="1" applyFill="1" applyBorder="1"/>
    <xf numFmtId="0" fontId="6" fillId="7" borderId="28" xfId="0" applyFont="1" applyFill="1" applyBorder="1"/>
    <xf numFmtId="0" fontId="17" fillId="7" borderId="57" xfId="0" applyFont="1" applyFill="1" applyBorder="1" applyAlignment="1">
      <alignment vertical="center" wrapText="1"/>
    </xf>
    <xf numFmtId="0" fontId="17" fillId="7" borderId="36" xfId="0" applyFont="1" applyFill="1" applyBorder="1" applyAlignment="1">
      <alignment vertical="center" wrapText="1"/>
    </xf>
    <xf numFmtId="0" fontId="17" fillId="7" borderId="49" xfId="0" applyFont="1" applyFill="1" applyBorder="1" applyAlignment="1">
      <alignment vertical="center" wrapText="1"/>
    </xf>
    <xf numFmtId="0" fontId="17" fillId="7" borderId="52" xfId="0" applyFont="1" applyFill="1" applyBorder="1" applyAlignment="1">
      <alignment vertical="center" wrapText="1"/>
    </xf>
    <xf numFmtId="0" fontId="17" fillId="0" borderId="8" xfId="0" applyFont="1" applyFill="1" applyBorder="1" applyAlignment="1">
      <alignment vertical="center" wrapText="1"/>
    </xf>
    <xf numFmtId="0" fontId="17" fillId="0" borderId="22" xfId="0" applyFont="1" applyFill="1" applyBorder="1" applyAlignment="1">
      <alignment vertical="center" wrapText="1"/>
    </xf>
    <xf numFmtId="0" fontId="6" fillId="7" borderId="6" xfId="0" applyFont="1" applyFill="1" applyBorder="1"/>
    <xf numFmtId="0" fontId="17" fillId="0" borderId="26" xfId="0" applyFont="1" applyFill="1" applyBorder="1" applyAlignment="1" applyProtection="1">
      <alignment horizontal="left" wrapText="1"/>
    </xf>
    <xf numFmtId="0" fontId="14" fillId="0" borderId="22" xfId="0" applyFont="1" applyBorder="1" applyAlignment="1">
      <alignment vertical="top" wrapText="1"/>
    </xf>
    <xf numFmtId="0" fontId="14" fillId="0" borderId="26" xfId="0" applyFont="1" applyBorder="1" applyAlignment="1">
      <alignment vertical="top" wrapText="1"/>
    </xf>
    <xf numFmtId="0" fontId="17" fillId="0" borderId="23" xfId="0" applyFont="1" applyBorder="1" applyAlignment="1">
      <alignment vertical="top" wrapText="1"/>
    </xf>
    <xf numFmtId="0" fontId="14" fillId="0" borderId="15" xfId="0" applyFont="1" applyBorder="1" applyAlignment="1">
      <alignment vertical="top" wrapText="1"/>
    </xf>
    <xf numFmtId="0" fontId="17" fillId="7" borderId="37" xfId="0" applyFont="1" applyFill="1" applyBorder="1" applyAlignment="1">
      <alignment vertical="top" wrapText="1"/>
    </xf>
    <xf numFmtId="0" fontId="15" fillId="7" borderId="30" xfId="0" applyFont="1" applyFill="1" applyBorder="1" applyAlignment="1">
      <alignment vertical="top" wrapText="1"/>
    </xf>
    <xf numFmtId="0" fontId="14" fillId="5" borderId="30" xfId="0" applyFont="1" applyFill="1" applyBorder="1" applyAlignment="1">
      <alignment vertical="top" wrapText="1"/>
    </xf>
    <xf numFmtId="0" fontId="15" fillId="5" borderId="16" xfId="0" applyFont="1" applyFill="1" applyBorder="1" applyAlignment="1">
      <alignment vertical="top" wrapText="1"/>
    </xf>
    <xf numFmtId="0" fontId="14" fillId="0" borderId="48" xfId="0" applyFont="1" applyBorder="1" applyAlignment="1">
      <alignment vertical="top" wrapText="1"/>
    </xf>
    <xf numFmtId="0" fontId="15" fillId="5" borderId="48" xfId="0" applyFont="1" applyFill="1" applyBorder="1" applyAlignment="1">
      <alignment vertical="top" wrapText="1"/>
    </xf>
    <xf numFmtId="0" fontId="14" fillId="7" borderId="26" xfId="0" applyFont="1" applyFill="1" applyBorder="1" applyAlignment="1">
      <alignment vertical="top" wrapText="1"/>
    </xf>
    <xf numFmtId="0" fontId="15" fillId="7" borderId="23" xfId="0" applyFont="1" applyFill="1" applyBorder="1" applyAlignment="1">
      <alignment vertical="top" wrapText="1"/>
    </xf>
    <xf numFmtId="0" fontId="15" fillId="5" borderId="10" xfId="0" applyFont="1" applyFill="1" applyBorder="1" applyAlignment="1">
      <alignment vertical="top" wrapText="1"/>
    </xf>
    <xf numFmtId="0" fontId="15" fillId="0" borderId="23" xfId="0" applyFont="1" applyBorder="1" applyAlignment="1">
      <alignment vertical="top" wrapText="1"/>
    </xf>
    <xf numFmtId="0" fontId="14" fillId="0" borderId="44" xfId="0" applyFont="1" applyBorder="1" applyAlignment="1">
      <alignment vertical="top" wrapText="1"/>
    </xf>
    <xf numFmtId="0" fontId="5" fillId="0" borderId="26" xfId="0" applyFont="1" applyBorder="1" applyAlignment="1" applyProtection="1">
      <alignment vertical="top" wrapText="1"/>
    </xf>
    <xf numFmtId="0" fontId="14" fillId="0" borderId="26" xfId="0" applyFont="1" applyBorder="1" applyAlignment="1" applyProtection="1">
      <alignment vertical="top" wrapText="1"/>
      <protection locked="0"/>
    </xf>
    <xf numFmtId="0" fontId="12" fillId="0" borderId="14" xfId="0" applyFont="1" applyBorder="1" applyAlignment="1" applyProtection="1">
      <alignment horizontal="center" vertical="top" wrapText="1"/>
      <protection locked="0"/>
    </xf>
    <xf numFmtId="0" fontId="14" fillId="6" borderId="48" xfId="0" applyFont="1" applyFill="1" applyBorder="1" applyAlignment="1">
      <alignment vertical="top" wrapText="1"/>
    </xf>
    <xf numFmtId="0" fontId="14" fillId="3" borderId="48" xfId="0" applyFont="1" applyFill="1" applyBorder="1" applyAlignment="1">
      <alignment vertical="top" wrapText="1"/>
    </xf>
    <xf numFmtId="0" fontId="18" fillId="4" borderId="48" xfId="0" applyFont="1" applyFill="1" applyBorder="1" applyAlignment="1">
      <alignment vertical="top" wrapText="1"/>
    </xf>
    <xf numFmtId="0" fontId="18" fillId="12" borderId="48" xfId="0" applyFont="1" applyFill="1" applyBorder="1" applyAlignment="1">
      <alignment vertical="center" wrapText="1"/>
    </xf>
    <xf numFmtId="0" fontId="12" fillId="0" borderId="26" xfId="0" applyFont="1" applyBorder="1" applyAlignment="1">
      <alignment vertical="top" wrapText="1"/>
    </xf>
    <xf numFmtId="0" fontId="12" fillId="0" borderId="23" xfId="0" applyFont="1" applyBorder="1" applyAlignment="1">
      <alignment horizontal="left" vertical="top" wrapText="1"/>
    </xf>
    <xf numFmtId="0" fontId="12" fillId="0" borderId="30" xfId="0" applyFont="1" applyBorder="1" applyAlignment="1">
      <alignment vertical="top" wrapText="1"/>
    </xf>
    <xf numFmtId="0" fontId="30" fillId="0" borderId="11" xfId="0" applyFont="1" applyFill="1" applyBorder="1" applyAlignment="1">
      <alignment horizontal="left" vertical="center"/>
    </xf>
    <xf numFmtId="0" fontId="0" fillId="0" borderId="14" xfId="0" applyFont="1" applyBorder="1" applyAlignment="1">
      <alignment horizontal="left" vertical="center" wrapText="1"/>
    </xf>
    <xf numFmtId="0" fontId="17" fillId="7" borderId="7" xfId="0" applyFont="1" applyFill="1" applyBorder="1" applyAlignment="1">
      <alignment horizontal="left" vertical="center" wrapText="1"/>
    </xf>
    <xf numFmtId="0" fontId="0" fillId="7" borderId="4" xfId="0" applyFont="1" applyFill="1" applyBorder="1" applyAlignment="1">
      <alignment horizontal="left" vertical="center" wrapText="1"/>
    </xf>
    <xf numFmtId="0" fontId="17" fillId="7" borderId="4" xfId="0" applyFont="1" applyFill="1" applyBorder="1" applyAlignment="1">
      <alignment horizontal="left" vertical="center" wrapText="1"/>
    </xf>
    <xf numFmtId="0" fontId="0" fillId="7" borderId="11" xfId="0" applyFont="1" applyFill="1" applyBorder="1" applyAlignment="1">
      <alignment horizontal="left" vertical="center" wrapText="1"/>
    </xf>
    <xf numFmtId="0" fontId="30" fillId="7" borderId="14" xfId="0" applyFont="1" applyFill="1" applyBorder="1" applyAlignment="1">
      <alignment horizontal="left" vertical="center"/>
    </xf>
    <xf numFmtId="0" fontId="15" fillId="5" borderId="35" xfId="0" applyFont="1" applyFill="1" applyBorder="1" applyAlignment="1">
      <alignment vertical="top" wrapText="1"/>
    </xf>
    <xf numFmtId="0" fontId="15" fillId="7" borderId="8" xfId="0" applyFont="1" applyFill="1" applyBorder="1" applyAlignment="1">
      <alignment vertical="top" wrapText="1"/>
    </xf>
    <xf numFmtId="0" fontId="14" fillId="0" borderId="41" xfId="0" applyFont="1" applyBorder="1" applyAlignment="1">
      <alignment vertical="top" wrapText="1"/>
    </xf>
    <xf numFmtId="0" fontId="17" fillId="9" borderId="33" xfId="0" applyFont="1" applyFill="1" applyBorder="1" applyAlignment="1">
      <alignment vertical="top" wrapText="1"/>
    </xf>
    <xf numFmtId="0" fontId="15" fillId="0" borderId="23" xfId="0" applyFont="1" applyBorder="1" applyAlignment="1" applyProtection="1">
      <alignment wrapText="1"/>
      <protection locked="0"/>
    </xf>
    <xf numFmtId="0" fontId="15" fillId="0" borderId="37" xfId="0" applyFont="1" applyBorder="1" applyAlignment="1" applyProtection="1">
      <alignment wrapText="1"/>
      <protection locked="0"/>
    </xf>
    <xf numFmtId="0" fontId="6" fillId="13" borderId="0" xfId="0" applyFont="1" applyFill="1"/>
    <xf numFmtId="0" fontId="7" fillId="13" borderId="0" xfId="0" applyFont="1" applyFill="1"/>
    <xf numFmtId="0" fontId="0" fillId="13" borderId="0" xfId="0" applyFill="1"/>
    <xf numFmtId="0" fontId="6" fillId="13" borderId="0" xfId="0" applyFont="1" applyFill="1" applyProtection="1">
      <protection locked="0"/>
    </xf>
    <xf numFmtId="0" fontId="23" fillId="7" borderId="32" xfId="0" applyFont="1" applyFill="1" applyBorder="1" applyAlignment="1" applyProtection="1">
      <alignment vertical="center" wrapText="1"/>
      <protection locked="0"/>
    </xf>
    <xf numFmtId="0" fontId="23" fillId="7" borderId="38" xfId="0" applyFont="1" applyFill="1" applyBorder="1" applyAlignment="1" applyProtection="1">
      <alignment vertical="top" wrapText="1"/>
      <protection locked="0"/>
    </xf>
    <xf numFmtId="0" fontId="17" fillId="12" borderId="32" xfId="0" applyFont="1" applyFill="1" applyBorder="1" applyAlignment="1">
      <alignment vertical="center"/>
    </xf>
    <xf numFmtId="0" fontId="30" fillId="10" borderId="39" xfId="0" applyFont="1" applyFill="1" applyBorder="1" applyAlignment="1">
      <alignment vertical="center"/>
    </xf>
    <xf numFmtId="0" fontId="30" fillId="10" borderId="32" xfId="0" applyFont="1" applyFill="1" applyBorder="1" applyAlignment="1">
      <alignment horizontal="left" vertical="center"/>
    </xf>
    <xf numFmtId="0" fontId="17" fillId="0" borderId="38" xfId="0" applyFont="1" applyBorder="1" applyAlignment="1">
      <alignment vertical="top" wrapText="1"/>
    </xf>
    <xf numFmtId="0" fontId="0" fillId="0" borderId="3" xfId="0" applyFont="1" applyBorder="1" applyAlignment="1"/>
    <xf numFmtId="0" fontId="0" fillId="0" borderId="9" xfId="0" applyFont="1" applyBorder="1" applyAlignment="1"/>
    <xf numFmtId="0" fontId="0" fillId="0" borderId="10" xfId="0" applyFont="1" applyBorder="1" applyAlignment="1"/>
    <xf numFmtId="0" fontId="17" fillId="12" borderId="11" xfId="0" applyFont="1" applyFill="1" applyBorder="1" applyAlignment="1">
      <alignment vertical="center" wrapText="1"/>
    </xf>
    <xf numFmtId="0" fontId="17" fillId="12" borderId="52" xfId="0" applyFont="1" applyFill="1" applyBorder="1" applyAlignment="1">
      <alignment vertical="center" wrapText="1"/>
    </xf>
    <xf numFmtId="0" fontId="12" fillId="0" borderId="32" xfId="0" applyFont="1" applyBorder="1" applyAlignment="1" applyProtection="1">
      <alignment vertical="top" wrapText="1"/>
      <protection locked="0"/>
    </xf>
    <xf numFmtId="0" fontId="12" fillId="0" borderId="38" xfId="0" applyFont="1" applyBorder="1" applyAlignment="1" applyProtection="1">
      <alignment vertical="top" wrapText="1"/>
      <protection locked="0"/>
    </xf>
    <xf numFmtId="0" fontId="12" fillId="0" borderId="15" xfId="0" applyFont="1" applyBorder="1" applyAlignment="1" applyProtection="1">
      <alignment vertical="top" wrapText="1"/>
      <protection locked="0"/>
    </xf>
    <xf numFmtId="0" fontId="12" fillId="0" borderId="16" xfId="0" applyFont="1" applyBorder="1" applyAlignment="1" applyProtection="1">
      <alignment vertical="top" wrapText="1"/>
      <protection locked="0"/>
    </xf>
    <xf numFmtId="0" fontId="12" fillId="7" borderId="3" xfId="0" applyFont="1" applyFill="1" applyBorder="1" applyAlignment="1">
      <alignment horizontal="left" vertical="top" wrapText="1"/>
    </xf>
    <xf numFmtId="0" fontId="12" fillId="7" borderId="9" xfId="0" applyFont="1" applyFill="1" applyBorder="1" applyAlignment="1">
      <alignment vertical="top" wrapText="1"/>
    </xf>
    <xf numFmtId="0" fontId="12" fillId="7" borderId="10" xfId="0" applyFont="1" applyFill="1" applyBorder="1" applyAlignment="1" applyProtection="1">
      <alignment horizontal="center" vertical="top" wrapText="1"/>
      <protection locked="0"/>
    </xf>
    <xf numFmtId="0" fontId="30" fillId="10" borderId="10" xfId="0" applyFont="1" applyFill="1" applyBorder="1" applyAlignment="1">
      <alignment vertical="center" wrapText="1"/>
    </xf>
    <xf numFmtId="0" fontId="0" fillId="0" borderId="32" xfId="0" applyFont="1" applyBorder="1" applyAlignment="1">
      <alignment vertical="center" wrapText="1"/>
    </xf>
    <xf numFmtId="0" fontId="0" fillId="0" borderId="38" xfId="0" applyFont="1" applyBorder="1" applyAlignment="1">
      <alignment vertical="center" wrapText="1"/>
    </xf>
    <xf numFmtId="0" fontId="0" fillId="0" borderId="32" xfId="0" applyFont="1" applyBorder="1" applyAlignment="1">
      <alignment vertical="center"/>
    </xf>
    <xf numFmtId="0" fontId="0" fillId="7" borderId="3" xfId="0" applyFont="1" applyFill="1" applyBorder="1" applyAlignment="1"/>
    <xf numFmtId="0" fontId="0" fillId="7" borderId="9" xfId="0" applyFont="1" applyFill="1" applyBorder="1" applyAlignment="1"/>
    <xf numFmtId="0" fontId="0" fillId="7" borderId="10" xfId="0" applyFont="1" applyFill="1" applyBorder="1" applyAlignment="1"/>
    <xf numFmtId="0" fontId="30" fillId="7" borderId="38" xfId="0" applyFont="1" applyFill="1" applyBorder="1" applyAlignment="1">
      <alignment horizontal="left" vertical="center"/>
    </xf>
    <xf numFmtId="0" fontId="17" fillId="12" borderId="10" xfId="0" applyFont="1" applyFill="1" applyBorder="1" applyAlignment="1">
      <alignment vertical="center" wrapText="1"/>
    </xf>
    <xf numFmtId="0" fontId="0" fillId="0" borderId="10" xfId="0" applyFont="1" applyBorder="1" applyAlignment="1">
      <alignment vertical="center" wrapText="1"/>
    </xf>
    <xf numFmtId="0" fontId="0" fillId="7" borderId="3" xfId="0" applyFont="1" applyFill="1" applyBorder="1" applyAlignment="1">
      <alignment vertical="center"/>
    </xf>
    <xf numFmtId="0" fontId="0" fillId="7" borderId="9" xfId="0" applyFont="1" applyFill="1" applyBorder="1" applyAlignment="1">
      <alignment vertical="center"/>
    </xf>
    <xf numFmtId="0" fontId="0" fillId="7" borderId="10" xfId="0" applyFont="1" applyFill="1" applyBorder="1" applyAlignment="1">
      <alignment vertical="center"/>
    </xf>
    <xf numFmtId="0" fontId="0" fillId="0" borderId="39" xfId="0" applyBorder="1" applyAlignment="1">
      <alignment wrapText="1"/>
    </xf>
    <xf numFmtId="0" fontId="17" fillId="7" borderId="32" xfId="0" applyFont="1" applyFill="1" applyBorder="1" applyAlignment="1">
      <alignment wrapText="1"/>
    </xf>
    <xf numFmtId="0" fontId="17" fillId="0" borderId="32" xfId="0" applyFont="1" applyFill="1" applyBorder="1" applyAlignment="1">
      <alignment wrapText="1"/>
    </xf>
    <xf numFmtId="0" fontId="17" fillId="7" borderId="38" xfId="0" applyFont="1" applyFill="1" applyBorder="1" applyAlignment="1" applyProtection="1">
      <alignment wrapText="1"/>
    </xf>
    <xf numFmtId="0" fontId="30" fillId="10" borderId="10" xfId="0" applyFont="1" applyFill="1" applyBorder="1" applyAlignment="1"/>
    <xf numFmtId="0" fontId="30" fillId="10" borderId="10" xfId="0" applyFont="1" applyFill="1" applyBorder="1" applyAlignment="1">
      <alignment wrapText="1"/>
    </xf>
    <xf numFmtId="0" fontId="32" fillId="0" borderId="10" xfId="0" applyFont="1" applyBorder="1" applyAlignment="1">
      <alignment vertical="center"/>
    </xf>
    <xf numFmtId="0" fontId="30" fillId="10" borderId="39" xfId="0" applyFont="1" applyFill="1" applyBorder="1" applyAlignment="1"/>
    <xf numFmtId="0" fontId="17" fillId="0" borderId="48" xfId="0" applyFont="1" applyBorder="1" applyAlignment="1">
      <alignment wrapText="1"/>
    </xf>
    <xf numFmtId="0" fontId="15" fillId="12" borderId="10" xfId="0" applyFont="1" applyFill="1" applyBorder="1" applyAlignment="1">
      <alignment vertical="top" wrapText="1"/>
    </xf>
    <xf numFmtId="0" fontId="20" fillId="7" borderId="3" xfId="0" applyFont="1" applyFill="1" applyBorder="1" applyAlignment="1">
      <alignment vertical="top" wrapText="1"/>
    </xf>
    <xf numFmtId="0" fontId="20" fillId="7" borderId="9" xfId="0" applyFont="1" applyFill="1" applyBorder="1" applyAlignment="1">
      <alignment vertical="top" wrapText="1"/>
    </xf>
    <xf numFmtId="0" fontId="20" fillId="7" borderId="48" xfId="0" applyFont="1" applyFill="1" applyBorder="1" applyAlignment="1">
      <alignment vertical="top" wrapText="1"/>
    </xf>
    <xf numFmtId="0" fontId="0" fillId="0" borderId="38" xfId="0" applyBorder="1" applyAlignment="1"/>
    <xf numFmtId="0" fontId="17" fillId="7" borderId="3" xfId="0" applyFont="1" applyFill="1" applyBorder="1" applyAlignment="1" applyProtection="1">
      <alignment horizontal="left" vertical="top" wrapText="1"/>
    </xf>
    <xf numFmtId="0" fontId="17" fillId="7" borderId="9" xfId="0" applyFont="1" applyFill="1" applyBorder="1" applyAlignment="1" applyProtection="1">
      <alignment horizontal="left" vertical="top" wrapText="1"/>
    </xf>
    <xf numFmtId="0" fontId="17" fillId="7" borderId="10" xfId="0" applyFont="1" applyFill="1" applyBorder="1" applyAlignment="1" applyProtection="1">
      <alignment horizontal="left" vertical="top" wrapText="1"/>
    </xf>
    <xf numFmtId="0" fontId="20" fillId="7" borderId="10" xfId="0" applyFont="1" applyFill="1" applyBorder="1" applyAlignment="1">
      <alignment vertical="top" wrapText="1"/>
    </xf>
    <xf numFmtId="0" fontId="17" fillId="0" borderId="54" xfId="0" applyFont="1" applyFill="1" applyBorder="1" applyAlignment="1" applyProtection="1">
      <alignment wrapText="1"/>
    </xf>
    <xf numFmtId="0" fontId="17" fillId="0" borderId="58" xfId="0" applyFont="1" applyFill="1" applyBorder="1" applyAlignment="1" applyProtection="1">
      <alignment wrapText="1"/>
    </xf>
    <xf numFmtId="0" fontId="5" fillId="0" borderId="18" xfId="0" applyFont="1" applyFill="1" applyBorder="1" applyAlignment="1" applyProtection="1">
      <alignment wrapText="1"/>
      <protection locked="0"/>
    </xf>
    <xf numFmtId="0" fontId="5" fillId="7" borderId="7" xfId="0" applyFont="1" applyFill="1" applyBorder="1" applyAlignment="1" applyProtection="1">
      <protection locked="0"/>
    </xf>
    <xf numFmtId="0" fontId="14" fillId="0" borderId="15" xfId="0" applyFont="1" applyBorder="1" applyAlignment="1" applyProtection="1">
      <alignment vertical="top" wrapText="1"/>
      <protection locked="0"/>
    </xf>
    <xf numFmtId="0" fontId="14" fillId="0" borderId="55" xfId="0" applyFont="1" applyBorder="1" applyAlignment="1" applyProtection="1">
      <alignment vertical="top" wrapText="1"/>
      <protection locked="0"/>
    </xf>
    <xf numFmtId="0" fontId="14" fillId="0" borderId="56" xfId="0" applyFont="1" applyBorder="1" applyAlignment="1" applyProtection="1">
      <alignment vertical="top" wrapText="1"/>
      <protection locked="0"/>
    </xf>
    <xf numFmtId="0" fontId="22" fillId="7" borderId="0" xfId="0" applyFont="1" applyFill="1" applyBorder="1" applyAlignment="1">
      <alignment vertical="top"/>
    </xf>
    <xf numFmtId="0" fontId="22" fillId="7" borderId="14" xfId="0" applyFont="1" applyFill="1" applyBorder="1" applyAlignment="1">
      <alignment vertical="top"/>
    </xf>
    <xf numFmtId="0" fontId="22" fillId="7" borderId="0" xfId="0" applyFont="1" applyFill="1" applyAlignment="1">
      <alignment vertical="top"/>
    </xf>
    <xf numFmtId="0" fontId="22" fillId="8" borderId="0" xfId="0" applyFont="1" applyFill="1" applyAlignment="1">
      <alignment vertical="top"/>
    </xf>
    <xf numFmtId="0" fontId="22" fillId="2" borderId="0" xfId="0" applyFont="1" applyFill="1" applyAlignment="1">
      <alignment vertical="top"/>
    </xf>
    <xf numFmtId="0" fontId="0" fillId="0" borderId="26" xfId="0" applyBorder="1" applyAlignment="1" applyProtection="1">
      <alignment vertical="top"/>
      <protection locked="0"/>
    </xf>
    <xf numFmtId="0" fontId="0" fillId="0" borderId="15" xfId="0" applyBorder="1" applyAlignment="1" applyProtection="1">
      <alignment vertical="top"/>
      <protection locked="0"/>
    </xf>
    <xf numFmtId="0" fontId="13" fillId="7" borderId="0" xfId="0" applyFont="1" applyFill="1" applyBorder="1" applyAlignment="1">
      <alignment vertical="top"/>
    </xf>
    <xf numFmtId="0" fontId="13" fillId="7" borderId="14" xfId="0" applyFont="1" applyFill="1" applyBorder="1" applyAlignment="1">
      <alignment vertical="top"/>
    </xf>
    <xf numFmtId="0" fontId="13" fillId="7" borderId="0" xfId="0" applyFont="1" applyFill="1" applyAlignment="1">
      <alignment vertical="top"/>
    </xf>
    <xf numFmtId="0" fontId="13" fillId="8" borderId="0" xfId="0" applyFont="1" applyFill="1" applyAlignment="1">
      <alignment vertical="top"/>
    </xf>
    <xf numFmtId="0" fontId="13" fillId="2" borderId="0" xfId="0" applyFont="1" applyFill="1" applyAlignment="1">
      <alignment vertical="top"/>
    </xf>
    <xf numFmtId="0" fontId="6" fillId="7" borderId="0" xfId="0" applyFont="1" applyFill="1" applyBorder="1" applyAlignment="1">
      <alignment vertical="top"/>
    </xf>
    <xf numFmtId="0" fontId="6" fillId="7" borderId="14" xfId="0" applyFont="1" applyFill="1" applyBorder="1" applyAlignment="1">
      <alignment vertical="top"/>
    </xf>
    <xf numFmtId="0" fontId="6" fillId="7" borderId="0" xfId="0" applyFont="1" applyFill="1" applyAlignment="1">
      <alignment vertical="top"/>
    </xf>
    <xf numFmtId="0" fontId="6" fillId="8" borderId="0" xfId="0" applyFont="1" applyFill="1" applyAlignment="1">
      <alignment vertical="top"/>
    </xf>
    <xf numFmtId="0" fontId="6" fillId="2" borderId="0" xfId="0" applyFont="1" applyFill="1" applyAlignment="1">
      <alignment vertical="top"/>
    </xf>
    <xf numFmtId="0" fontId="8" fillId="7" borderId="0" xfId="0" applyFont="1" applyFill="1" applyAlignment="1" applyProtection="1">
      <alignment wrapText="1"/>
      <protection locked="0"/>
    </xf>
    <xf numFmtId="0" fontId="8" fillId="13" borderId="0" xfId="0" applyFont="1" applyFill="1" applyAlignment="1" applyProtection="1">
      <alignment wrapText="1"/>
      <protection locked="0"/>
    </xf>
    <xf numFmtId="0" fontId="8" fillId="2" borderId="0" xfId="0" applyFont="1" applyFill="1" applyAlignment="1" applyProtection="1">
      <alignment wrapText="1"/>
      <protection locked="0"/>
    </xf>
    <xf numFmtId="0" fontId="6" fillId="2" borderId="0" xfId="0" applyFont="1" applyFill="1" applyAlignment="1">
      <alignment horizontal="center"/>
    </xf>
    <xf numFmtId="0" fontId="5" fillId="0" borderId="26" xfId="0" applyFont="1" applyBorder="1" applyAlignment="1" applyProtection="1">
      <alignment horizontal="left" vertical="top" wrapText="1"/>
      <protection locked="0"/>
    </xf>
    <xf numFmtId="0" fontId="5" fillId="0" borderId="42" xfId="0" applyFont="1" applyBorder="1" applyAlignment="1" applyProtection="1">
      <alignment vertical="top" wrapText="1"/>
    </xf>
    <xf numFmtId="0" fontId="5" fillId="0" borderId="30" xfId="0" applyFont="1" applyBorder="1" applyAlignment="1" applyProtection="1">
      <alignment horizontal="left" vertical="top" wrapText="1"/>
      <protection locked="0"/>
    </xf>
    <xf numFmtId="0" fontId="5" fillId="0" borderId="26" xfId="0" applyFont="1" applyBorder="1" applyAlignment="1" applyProtection="1">
      <alignment vertical="top" wrapText="1"/>
      <protection locked="0"/>
    </xf>
    <xf numFmtId="0" fontId="17" fillId="0" borderId="23" xfId="0" applyFont="1" applyBorder="1" applyAlignment="1" applyProtection="1">
      <alignment vertical="center" wrapText="1"/>
      <protection locked="0"/>
    </xf>
    <xf numFmtId="0" fontId="4" fillId="11" borderId="9" xfId="1" applyFill="1" applyBorder="1" applyAlignment="1" applyProtection="1"/>
    <xf numFmtId="0" fontId="17" fillId="0" borderId="61" xfId="0" applyFont="1" applyFill="1" applyBorder="1" applyAlignment="1" applyProtection="1">
      <alignment horizontal="left" wrapText="1"/>
      <protection locked="0"/>
    </xf>
    <xf numFmtId="14" fontId="5" fillId="7" borderId="11" xfId="0" applyNumberFormat="1" applyFont="1" applyFill="1" applyBorder="1" applyAlignment="1" applyProtection="1">
      <alignment horizontal="left" wrapText="1"/>
      <protection locked="0"/>
    </xf>
    <xf numFmtId="0" fontId="5" fillId="0" borderId="15" xfId="0" applyFont="1" applyBorder="1" applyAlignment="1" applyProtection="1">
      <alignment vertical="top" wrapText="1"/>
    </xf>
    <xf numFmtId="0" fontId="6" fillId="13" borderId="0" xfId="0" applyFont="1" applyFill="1" applyBorder="1"/>
    <xf numFmtId="0" fontId="7" fillId="13" borderId="0" xfId="0" applyFont="1" applyFill="1" applyBorder="1"/>
    <xf numFmtId="0" fontId="4" fillId="13" borderId="0" xfId="1" applyFill="1" applyBorder="1" applyAlignment="1" applyProtection="1"/>
    <xf numFmtId="0" fontId="0" fillId="13" borderId="0" xfId="0" applyFill="1" applyBorder="1"/>
    <xf numFmtId="0" fontId="6" fillId="13" borderId="0" xfId="0" applyFont="1" applyFill="1" applyBorder="1" applyProtection="1">
      <protection locked="0"/>
    </xf>
    <xf numFmtId="0" fontId="8" fillId="13" borderId="0" xfId="0" applyFont="1" applyFill="1" applyBorder="1" applyAlignment="1" applyProtection="1">
      <alignment wrapText="1"/>
      <protection locked="0"/>
    </xf>
    <xf numFmtId="0" fontId="6" fillId="7" borderId="13" xfId="0" applyFont="1" applyFill="1" applyBorder="1"/>
    <xf numFmtId="0" fontId="8" fillId="7" borderId="26" xfId="0" applyFont="1" applyFill="1" applyBorder="1" applyAlignment="1" applyProtection="1">
      <alignment wrapText="1"/>
      <protection locked="0"/>
    </xf>
    <xf numFmtId="0" fontId="8" fillId="7" borderId="15" xfId="0" applyFont="1" applyFill="1" applyBorder="1" applyAlignment="1" applyProtection="1">
      <alignment wrapText="1"/>
      <protection locked="0"/>
    </xf>
    <xf numFmtId="0" fontId="8" fillId="7" borderId="30" xfId="0" applyFont="1" applyFill="1" applyBorder="1" applyAlignment="1" applyProtection="1">
      <alignment wrapText="1"/>
      <protection locked="0"/>
    </xf>
    <xf numFmtId="0" fontId="8" fillId="7" borderId="16" xfId="0" applyFont="1" applyFill="1" applyBorder="1" applyAlignment="1" applyProtection="1">
      <alignment wrapText="1"/>
      <protection locked="0"/>
    </xf>
    <xf numFmtId="0" fontId="5" fillId="0" borderId="5" xfId="0" applyFont="1" applyBorder="1" applyAlignment="1" applyProtection="1">
      <alignment vertical="top" wrapText="1"/>
    </xf>
    <xf numFmtId="0" fontId="5" fillId="0" borderId="39" xfId="0" applyFont="1" applyBorder="1" applyAlignment="1" applyProtection="1">
      <alignment vertical="top" wrapText="1"/>
    </xf>
    <xf numFmtId="0" fontId="5" fillId="0" borderId="32" xfId="0" applyFont="1" applyBorder="1" applyAlignment="1" applyProtection="1">
      <alignment vertical="top" wrapText="1"/>
    </xf>
    <xf numFmtId="0" fontId="5" fillId="0" borderId="0" xfId="0" applyFont="1" applyBorder="1" applyAlignment="1" applyProtection="1">
      <alignment vertical="top" wrapText="1"/>
      <protection locked="0"/>
    </xf>
    <xf numFmtId="0" fontId="0" fillId="0" borderId="26" xfId="0" applyBorder="1" applyAlignment="1">
      <alignment wrapText="1"/>
    </xf>
    <xf numFmtId="0" fontId="0" fillId="0" borderId="15" xfId="0" applyBorder="1" applyAlignment="1">
      <alignment wrapText="1"/>
    </xf>
    <xf numFmtId="0" fontId="0" fillId="0" borderId="30" xfId="0" applyBorder="1" applyAlignment="1">
      <alignment wrapText="1"/>
    </xf>
    <xf numFmtId="0" fontId="0" fillId="0" borderId="16" xfId="0" applyBorder="1" applyAlignment="1">
      <alignment wrapText="1"/>
    </xf>
    <xf numFmtId="0" fontId="0" fillId="0" borderId="23" xfId="0" applyFont="1" applyBorder="1" applyAlignment="1" applyProtection="1">
      <alignment horizontal="left" vertical="center" wrapText="1"/>
      <protection locked="0"/>
    </xf>
    <xf numFmtId="0" fontId="0" fillId="0" borderId="37" xfId="0" applyFont="1" applyBorder="1" applyAlignment="1" applyProtection="1">
      <alignment horizontal="left" vertical="center" wrapText="1"/>
      <protection locked="0"/>
    </xf>
    <xf numFmtId="0" fontId="17" fillId="0" borderId="26" xfId="0" applyFont="1" applyBorder="1" applyAlignment="1" applyProtection="1">
      <alignment vertical="top" wrapText="1"/>
      <protection locked="0"/>
    </xf>
    <xf numFmtId="0" fontId="17" fillId="0" borderId="23" xfId="0" applyFont="1" applyBorder="1" applyAlignment="1" applyProtection="1">
      <alignment vertical="top" wrapText="1"/>
      <protection locked="0"/>
    </xf>
    <xf numFmtId="0" fontId="17" fillId="0" borderId="53" xfId="0" applyFont="1" applyBorder="1" applyAlignment="1" applyProtection="1">
      <alignment vertical="top" wrapText="1"/>
      <protection locked="0"/>
    </xf>
    <xf numFmtId="0" fontId="5" fillId="0" borderId="55" xfId="0" applyFont="1" applyBorder="1" applyAlignment="1" applyProtection="1">
      <alignment vertical="top" wrapText="1"/>
      <protection locked="0"/>
    </xf>
    <xf numFmtId="0" fontId="17" fillId="0" borderId="23" xfId="0" applyFont="1" applyBorder="1" applyAlignment="1" applyProtection="1">
      <alignment vertical="center" wrapText="1"/>
    </xf>
    <xf numFmtId="0" fontId="0" fillId="0" borderId="16" xfId="0" applyFont="1" applyBorder="1" applyAlignment="1" applyProtection="1">
      <alignment horizontal="left" vertical="center" wrapText="1"/>
      <protection locked="0"/>
    </xf>
    <xf numFmtId="0" fontId="0" fillId="0" borderId="15" xfId="0" applyFont="1" applyBorder="1" applyAlignment="1" applyProtection="1">
      <alignment horizontal="left" vertical="center" wrapText="1"/>
      <protection locked="0"/>
    </xf>
    <xf numFmtId="0" fontId="0" fillId="0" borderId="0" xfId="0" applyProtection="1">
      <protection locked="0"/>
    </xf>
    <xf numFmtId="0" fontId="0" fillId="0" borderId="0" xfId="0" applyAlignment="1" applyProtection="1">
      <alignment horizontal="left" vertical="top" wrapText="1"/>
      <protection locked="0"/>
    </xf>
    <xf numFmtId="0" fontId="35" fillId="0" borderId="3" xfId="0" applyFont="1" applyBorder="1" applyAlignment="1" applyProtection="1">
      <alignment horizontal="left" vertical="top" wrapText="1"/>
      <protection locked="0"/>
    </xf>
    <xf numFmtId="0" fontId="35" fillId="0" borderId="9" xfId="0" applyFont="1" applyBorder="1" applyAlignment="1" applyProtection="1">
      <alignment horizontal="left" vertical="top" wrapText="1"/>
      <protection locked="0"/>
    </xf>
    <xf numFmtId="0" fontId="35" fillId="0" borderId="10" xfId="0" applyFont="1" applyBorder="1" applyAlignment="1" applyProtection="1">
      <alignment horizontal="left" vertical="top" wrapText="1"/>
      <protection locked="0"/>
    </xf>
    <xf numFmtId="0" fontId="0" fillId="0" borderId="26" xfId="0" applyBorder="1" applyProtection="1">
      <protection locked="0"/>
    </xf>
    <xf numFmtId="0" fontId="0" fillId="0" borderId="15" xfId="0" applyBorder="1" applyProtection="1">
      <protection locked="0"/>
    </xf>
    <xf numFmtId="0" fontId="17" fillId="0" borderId="26" xfId="0" applyFont="1" applyBorder="1" applyAlignment="1" applyProtection="1">
      <alignment vertical="center" wrapText="1"/>
      <protection locked="0"/>
    </xf>
    <xf numFmtId="0" fontId="17" fillId="0" borderId="0" xfId="0" applyFont="1" applyBorder="1" applyAlignment="1" applyProtection="1">
      <alignment vertical="center" wrapText="1"/>
      <protection locked="0"/>
    </xf>
    <xf numFmtId="164" fontId="34" fillId="0" borderId="26" xfId="0" applyNumberFormat="1" applyFont="1" applyBorder="1" applyAlignment="1" applyProtection="1">
      <alignment horizontal="left" vertical="top" wrapText="1"/>
      <protection locked="0"/>
    </xf>
    <xf numFmtId="164" fontId="1" fillId="0" borderId="26" xfId="0" applyNumberFormat="1" applyFont="1" applyBorder="1" applyAlignment="1" applyProtection="1">
      <alignment horizontal="left" vertical="top" wrapText="1"/>
      <protection locked="0"/>
    </xf>
    <xf numFmtId="0" fontId="33" fillId="0" borderId="26" xfId="3" applyFill="1" applyBorder="1" applyAlignment="1" applyProtection="1">
      <alignment horizontal="left" vertical="top" wrapText="1"/>
      <protection locked="0"/>
    </xf>
    <xf numFmtId="0" fontId="33" fillId="0" borderId="26" xfId="3" applyBorder="1" applyAlignment="1" applyProtection="1">
      <alignment horizontal="left" vertical="top" wrapText="1"/>
      <protection locked="0"/>
    </xf>
    <xf numFmtId="0" fontId="17" fillId="0" borderId="54" xfId="0" applyFont="1" applyBorder="1" applyAlignment="1" applyProtection="1">
      <alignment vertical="top" wrapText="1"/>
      <protection locked="0"/>
    </xf>
    <xf numFmtId="0" fontId="5" fillId="0" borderId="58" xfId="0" applyFont="1" applyBorder="1" applyAlignment="1" applyProtection="1">
      <alignment vertical="top" wrapText="1"/>
      <protection locked="0"/>
    </xf>
    <xf numFmtId="0" fontId="32" fillId="0" borderId="26" xfId="3" applyFont="1" applyBorder="1" applyAlignment="1" applyProtection="1">
      <alignment horizontal="left" vertical="top" wrapText="1"/>
      <protection locked="0"/>
    </xf>
    <xf numFmtId="0" fontId="33" fillId="0" borderId="11" xfId="3" applyFont="1" applyBorder="1" applyAlignment="1" applyProtection="1">
      <alignment horizontal="left" wrapText="1"/>
      <protection locked="0"/>
    </xf>
    <xf numFmtId="0" fontId="33" fillId="0" borderId="14" xfId="3" applyFont="1" applyBorder="1" applyAlignment="1" applyProtection="1">
      <alignment horizontal="left" wrapText="1"/>
      <protection locked="0"/>
    </xf>
    <xf numFmtId="0" fontId="33" fillId="0" borderId="22" xfId="3" applyFont="1" applyBorder="1" applyAlignment="1" applyProtection="1">
      <alignment horizontal="left" wrapText="1"/>
      <protection locked="0"/>
    </xf>
    <xf numFmtId="164" fontId="5" fillId="0" borderId="11" xfId="0" applyNumberFormat="1" applyFont="1" applyBorder="1" applyAlignment="1" applyProtection="1">
      <alignment wrapText="1"/>
      <protection locked="0"/>
    </xf>
    <xf numFmtId="164" fontId="5" fillId="0" borderId="14" xfId="0" applyNumberFormat="1" applyFont="1" applyBorder="1" applyAlignment="1" applyProtection="1">
      <alignment vertical="top" wrapText="1"/>
      <protection locked="0"/>
    </xf>
    <xf numFmtId="164" fontId="5" fillId="0" borderId="14" xfId="0" applyNumberFormat="1" applyFont="1" applyBorder="1" applyAlignment="1" applyProtection="1">
      <alignment wrapText="1"/>
      <protection locked="0"/>
    </xf>
    <xf numFmtId="164" fontId="5" fillId="0" borderId="22" xfId="0" applyNumberFormat="1" applyFont="1" applyBorder="1" applyAlignment="1" applyProtection="1">
      <alignment wrapText="1"/>
      <protection locked="0"/>
    </xf>
    <xf numFmtId="0" fontId="33" fillId="0" borderId="22" xfId="0" applyFont="1" applyBorder="1" applyAlignment="1" applyProtection="1">
      <alignment wrapText="1"/>
      <protection locked="0"/>
    </xf>
    <xf numFmtId="0" fontId="33" fillId="0" borderId="14" xfId="3" applyFont="1" applyFill="1" applyBorder="1" applyAlignment="1" applyProtection="1">
      <alignment horizontal="left" wrapText="1"/>
      <protection locked="0"/>
    </xf>
    <xf numFmtId="0" fontId="33" fillId="0" borderId="14" xfId="0" applyFont="1" applyBorder="1" applyAlignment="1" applyProtection="1">
      <alignment wrapText="1"/>
      <protection locked="0"/>
    </xf>
    <xf numFmtId="164" fontId="5" fillId="0" borderId="14" xfId="0" applyNumberFormat="1" applyFont="1" applyFill="1" applyBorder="1" applyAlignment="1" applyProtection="1">
      <alignment wrapText="1"/>
      <protection locked="0"/>
    </xf>
    <xf numFmtId="164" fontId="5" fillId="0" borderId="11" xfId="0" applyNumberFormat="1" applyFont="1" applyFill="1" applyBorder="1" applyAlignment="1" applyProtection="1">
      <alignment wrapText="1"/>
      <protection locked="0"/>
    </xf>
    <xf numFmtId="0" fontId="33" fillId="0" borderId="14" xfId="0" applyFont="1" applyFill="1" applyBorder="1" applyAlignment="1" applyProtection="1">
      <alignment wrapText="1"/>
      <protection locked="0"/>
    </xf>
    <xf numFmtId="164" fontId="5" fillId="0" borderId="22" xfId="0" applyNumberFormat="1" applyFont="1" applyFill="1" applyBorder="1" applyAlignment="1" applyProtection="1">
      <alignment wrapText="1"/>
      <protection locked="0"/>
    </xf>
    <xf numFmtId="0" fontId="33" fillId="0" borderId="14" xfId="0" applyFont="1" applyFill="1" applyBorder="1" applyAlignment="1" applyProtection="1">
      <alignment vertical="center" wrapText="1"/>
      <protection locked="0"/>
    </xf>
    <xf numFmtId="0" fontId="33" fillId="0" borderId="14" xfId="0" applyFont="1" applyFill="1" applyBorder="1" applyAlignment="1" applyProtection="1">
      <alignment vertical="top" wrapText="1"/>
      <protection locked="0"/>
    </xf>
    <xf numFmtId="0" fontId="33" fillId="0" borderId="14" xfId="0" applyFont="1" applyFill="1" applyBorder="1" applyAlignment="1" applyProtection="1">
      <alignment horizontal="left" vertical="top" wrapText="1"/>
      <protection locked="0"/>
    </xf>
    <xf numFmtId="0" fontId="33" fillId="0" borderId="14" xfId="0" applyFont="1" applyFill="1" applyBorder="1" applyAlignment="1" applyProtection="1">
      <alignment horizontal="left" vertical="center" wrapText="1"/>
      <protection locked="0"/>
    </xf>
    <xf numFmtId="0" fontId="17" fillId="0" borderId="26" xfId="0" applyFont="1" applyBorder="1" applyAlignment="1" applyProtection="1">
      <alignment vertical="top" wrapText="1"/>
      <protection locked="0"/>
    </xf>
    <xf numFmtId="164" fontId="5" fillId="0" borderId="0" xfId="0" applyNumberFormat="1" applyFont="1" applyBorder="1" applyAlignment="1" applyProtection="1">
      <alignment wrapText="1"/>
      <protection locked="0"/>
    </xf>
    <xf numFmtId="0" fontId="0" fillId="0" borderId="0" xfId="0" applyAlignment="1" applyProtection="1">
      <alignment wrapText="1"/>
      <protection locked="0"/>
    </xf>
    <xf numFmtId="0" fontId="33" fillId="0" borderId="0" xfId="3" applyFont="1" applyBorder="1" applyAlignment="1" applyProtection="1">
      <alignment horizontal="left" vertical="center" wrapText="1"/>
      <protection locked="0"/>
    </xf>
    <xf numFmtId="0" fontId="33" fillId="0" borderId="8" xfId="3" applyFont="1" applyBorder="1" applyAlignment="1" applyProtection="1">
      <alignment horizontal="left" vertical="center" wrapText="1"/>
      <protection locked="0"/>
    </xf>
    <xf numFmtId="164" fontId="5" fillId="0" borderId="4" xfId="0" applyNumberFormat="1" applyFont="1" applyBorder="1" applyAlignment="1" applyProtection="1">
      <alignment wrapText="1"/>
      <protection locked="0"/>
    </xf>
    <xf numFmtId="0" fontId="33" fillId="0" borderId="4" xfId="3" applyFont="1" applyBorder="1" applyAlignment="1" applyProtection="1">
      <alignment horizontal="left" vertical="center" wrapText="1"/>
      <protection locked="0"/>
    </xf>
    <xf numFmtId="0" fontId="0" fillId="0" borderId="0" xfId="3" applyFont="1" applyBorder="1" applyAlignment="1" applyProtection="1">
      <alignment horizontal="left" vertical="center" wrapText="1"/>
      <protection locked="0"/>
    </xf>
    <xf numFmtId="164" fontId="5" fillId="0" borderId="8" xfId="0" applyNumberFormat="1" applyFont="1" applyBorder="1" applyAlignment="1" applyProtection="1">
      <alignment wrapText="1"/>
      <protection locked="0"/>
    </xf>
    <xf numFmtId="0" fontId="33" fillId="0" borderId="0" xfId="3" applyFont="1" applyFill="1" applyBorder="1" applyAlignment="1" applyProtection="1">
      <alignment horizontal="left" vertical="center" wrapText="1"/>
      <protection locked="0"/>
    </xf>
    <xf numFmtId="0" fontId="33" fillId="0" borderId="8" xfId="3" applyFont="1" applyFill="1" applyBorder="1" applyAlignment="1" applyProtection="1">
      <alignment horizontal="left" vertical="center" wrapText="1"/>
      <protection locked="0"/>
    </xf>
    <xf numFmtId="0" fontId="0" fillId="0" borderId="4" xfId="3" applyFont="1" applyFill="1" applyBorder="1" applyAlignment="1" applyProtection="1">
      <alignment horizontal="left" vertical="center" wrapText="1"/>
      <protection locked="0"/>
    </xf>
    <xf numFmtId="0" fontId="33" fillId="0" borderId="0" xfId="0" applyFont="1" applyFill="1" applyBorder="1" applyAlignment="1" applyProtection="1">
      <alignment horizontal="left" vertical="center" wrapText="1"/>
      <protection locked="0"/>
    </xf>
    <xf numFmtId="0" fontId="33" fillId="0" borderId="0" xfId="0" applyFont="1" applyFill="1" applyBorder="1" applyAlignment="1" applyProtection="1">
      <alignment wrapText="1"/>
      <protection locked="0"/>
    </xf>
    <xf numFmtId="0" fontId="33" fillId="0" borderId="4" xfId="3" applyFont="1" applyFill="1" applyBorder="1" applyAlignment="1" applyProtection="1">
      <alignment horizontal="left" vertical="center" wrapText="1"/>
      <protection locked="0"/>
    </xf>
    <xf numFmtId="0" fontId="32" fillId="0" borderId="26" xfId="3" applyFont="1" applyFill="1" applyBorder="1" applyAlignment="1" applyProtection="1">
      <alignment horizontal="left" vertical="top" wrapText="1"/>
      <protection locked="0"/>
    </xf>
    <xf numFmtId="0" fontId="33" fillId="0" borderId="26" xfId="3" applyFont="1" applyBorder="1" applyAlignment="1" applyProtection="1">
      <alignment horizontal="left" vertical="top" wrapText="1"/>
      <protection locked="0"/>
    </xf>
    <xf numFmtId="164" fontId="5" fillId="0" borderId="26" xfId="0" applyNumberFormat="1" applyFont="1" applyFill="1" applyBorder="1" applyAlignment="1" applyProtection="1">
      <alignment vertical="top" wrapText="1"/>
      <protection locked="0"/>
    </xf>
    <xf numFmtId="0" fontId="17" fillId="0" borderId="62" xfId="0" applyFont="1" applyBorder="1" applyAlignment="1" applyProtection="1">
      <alignment vertical="top" wrapText="1"/>
      <protection locked="0"/>
    </xf>
    <xf numFmtId="0" fontId="17" fillId="0" borderId="0" xfId="0" applyFont="1" applyBorder="1" applyAlignment="1" applyProtection="1">
      <alignment vertical="top" wrapText="1"/>
      <protection locked="0"/>
    </xf>
    <xf numFmtId="0" fontId="30" fillId="14" borderId="3" xfId="0" applyFont="1" applyFill="1" applyBorder="1" applyAlignment="1">
      <alignment wrapText="1"/>
    </xf>
    <xf numFmtId="0" fontId="30" fillId="14" borderId="9" xfId="0" applyFont="1" applyFill="1" applyBorder="1" applyAlignment="1">
      <alignment wrapText="1"/>
    </xf>
    <xf numFmtId="0" fontId="30" fillId="14" borderId="10" xfId="0" applyFont="1" applyFill="1" applyBorder="1" applyAlignment="1">
      <alignment wrapText="1"/>
    </xf>
    <xf numFmtId="0" fontId="30" fillId="14" borderId="3" xfId="0" applyFont="1" applyFill="1" applyBorder="1" applyAlignment="1"/>
    <xf numFmtId="0" fontId="30" fillId="14" borderId="9" xfId="0" applyFont="1" applyFill="1" applyBorder="1" applyAlignment="1"/>
    <xf numFmtId="0" fontId="30" fillId="14" borderId="10" xfId="0" applyFont="1" applyFill="1" applyBorder="1" applyAlignment="1"/>
    <xf numFmtId="0" fontId="15" fillId="14" borderId="18" xfId="0" applyFont="1" applyFill="1" applyBorder="1" applyAlignment="1">
      <alignment vertical="center" wrapText="1"/>
    </xf>
    <xf numFmtId="0" fontId="15" fillId="14" borderId="19" xfId="0" applyFont="1" applyFill="1" applyBorder="1" applyAlignment="1">
      <alignment vertical="center" wrapText="1"/>
    </xf>
    <xf numFmtId="0" fontId="15" fillId="14" borderId="58" xfId="0" applyFont="1" applyFill="1" applyBorder="1" applyAlignment="1">
      <alignment horizontal="center" vertical="center" wrapText="1"/>
    </xf>
    <xf numFmtId="0" fontId="15" fillId="14" borderId="50" xfId="0" applyFont="1" applyFill="1" applyBorder="1" applyAlignment="1">
      <alignment horizontal="center" vertical="center" wrapText="1"/>
    </xf>
    <xf numFmtId="0" fontId="30" fillId="14" borderId="59" xfId="0" applyFont="1" applyFill="1" applyBorder="1" applyAlignment="1">
      <alignment vertical="center"/>
    </xf>
    <xf numFmtId="0" fontId="30" fillId="14" borderId="5" xfId="0" applyFont="1" applyFill="1" applyBorder="1" applyAlignment="1">
      <alignment vertical="center"/>
    </xf>
    <xf numFmtId="0" fontId="30" fillId="14" borderId="39" xfId="0" applyFont="1" applyFill="1" applyBorder="1" applyAlignment="1">
      <alignment vertical="center"/>
    </xf>
    <xf numFmtId="0" fontId="30" fillId="14" borderId="23" xfId="0" applyFont="1" applyFill="1" applyBorder="1" applyAlignment="1">
      <alignment vertical="center"/>
    </xf>
    <xf numFmtId="0" fontId="30" fillId="14" borderId="53" xfId="0" applyFont="1" applyFill="1" applyBorder="1" applyAlignment="1">
      <alignment vertical="center"/>
    </xf>
    <xf numFmtId="0" fontId="30" fillId="14" borderId="7" xfId="0" applyFont="1" applyFill="1" applyBorder="1" applyAlignment="1">
      <alignment vertical="center"/>
    </xf>
    <xf numFmtId="0" fontId="30" fillId="14" borderId="4" xfId="0" applyFont="1" applyFill="1" applyBorder="1" applyAlignment="1">
      <alignment vertical="center"/>
    </xf>
    <xf numFmtId="0" fontId="30" fillId="14" borderId="11" xfId="0" applyFont="1" applyFill="1" applyBorder="1" applyAlignment="1">
      <alignment vertical="center"/>
    </xf>
    <xf numFmtId="0" fontId="17" fillId="14" borderId="51" xfId="0" applyFont="1" applyFill="1" applyBorder="1" applyAlignment="1">
      <alignment horizontal="left" vertical="center" wrapText="1"/>
    </xf>
    <xf numFmtId="0" fontId="17" fillId="14" borderId="31" xfId="0" applyFont="1" applyFill="1" applyBorder="1" applyAlignment="1">
      <alignment horizontal="left" vertical="center" wrapText="1"/>
    </xf>
    <xf numFmtId="0" fontId="17" fillId="14" borderId="24" xfId="0" applyFont="1" applyFill="1" applyBorder="1" applyAlignment="1">
      <alignment horizontal="left" vertical="center" wrapText="1"/>
    </xf>
    <xf numFmtId="0" fontId="17" fillId="14" borderId="30" xfId="0" applyFont="1" applyFill="1" applyBorder="1" applyAlignment="1">
      <alignment horizontal="left" vertical="center" wrapText="1"/>
    </xf>
    <xf numFmtId="0" fontId="30" fillId="14" borderId="3" xfId="0" applyFont="1" applyFill="1" applyBorder="1" applyAlignment="1">
      <alignment vertical="center" wrapText="1"/>
    </xf>
    <xf numFmtId="0" fontId="30" fillId="14" borderId="9" xfId="0" applyFont="1" applyFill="1" applyBorder="1" applyAlignment="1">
      <alignment vertical="center" wrapText="1"/>
    </xf>
    <xf numFmtId="0" fontId="30" fillId="14" borderId="10" xfId="0" applyFont="1" applyFill="1" applyBorder="1" applyAlignment="1">
      <alignment vertical="center" wrapText="1"/>
    </xf>
    <xf numFmtId="0" fontId="17" fillId="14" borderId="21" xfId="0" applyFont="1" applyFill="1" applyBorder="1" applyAlignment="1">
      <alignment horizontal="center" vertical="center"/>
    </xf>
    <xf numFmtId="0" fontId="17" fillId="14" borderId="3" xfId="0" applyFont="1" applyFill="1" applyBorder="1" applyAlignment="1">
      <alignment vertical="center" wrapText="1"/>
    </xf>
    <xf numFmtId="0" fontId="17" fillId="14" borderId="9" xfId="0" applyFont="1" applyFill="1" applyBorder="1" applyAlignment="1">
      <alignment vertical="center" wrapText="1"/>
    </xf>
    <xf numFmtId="0" fontId="17" fillId="14" borderId="10" xfId="0" applyFont="1" applyFill="1" applyBorder="1" applyAlignment="1">
      <alignment vertical="center" wrapText="1"/>
    </xf>
    <xf numFmtId="0" fontId="29" fillId="14" borderId="3" xfId="1" applyFont="1" applyFill="1" applyBorder="1" applyAlignment="1" applyProtection="1"/>
    <xf numFmtId="0" fontId="4" fillId="14" borderId="10" xfId="1" applyFill="1" applyBorder="1" applyAlignment="1" applyProtection="1"/>
    <xf numFmtId="0" fontId="31" fillId="14" borderId="18" xfId="0" applyFont="1" applyFill="1" applyBorder="1" applyAlignment="1">
      <alignment horizontal="center" vertical="top" wrapText="1"/>
    </xf>
    <xf numFmtId="0" fontId="31" fillId="14" borderId="61" xfId="0" applyFont="1" applyFill="1" applyBorder="1" applyAlignment="1">
      <alignment horizontal="center" vertical="top" wrapText="1"/>
    </xf>
    <xf numFmtId="0" fontId="23" fillId="14" borderId="29" xfId="2" applyFont="1" applyFill="1" applyBorder="1" applyAlignment="1">
      <alignment horizontal="center" vertical="center"/>
    </xf>
    <xf numFmtId="0" fontId="23" fillId="14" borderId="27" xfId="2" applyFont="1" applyFill="1" applyBorder="1" applyAlignment="1">
      <alignment horizontal="center" vertical="center" wrapText="1"/>
    </xf>
    <xf numFmtId="0" fontId="23" fillId="14" borderId="27" xfId="2" applyFont="1" applyFill="1" applyBorder="1" applyAlignment="1">
      <alignment horizontal="center" vertical="center"/>
    </xf>
    <xf numFmtId="0" fontId="23" fillId="14" borderId="28" xfId="2" applyFont="1" applyFill="1" applyBorder="1" applyAlignment="1">
      <alignment horizontal="center" vertical="center" wrapText="1"/>
    </xf>
    <xf numFmtId="0" fontId="32" fillId="0" borderId="0" xfId="3" applyFont="1" applyBorder="1" applyAlignment="1" applyProtection="1">
      <alignment horizontal="left" vertical="top" wrapText="1"/>
      <protection locked="0"/>
    </xf>
    <xf numFmtId="0" fontId="33" fillId="0" borderId="0" xfId="3" applyFont="1" applyBorder="1" applyAlignment="1" applyProtection="1">
      <alignment horizontal="left" vertical="top" wrapText="1"/>
      <protection locked="0"/>
    </xf>
    <xf numFmtId="0" fontId="0" fillId="0" borderId="0" xfId="0" applyBorder="1" applyProtection="1">
      <protection locked="0"/>
    </xf>
    <xf numFmtId="0" fontId="32" fillId="0" borderId="0" xfId="3" applyFont="1" applyFill="1" applyBorder="1" applyAlignment="1" applyProtection="1">
      <alignment horizontal="left" vertical="top" wrapText="1"/>
      <protection locked="0"/>
    </xf>
    <xf numFmtId="164" fontId="5" fillId="0" borderId="0" xfId="0" applyNumberFormat="1" applyFont="1" applyFill="1" applyBorder="1" applyAlignment="1" applyProtection="1">
      <alignment vertical="top" wrapText="1"/>
      <protection locked="0"/>
    </xf>
    <xf numFmtId="164" fontId="1" fillId="0" borderId="0" xfId="0" applyNumberFormat="1" applyFont="1" applyBorder="1" applyAlignment="1" applyProtection="1">
      <alignment horizontal="left" vertical="top" wrapText="1"/>
      <protection locked="0"/>
    </xf>
    <xf numFmtId="0" fontId="14" fillId="0" borderId="0" xfId="0" applyFont="1" applyBorder="1" applyAlignment="1" applyProtection="1">
      <alignment vertical="top" wrapText="1"/>
      <protection locked="0"/>
    </xf>
    <xf numFmtId="0" fontId="33" fillId="0" borderId="0" xfId="3" applyBorder="1" applyAlignment="1" applyProtection="1">
      <alignment horizontal="left" vertical="top" wrapText="1"/>
      <protection locked="0"/>
    </xf>
    <xf numFmtId="164" fontId="34" fillId="0" borderId="0" xfId="0" applyNumberFormat="1" applyFont="1" applyBorder="1" applyAlignment="1" applyProtection="1">
      <alignment horizontal="left" vertical="top" wrapText="1"/>
      <protection locked="0"/>
    </xf>
    <xf numFmtId="0" fontId="0" fillId="0" borderId="0" xfId="0" applyBorder="1" applyAlignment="1" applyProtection="1">
      <alignment vertical="top"/>
      <protection locked="0"/>
    </xf>
    <xf numFmtId="0" fontId="33" fillId="0" borderId="0" xfId="3" applyFill="1" applyBorder="1" applyAlignment="1" applyProtection="1">
      <alignment horizontal="left" vertical="top" wrapText="1"/>
      <protection locked="0"/>
    </xf>
    <xf numFmtId="0" fontId="14" fillId="5" borderId="27" xfId="0" applyFont="1" applyFill="1" applyBorder="1" applyAlignment="1" applyProtection="1">
      <alignment vertical="top" wrapText="1"/>
    </xf>
    <xf numFmtId="0" fontId="15" fillId="5" borderId="28" xfId="0" applyFont="1" applyFill="1" applyBorder="1" applyAlignment="1" applyProtection="1">
      <alignment vertical="top" wrapText="1"/>
    </xf>
    <xf numFmtId="0" fontId="17" fillId="3" borderId="23" xfId="0" applyFont="1" applyFill="1" applyBorder="1" applyProtection="1"/>
    <xf numFmtId="0" fontId="0" fillId="3" borderId="26" xfId="0" applyFont="1" applyFill="1" applyBorder="1" applyProtection="1"/>
    <xf numFmtId="0" fontId="14" fillId="6" borderId="26" xfId="0" applyFont="1" applyFill="1" applyBorder="1" applyAlignment="1" applyProtection="1">
      <alignment vertical="top" wrapText="1"/>
    </xf>
    <xf numFmtId="0" fontId="14" fillId="6" borderId="15" xfId="0" applyFont="1" applyFill="1" applyBorder="1" applyAlignment="1" applyProtection="1">
      <alignment vertical="top" wrapText="1"/>
    </xf>
    <xf numFmtId="0" fontId="14" fillId="3" borderId="26" xfId="0" applyFont="1" applyFill="1" applyBorder="1" applyAlignment="1" applyProtection="1">
      <alignment vertical="top" wrapText="1"/>
    </xf>
    <xf numFmtId="0" fontId="14" fillId="3" borderId="15" xfId="0" applyFont="1" applyFill="1" applyBorder="1" applyAlignment="1" applyProtection="1">
      <alignment vertical="top" wrapText="1"/>
    </xf>
    <xf numFmtId="0" fontId="0" fillId="0" borderId="26" xfId="0" applyFont="1" applyBorder="1" applyProtection="1"/>
    <xf numFmtId="0" fontId="0" fillId="0" borderId="15" xfId="0" applyFont="1" applyBorder="1" applyProtection="1"/>
    <xf numFmtId="0" fontId="16" fillId="2" borderId="23" xfId="0" applyFont="1" applyFill="1" applyBorder="1" applyProtection="1"/>
    <xf numFmtId="0" fontId="16" fillId="2" borderId="26" xfId="0" applyFont="1" applyFill="1" applyBorder="1" applyProtection="1"/>
    <xf numFmtId="0" fontId="18" fillId="4" borderId="15" xfId="0" applyFont="1" applyFill="1" applyBorder="1" applyAlignment="1" applyProtection="1">
      <alignment vertical="top" wrapText="1"/>
    </xf>
    <xf numFmtId="0" fontId="18" fillId="14" borderId="15" xfId="0" applyFont="1" applyFill="1" applyBorder="1" applyAlignment="1" applyProtection="1">
      <alignment vertical="center" wrapText="1"/>
    </xf>
    <xf numFmtId="0" fontId="17" fillId="14" borderId="23" xfId="0" applyFont="1" applyFill="1" applyBorder="1" applyAlignment="1" applyProtection="1">
      <alignment vertical="center"/>
    </xf>
    <xf numFmtId="0" fontId="17" fillId="14" borderId="26" xfId="0" applyFont="1" applyFill="1" applyBorder="1" applyAlignment="1" applyProtection="1">
      <alignment vertical="center"/>
    </xf>
    <xf numFmtId="0" fontId="18" fillId="14" borderId="26" xfId="0" applyFont="1" applyFill="1" applyBorder="1" applyAlignment="1" applyProtection="1">
      <alignment vertical="center" wrapText="1"/>
    </xf>
    <xf numFmtId="0" fontId="18" fillId="14" borderId="41" xfId="0" applyFont="1" applyFill="1" applyBorder="1" applyAlignment="1" applyProtection="1">
      <alignment vertical="center" wrapText="1"/>
    </xf>
    <xf numFmtId="0" fontId="18" fillId="14" borderId="32" xfId="0" applyFont="1" applyFill="1" applyBorder="1" applyAlignment="1" applyProtection="1">
      <alignment vertical="center" wrapText="1"/>
    </xf>
    <xf numFmtId="0" fontId="17" fillId="14" borderId="15" xfId="0" applyFont="1" applyFill="1" applyBorder="1" applyAlignment="1" applyProtection="1">
      <alignment vertical="center"/>
    </xf>
    <xf numFmtId="0" fontId="19" fillId="14" borderId="43" xfId="0" applyFont="1" applyFill="1" applyBorder="1" applyAlignment="1" applyProtection="1">
      <alignment vertical="center" wrapText="1"/>
    </xf>
    <xf numFmtId="0" fontId="19" fillId="14" borderId="38" xfId="0" applyFont="1" applyFill="1" applyBorder="1" applyAlignment="1" applyProtection="1">
      <alignment vertical="center" wrapText="1"/>
    </xf>
    <xf numFmtId="0" fontId="9" fillId="4" borderId="13" xfId="0" applyFont="1" applyFill="1" applyBorder="1" applyAlignment="1" applyProtection="1">
      <alignment horizontal="left" vertical="center" wrapText="1"/>
    </xf>
    <xf numFmtId="0" fontId="9" fillId="4" borderId="0" xfId="0" applyFont="1" applyFill="1" applyBorder="1" applyAlignment="1" applyProtection="1">
      <alignment horizontal="left" vertical="center" wrapText="1"/>
    </xf>
    <xf numFmtId="0" fontId="10" fillId="4" borderId="0" xfId="0" applyFont="1" applyFill="1" applyBorder="1" applyAlignment="1" applyProtection="1">
      <alignment horizontal="center" vertical="center" wrapText="1"/>
    </xf>
    <xf numFmtId="0" fontId="30" fillId="14" borderId="59" xfId="0" applyFont="1" applyFill="1" applyBorder="1" applyAlignment="1" applyProtection="1">
      <alignment vertical="center"/>
    </xf>
    <xf numFmtId="0" fontId="30" fillId="14" borderId="5" xfId="0" applyFont="1" applyFill="1" applyBorder="1" applyAlignment="1" applyProtection="1">
      <alignment vertical="center"/>
    </xf>
    <xf numFmtId="0" fontId="30" fillId="14" borderId="39" xfId="0" applyFont="1" applyFill="1" applyBorder="1" applyAlignment="1" applyProtection="1">
      <alignment vertical="center"/>
    </xf>
    <xf numFmtId="0" fontId="20" fillId="14" borderId="26" xfId="0" applyFont="1" applyFill="1" applyBorder="1" applyAlignment="1" applyProtection="1">
      <alignment horizontal="center" vertical="center" wrapText="1"/>
    </xf>
    <xf numFmtId="0" fontId="0" fillId="0" borderId="14" xfId="0" applyFont="1" applyFill="1" applyBorder="1" applyAlignment="1" applyProtection="1">
      <alignment wrapText="1"/>
      <protection locked="0"/>
    </xf>
    <xf numFmtId="0" fontId="0" fillId="0" borderId="14" xfId="0" applyFont="1" applyFill="1" applyBorder="1" applyAlignment="1" applyProtection="1">
      <alignment vertical="center" wrapText="1"/>
      <protection locked="0"/>
    </xf>
    <xf numFmtId="0" fontId="17" fillId="14" borderId="26" xfId="0" applyFont="1" applyFill="1" applyBorder="1" applyAlignment="1" applyProtection="1">
      <alignment horizontal="left" vertical="center"/>
    </xf>
    <xf numFmtId="0" fontId="17" fillId="14" borderId="27" xfId="0" applyFont="1" applyFill="1" applyBorder="1" applyAlignment="1" applyProtection="1">
      <alignment horizontal="center" vertical="center" wrapText="1"/>
    </xf>
    <xf numFmtId="0" fontId="17" fillId="14" borderId="26" xfId="0" applyFont="1" applyFill="1" applyBorder="1" applyAlignment="1">
      <alignment horizontal="left" vertical="center" wrapText="1"/>
    </xf>
    <xf numFmtId="0" fontId="0" fillId="7" borderId="26" xfId="0" applyFill="1" applyBorder="1"/>
    <xf numFmtId="0" fontId="0" fillId="7" borderId="26" xfId="0" applyFill="1" applyBorder="1" applyAlignment="1">
      <alignment vertical="top"/>
    </xf>
    <xf numFmtId="0" fontId="0" fillId="7" borderId="26" xfId="0" applyFill="1" applyBorder="1" applyAlignment="1">
      <alignment vertical="top" wrapText="1"/>
    </xf>
    <xf numFmtId="0" fontId="0" fillId="7" borderId="15" xfId="0" applyFill="1" applyBorder="1"/>
    <xf numFmtId="0" fontId="0" fillId="7" borderId="23" xfId="0" applyFill="1" applyBorder="1" applyAlignment="1">
      <alignment vertical="top"/>
    </xf>
    <xf numFmtId="0" fontId="0" fillId="7" borderId="37" xfId="0" applyFill="1" applyBorder="1" applyAlignment="1">
      <alignment vertical="top"/>
    </xf>
    <xf numFmtId="0" fontId="0" fillId="7" borderId="30" xfId="0" applyFill="1" applyBorder="1" applyAlignment="1">
      <alignment vertical="top"/>
    </xf>
    <xf numFmtId="0" fontId="0" fillId="7" borderId="30" xfId="0" applyFill="1" applyBorder="1"/>
    <xf numFmtId="0" fontId="0" fillId="7" borderId="16" xfId="0" applyFill="1" applyBorder="1"/>
    <xf numFmtId="0" fontId="32" fillId="14" borderId="23" xfId="0" applyFont="1" applyFill="1" applyBorder="1" applyAlignment="1">
      <alignment horizontal="center"/>
    </xf>
    <xf numFmtId="0" fontId="32" fillId="14" borderId="26" xfId="0" applyFont="1" applyFill="1" applyBorder="1" applyAlignment="1">
      <alignment horizontal="center"/>
    </xf>
    <xf numFmtId="0" fontId="32" fillId="14" borderId="15" xfId="0" applyFont="1" applyFill="1" applyBorder="1" applyAlignment="1">
      <alignment horizontal="center"/>
    </xf>
    <xf numFmtId="0" fontId="32" fillId="7" borderId="23" xfId="0" applyFont="1" applyFill="1" applyBorder="1" applyAlignment="1">
      <alignment vertical="top"/>
    </xf>
    <xf numFmtId="0" fontId="32" fillId="7" borderId="23" xfId="0" applyFont="1" applyFill="1" applyBorder="1" applyAlignment="1">
      <alignment vertical="top" wrapText="1"/>
    </xf>
    <xf numFmtId="0" fontId="17" fillId="0" borderId="9" xfId="0" applyFont="1" applyBorder="1" applyAlignment="1">
      <alignment wrapText="1"/>
    </xf>
    <xf numFmtId="0" fontId="6" fillId="8" borderId="4" xfId="0" applyFont="1" applyFill="1" applyBorder="1"/>
    <xf numFmtId="0" fontId="6" fillId="8" borderId="0" xfId="0" applyFont="1" applyFill="1" applyBorder="1"/>
    <xf numFmtId="0" fontId="7" fillId="8" borderId="0" xfId="0" applyFont="1" applyFill="1" applyBorder="1"/>
    <xf numFmtId="0" fontId="0" fillId="8" borderId="0" xfId="0" applyFill="1" applyAlignment="1">
      <alignment vertical="top"/>
    </xf>
    <xf numFmtId="0" fontId="4" fillId="7" borderId="31" xfId="1" applyFill="1" applyBorder="1" applyAlignment="1" applyProtection="1">
      <alignment horizontal="left"/>
    </xf>
    <xf numFmtId="0" fontId="4" fillId="7" borderId="42" xfId="1" applyFill="1" applyBorder="1" applyAlignment="1" applyProtection="1">
      <alignment horizontal="left"/>
    </xf>
    <xf numFmtId="0" fontId="4" fillId="7" borderId="32" xfId="1" applyFill="1" applyBorder="1" applyAlignment="1" applyProtection="1">
      <alignment horizontal="left"/>
    </xf>
    <xf numFmtId="0" fontId="39" fillId="7" borderId="31" xfId="0" applyFont="1" applyFill="1" applyBorder="1" applyAlignment="1">
      <alignment horizontal="left" vertical="center"/>
    </xf>
    <xf numFmtId="0" fontId="39" fillId="7" borderId="42" xfId="0" applyFont="1" applyFill="1" applyBorder="1" applyAlignment="1">
      <alignment horizontal="left" vertical="center"/>
    </xf>
    <xf numFmtId="0" fontId="39" fillId="7" borderId="32" xfId="0" applyFont="1" applyFill="1" applyBorder="1" applyAlignment="1">
      <alignment horizontal="left" vertical="center"/>
    </xf>
    <xf numFmtId="0" fontId="0" fillId="0" borderId="14" xfId="0" applyFont="1" applyFill="1" applyBorder="1" applyAlignment="1" applyProtection="1">
      <alignment vertical="top" wrapText="1"/>
      <protection locked="0"/>
    </xf>
    <xf numFmtId="0" fontId="0" fillId="0" borderId="14" xfId="3" applyFont="1" applyBorder="1" applyAlignment="1" applyProtection="1">
      <alignment horizontal="left" wrapText="1"/>
      <protection locked="0"/>
    </xf>
    <xf numFmtId="0" fontId="0" fillId="0" borderId="22" xfId="3" applyFont="1" applyBorder="1" applyAlignment="1" applyProtection="1">
      <alignment horizontal="left" wrapText="1"/>
      <protection locked="0"/>
    </xf>
    <xf numFmtId="0" fontId="33" fillId="0" borderId="26" xfId="0" applyFont="1" applyBorder="1" applyAlignment="1" applyProtection="1">
      <alignment vertical="top" wrapText="1"/>
      <protection locked="0"/>
    </xf>
    <xf numFmtId="0" fontId="46" fillId="16" borderId="26" xfId="0" applyFont="1" applyFill="1" applyBorder="1" applyAlignment="1">
      <alignment wrapText="1"/>
    </xf>
    <xf numFmtId="0" fontId="46" fillId="16" borderId="55" xfId="0" applyFont="1" applyFill="1" applyBorder="1" applyAlignment="1">
      <alignment wrapText="1"/>
    </xf>
    <xf numFmtId="0" fontId="46" fillId="16" borderId="58" xfId="0" applyFont="1" applyFill="1" applyBorder="1" applyAlignment="1">
      <alignment wrapText="1"/>
    </xf>
    <xf numFmtId="0" fontId="0" fillId="7" borderId="26" xfId="0" applyFill="1" applyBorder="1" applyAlignment="1">
      <alignment wrapText="1"/>
    </xf>
    <xf numFmtId="0" fontId="46" fillId="16" borderId="63" xfId="0" applyFont="1" applyFill="1" applyBorder="1" applyAlignment="1">
      <alignment wrapText="1"/>
    </xf>
    <xf numFmtId="0" fontId="6" fillId="7" borderId="0" xfId="0" applyFont="1" applyFill="1" applyAlignment="1">
      <alignment horizontal="center"/>
    </xf>
    <xf numFmtId="0" fontId="6" fillId="2" borderId="0" xfId="0" applyFont="1" applyFill="1" applyAlignment="1">
      <alignment horizontal="center"/>
    </xf>
    <xf numFmtId="0" fontId="0" fillId="0" borderId="3" xfId="0" applyFont="1" applyBorder="1" applyAlignment="1">
      <alignment horizontal="left" vertical="center" wrapText="1"/>
    </xf>
    <xf numFmtId="0" fontId="0" fillId="0" borderId="9" xfId="0" applyFont="1" applyBorder="1" applyAlignment="1">
      <alignment horizontal="left" vertical="center" wrapText="1"/>
    </xf>
    <xf numFmtId="0" fontId="0" fillId="0" borderId="10" xfId="0" applyFont="1" applyBorder="1" applyAlignment="1">
      <alignment horizontal="left" vertical="center" wrapText="1"/>
    </xf>
    <xf numFmtId="0" fontId="15" fillId="14" borderId="28" xfId="0" applyFont="1" applyFill="1" applyBorder="1" applyAlignment="1">
      <alignment horizontal="center" vertical="center" wrapText="1"/>
    </xf>
    <xf numFmtId="0" fontId="15" fillId="14" borderId="15" xfId="0" applyFont="1" applyFill="1" applyBorder="1" applyAlignment="1">
      <alignment horizontal="center" vertical="center" wrapText="1"/>
    </xf>
    <xf numFmtId="0" fontId="17" fillId="14" borderId="23" xfId="0" applyFont="1" applyFill="1" applyBorder="1" applyAlignment="1" applyProtection="1">
      <alignment horizontal="left" vertical="center"/>
    </xf>
    <xf numFmtId="0" fontId="17" fillId="14" borderId="26" xfId="0" applyFont="1" applyFill="1" applyBorder="1" applyAlignment="1" applyProtection="1">
      <alignment horizontal="left" vertical="center"/>
    </xf>
    <xf numFmtId="0" fontId="17" fillId="14" borderId="23" xfId="0" applyFont="1" applyFill="1" applyBorder="1" applyAlignment="1" applyProtection="1">
      <alignment horizontal="left" vertical="center" wrapText="1"/>
    </xf>
    <xf numFmtId="0" fontId="17" fillId="14" borderId="26" xfId="0" applyFont="1" applyFill="1" applyBorder="1" applyAlignment="1" applyProtection="1">
      <alignment horizontal="left" vertical="center" wrapText="1"/>
    </xf>
    <xf numFmtId="0" fontId="24" fillId="14" borderId="37" xfId="0" applyFont="1" applyFill="1" applyBorder="1" applyAlignment="1" applyProtection="1">
      <alignment horizontal="left" vertical="center" wrapText="1"/>
    </xf>
    <xf numFmtId="0" fontId="24" fillId="14" borderId="30" xfId="0" applyFont="1" applyFill="1" applyBorder="1" applyAlignment="1" applyProtection="1">
      <alignment horizontal="left" vertical="center" wrapText="1"/>
    </xf>
    <xf numFmtId="0" fontId="32" fillId="0" borderId="26" xfId="3" applyFont="1" applyBorder="1" applyAlignment="1" applyProtection="1">
      <alignment horizontal="left" vertical="top" wrapText="1"/>
      <protection locked="0"/>
    </xf>
    <xf numFmtId="0" fontId="17" fillId="0" borderId="3" xfId="0" applyFont="1" applyBorder="1" applyAlignment="1">
      <alignment horizontal="left" wrapText="1"/>
    </xf>
    <xf numFmtId="0" fontId="17" fillId="0" borderId="9" xfId="0" applyFont="1" applyBorder="1" applyAlignment="1">
      <alignment horizontal="left" wrapText="1"/>
    </xf>
    <xf numFmtId="0" fontId="17" fillId="0" borderId="10" xfId="0" applyFont="1" applyBorder="1" applyAlignment="1">
      <alignment horizontal="left" wrapText="1"/>
    </xf>
    <xf numFmtId="0" fontId="15" fillId="14" borderId="12" xfId="0" applyFont="1" applyFill="1" applyBorder="1" applyAlignment="1">
      <alignment horizontal="left" vertical="top" wrapText="1"/>
    </xf>
    <xf numFmtId="0" fontId="15" fillId="14" borderId="10" xfId="0" applyFont="1" applyFill="1" applyBorder="1" applyAlignment="1">
      <alignment horizontal="left" vertical="top" wrapText="1"/>
    </xf>
    <xf numFmtId="0" fontId="30" fillId="7" borderId="26" xfId="0" applyFont="1" applyFill="1" applyBorder="1" applyAlignment="1" applyProtection="1">
      <alignment horizontal="left" vertical="center" wrapText="1"/>
      <protection locked="0"/>
    </xf>
    <xf numFmtId="0" fontId="30" fillId="7" borderId="15" xfId="0" applyFont="1" applyFill="1" applyBorder="1" applyAlignment="1" applyProtection="1">
      <alignment horizontal="left" vertical="center" wrapText="1"/>
      <protection locked="0"/>
    </xf>
    <xf numFmtId="0" fontId="17" fillId="14" borderId="15" xfId="0" applyFont="1" applyFill="1" applyBorder="1" applyAlignment="1" applyProtection="1">
      <alignment horizontal="left" vertical="center"/>
    </xf>
    <xf numFmtId="0" fontId="23" fillId="7" borderId="23" xfId="0" applyFont="1" applyFill="1" applyBorder="1" applyAlignment="1" applyProtection="1">
      <alignment vertical="center" wrapText="1"/>
    </xf>
    <xf numFmtId="0" fontId="23" fillId="7" borderId="26" xfId="0" applyFont="1" applyFill="1" applyBorder="1" applyAlignment="1" applyProtection="1">
      <alignment vertical="center" wrapText="1"/>
    </xf>
    <xf numFmtId="0" fontId="17" fillId="14" borderId="29" xfId="0" applyFont="1" applyFill="1" applyBorder="1" applyAlignment="1" applyProtection="1">
      <alignment horizontal="center" vertical="center" wrapText="1"/>
    </xf>
    <xf numFmtId="0" fontId="17" fillId="14" borderId="23" xfId="0" applyFont="1" applyFill="1" applyBorder="1" applyAlignment="1" applyProtection="1">
      <alignment horizontal="center" vertical="center" wrapText="1"/>
    </xf>
    <xf numFmtId="0" fontId="17" fillId="14" borderId="27" xfId="0" applyFont="1" applyFill="1" applyBorder="1" applyAlignment="1" applyProtection="1">
      <alignment horizontal="center" vertical="center" wrapText="1"/>
    </xf>
    <xf numFmtId="0" fontId="17" fillId="14" borderId="26" xfId="0" applyFont="1" applyFill="1" applyBorder="1" applyAlignment="1" applyProtection="1">
      <alignment horizontal="center" vertical="center" wrapText="1"/>
    </xf>
    <xf numFmtId="0" fontId="30" fillId="14" borderId="29" xfId="0" applyFont="1" applyFill="1" applyBorder="1" applyAlignment="1">
      <alignment horizontal="left" vertical="center"/>
    </xf>
    <xf numFmtId="0" fontId="30" fillId="14" borderId="27" xfId="0" applyFont="1" applyFill="1" applyBorder="1" applyAlignment="1">
      <alignment horizontal="left" vertical="center"/>
    </xf>
    <xf numFmtId="0" fontId="30" fillId="14" borderId="28" xfId="0" applyFont="1" applyFill="1" applyBorder="1" applyAlignment="1">
      <alignment horizontal="left" vertical="center"/>
    </xf>
    <xf numFmtId="0" fontId="15" fillId="14" borderId="27" xfId="0" applyFont="1" applyFill="1" applyBorder="1" applyAlignment="1">
      <alignment horizontal="left" vertical="center" wrapText="1"/>
    </xf>
    <xf numFmtId="0" fontId="15" fillId="14" borderId="26" xfId="0" applyFont="1" applyFill="1" applyBorder="1" applyAlignment="1">
      <alignment horizontal="left" vertical="center" wrapText="1"/>
    </xf>
    <xf numFmtId="0" fontId="39" fillId="14" borderId="7" xfId="0" applyFont="1" applyFill="1" applyBorder="1" applyAlignment="1">
      <alignment horizontal="left" vertical="center"/>
    </xf>
    <xf numFmtId="0" fontId="39" fillId="14" borderId="4" xfId="0" applyFont="1" applyFill="1" applyBorder="1" applyAlignment="1">
      <alignment horizontal="left" vertical="center"/>
    </xf>
    <xf numFmtId="0" fontId="39" fillId="14" borderId="11" xfId="0" applyFont="1" applyFill="1" applyBorder="1" applyAlignment="1">
      <alignment horizontal="left" vertical="center"/>
    </xf>
    <xf numFmtId="0" fontId="39" fillId="14" borderId="13" xfId="0" applyFont="1" applyFill="1" applyBorder="1" applyAlignment="1">
      <alignment horizontal="left" vertical="center"/>
    </xf>
    <xf numFmtId="0" fontId="39" fillId="14" borderId="0" xfId="0" applyFont="1" applyFill="1" applyBorder="1" applyAlignment="1">
      <alignment horizontal="left" vertical="center"/>
    </xf>
    <xf numFmtId="0" fontId="39" fillId="14" borderId="14" xfId="0" applyFont="1" applyFill="1" applyBorder="1" applyAlignment="1">
      <alignment horizontal="left" vertical="center"/>
    </xf>
    <xf numFmtId="0" fontId="39" fillId="14" borderId="20" xfId="0" applyFont="1" applyFill="1" applyBorder="1" applyAlignment="1">
      <alignment horizontal="left" vertical="center"/>
    </xf>
    <xf numFmtId="0" fontId="39" fillId="14" borderId="8" xfId="0" applyFont="1" applyFill="1" applyBorder="1" applyAlignment="1">
      <alignment horizontal="left" vertical="center"/>
    </xf>
    <xf numFmtId="0" fontId="39" fillId="14" borderId="22" xfId="0" applyFont="1" applyFill="1" applyBorder="1" applyAlignment="1">
      <alignment horizontal="left" vertical="center"/>
    </xf>
    <xf numFmtId="0" fontId="17" fillId="7" borderId="26" xfId="0" applyFont="1" applyFill="1" applyBorder="1" applyAlignment="1">
      <alignment horizontal="left" wrapText="1"/>
    </xf>
    <xf numFmtId="0" fontId="17" fillId="7" borderId="15" xfId="0" applyFont="1" applyFill="1" applyBorder="1" applyAlignment="1">
      <alignment horizontal="left" wrapText="1"/>
    </xf>
    <xf numFmtId="0" fontId="17" fillId="7" borderId="41" xfId="0" applyFont="1" applyFill="1" applyBorder="1" applyAlignment="1">
      <alignment horizontal="left" wrapText="1"/>
    </xf>
    <xf numFmtId="0" fontId="17" fillId="7" borderId="32" xfId="0" applyFont="1" applyFill="1" applyBorder="1" applyAlignment="1">
      <alignment horizontal="left" wrapText="1"/>
    </xf>
    <xf numFmtId="0" fontId="17" fillId="7" borderId="60" xfId="0" applyFont="1" applyFill="1" applyBorder="1" applyAlignment="1">
      <alignment horizontal="left" wrapText="1"/>
    </xf>
    <xf numFmtId="0" fontId="17" fillId="7" borderId="52" xfId="0" applyFont="1" applyFill="1" applyBorder="1" applyAlignment="1">
      <alignment horizontal="left" wrapText="1"/>
    </xf>
    <xf numFmtId="0" fontId="17" fillId="0" borderId="3" xfId="0" applyFont="1" applyFill="1" applyBorder="1" applyAlignment="1">
      <alignment horizontal="left" vertical="center" wrapText="1"/>
    </xf>
    <xf numFmtId="0" fontId="17" fillId="0" borderId="9" xfId="0" applyFont="1" applyFill="1" applyBorder="1" applyAlignment="1">
      <alignment horizontal="left" vertical="center" wrapText="1"/>
    </xf>
    <xf numFmtId="0" fontId="17" fillId="0" borderId="10" xfId="0" applyFont="1" applyFill="1" applyBorder="1" applyAlignment="1">
      <alignment horizontal="left" vertical="center" wrapText="1"/>
    </xf>
    <xf numFmtId="0" fontId="17" fillId="0" borderId="59" xfId="0" applyFont="1" applyFill="1" applyBorder="1" applyAlignment="1" applyProtection="1">
      <alignment horizontal="left" wrapText="1"/>
    </xf>
    <xf numFmtId="0" fontId="17" fillId="0" borderId="5" xfId="0" applyFont="1" applyFill="1" applyBorder="1" applyAlignment="1" applyProtection="1">
      <alignment horizontal="left" wrapText="1"/>
    </xf>
    <xf numFmtId="0" fontId="17" fillId="0" borderId="39" xfId="0" applyFont="1" applyFill="1" applyBorder="1" applyAlignment="1" applyProtection="1">
      <alignment horizontal="left" wrapText="1"/>
    </xf>
    <xf numFmtId="0" fontId="15" fillId="12" borderId="46" xfId="0" applyFont="1" applyFill="1" applyBorder="1" applyAlignment="1">
      <alignment horizontal="center" vertical="center" wrapText="1"/>
    </xf>
    <xf numFmtId="0" fontId="15" fillId="12" borderId="47" xfId="0" applyFont="1" applyFill="1" applyBorder="1" applyAlignment="1">
      <alignment horizontal="center" vertical="center" wrapText="1"/>
    </xf>
    <xf numFmtId="0" fontId="4" fillId="0" borderId="24" xfId="1" applyFill="1" applyBorder="1" applyAlignment="1" applyProtection="1">
      <alignment horizontal="left" wrapText="1"/>
    </xf>
    <xf numFmtId="0" fontId="4" fillId="0" borderId="40" xfId="1" applyFill="1" applyBorder="1" applyAlignment="1" applyProtection="1">
      <alignment horizontal="left" wrapText="1"/>
    </xf>
    <xf numFmtId="0" fontId="4" fillId="0" borderId="38" xfId="1" applyFill="1" applyBorder="1" applyAlignment="1" applyProtection="1">
      <alignment horizontal="left" wrapText="1"/>
    </xf>
    <xf numFmtId="0" fontId="15" fillId="12" borderId="11" xfId="0" applyFont="1" applyFill="1" applyBorder="1" applyAlignment="1">
      <alignment horizontal="left" vertical="center" wrapText="1"/>
    </xf>
    <xf numFmtId="0" fontId="15" fillId="12" borderId="22" xfId="0" applyFont="1" applyFill="1" applyBorder="1" applyAlignment="1">
      <alignment horizontal="left" vertical="center" wrapText="1"/>
    </xf>
    <xf numFmtId="0" fontId="15" fillId="14" borderId="54" xfId="0" applyFont="1" applyFill="1" applyBorder="1" applyAlignment="1">
      <alignment horizontal="left" vertical="center" wrapText="1"/>
    </xf>
    <xf numFmtId="0" fontId="15" fillId="14" borderId="58" xfId="0" applyFont="1" applyFill="1" applyBorder="1" applyAlignment="1">
      <alignment horizontal="left" vertical="center" wrapText="1"/>
    </xf>
    <xf numFmtId="0" fontId="15" fillId="14" borderId="29" xfId="0" applyFont="1" applyFill="1" applyBorder="1" applyAlignment="1">
      <alignment horizontal="left" vertical="center" wrapText="1"/>
    </xf>
    <xf numFmtId="0" fontId="15" fillId="14" borderId="23" xfId="0" applyFont="1" applyFill="1" applyBorder="1" applyAlignment="1">
      <alignment horizontal="left" vertical="center" wrapText="1"/>
    </xf>
    <xf numFmtId="0" fontId="15" fillId="14" borderId="29" xfId="0" applyFont="1" applyFill="1" applyBorder="1" applyAlignment="1">
      <alignment vertical="center" wrapText="1"/>
    </xf>
    <xf numFmtId="0" fontId="15" fillId="14" borderId="1" xfId="0" applyFont="1" applyFill="1" applyBorder="1" applyAlignment="1">
      <alignment vertical="center" wrapText="1"/>
    </xf>
    <xf numFmtId="0" fontId="15" fillId="14" borderId="23" xfId="0" applyFont="1" applyFill="1" applyBorder="1" applyAlignment="1">
      <alignment vertical="center" wrapText="1"/>
    </xf>
    <xf numFmtId="0" fontId="15" fillId="14" borderId="41" xfId="0" applyFont="1" applyFill="1" applyBorder="1" applyAlignment="1">
      <alignment vertical="center" wrapText="1"/>
    </xf>
    <xf numFmtId="0" fontId="17" fillId="0" borderId="13" xfId="0" applyFont="1" applyBorder="1" applyAlignment="1">
      <alignment horizontal="center" vertical="top" wrapText="1"/>
    </xf>
    <xf numFmtId="0" fontId="17" fillId="0" borderId="0" xfId="0" applyFont="1" applyBorder="1" applyAlignment="1">
      <alignment horizontal="center" vertical="top" wrapText="1"/>
    </xf>
    <xf numFmtId="0" fontId="15" fillId="12" borderId="11" xfId="0" applyFont="1" applyFill="1" applyBorder="1" applyAlignment="1">
      <alignment horizontal="center" vertical="center" wrapText="1"/>
    </xf>
    <xf numFmtId="0" fontId="15" fillId="12" borderId="22" xfId="0" applyFont="1" applyFill="1" applyBorder="1" applyAlignment="1">
      <alignment horizontal="center" vertical="center" wrapText="1"/>
    </xf>
    <xf numFmtId="0" fontId="15" fillId="14" borderId="27" xfId="0" applyFont="1" applyFill="1" applyBorder="1" applyAlignment="1">
      <alignment horizontal="center" vertical="center" wrapText="1"/>
    </xf>
    <xf numFmtId="0" fontId="15" fillId="14" borderId="26" xfId="0" applyFont="1" applyFill="1" applyBorder="1" applyAlignment="1">
      <alignment horizontal="center" vertical="center" wrapText="1"/>
    </xf>
    <xf numFmtId="0" fontId="17" fillId="7" borderId="41" xfId="0" applyFont="1" applyFill="1" applyBorder="1" applyAlignment="1">
      <alignment wrapText="1"/>
    </xf>
    <xf numFmtId="0" fontId="17" fillId="7" borderId="32" xfId="0" applyFont="1" applyFill="1" applyBorder="1" applyAlignment="1">
      <alignment wrapText="1"/>
    </xf>
    <xf numFmtId="0" fontId="4" fillId="7" borderId="24" xfId="1" applyFill="1" applyBorder="1" applyAlignment="1" applyProtection="1">
      <alignment horizontal="left" vertical="center"/>
    </xf>
    <xf numFmtId="0" fontId="4" fillId="7" borderId="40" xfId="1" applyFill="1" applyBorder="1" applyAlignment="1" applyProtection="1">
      <alignment horizontal="left" vertical="center"/>
    </xf>
    <xf numFmtId="0" fontId="4" fillId="7" borderId="38" xfId="1" applyFill="1" applyBorder="1" applyAlignment="1" applyProtection="1">
      <alignment horizontal="left" vertical="center"/>
    </xf>
    <xf numFmtId="0" fontId="23" fillId="7" borderId="41" xfId="0" applyFont="1" applyFill="1" applyBorder="1" applyAlignment="1" applyProtection="1">
      <alignment horizontal="center" vertical="center" wrapText="1"/>
    </xf>
    <xf numFmtId="0" fontId="23" fillId="7" borderId="32" xfId="0" applyFont="1" applyFill="1" applyBorder="1" applyAlignment="1" applyProtection="1">
      <alignment horizontal="center" vertical="center" wrapText="1"/>
    </xf>
    <xf numFmtId="0" fontId="23" fillId="7" borderId="43" xfId="0" applyFont="1" applyFill="1" applyBorder="1" applyAlignment="1" applyProtection="1">
      <alignment horizontal="center" vertical="top" wrapText="1"/>
      <protection locked="0"/>
    </xf>
    <xf numFmtId="0" fontId="23" fillId="7" borderId="38" xfId="0" applyFont="1" applyFill="1" applyBorder="1" applyAlignment="1" applyProtection="1">
      <alignment horizontal="center" vertical="top" wrapText="1"/>
      <protection locked="0"/>
    </xf>
    <xf numFmtId="0" fontId="17" fillId="14" borderId="31" xfId="0" applyFont="1" applyFill="1" applyBorder="1" applyAlignment="1" applyProtection="1">
      <alignment horizontal="left" vertical="center"/>
    </xf>
    <xf numFmtId="0" fontId="17" fillId="14" borderId="42" xfId="0" applyFont="1" applyFill="1" applyBorder="1" applyAlignment="1" applyProtection="1">
      <alignment horizontal="left" vertical="center"/>
    </xf>
    <xf numFmtId="0" fontId="17" fillId="14" borderId="32" xfId="0" applyFont="1" applyFill="1" applyBorder="1" applyAlignment="1" applyProtection="1">
      <alignment horizontal="left" vertical="center"/>
    </xf>
    <xf numFmtId="0" fontId="5" fillId="0" borderId="24" xfId="0" applyFont="1" applyBorder="1" applyAlignment="1" applyProtection="1">
      <alignment horizontal="left" vertical="top" wrapText="1"/>
    </xf>
    <xf numFmtId="0" fontId="5" fillId="0" borderId="40" xfId="0" applyFont="1" applyBorder="1" applyAlignment="1" applyProtection="1">
      <alignment horizontal="left" vertical="top" wrapText="1"/>
    </xf>
    <xf numFmtId="0" fontId="5" fillId="0" borderId="38" xfId="0" applyFont="1" applyBorder="1" applyAlignment="1" applyProtection="1">
      <alignment horizontal="left" vertical="top" wrapText="1"/>
    </xf>
    <xf numFmtId="0" fontId="0" fillId="0" borderId="3" xfId="0" applyFont="1" applyBorder="1" applyAlignment="1" applyProtection="1">
      <alignment horizontal="center"/>
    </xf>
    <xf numFmtId="0" fontId="0" fillId="0" borderId="9" xfId="0" applyFont="1" applyBorder="1" applyAlignment="1" applyProtection="1">
      <alignment horizontal="center"/>
    </xf>
    <xf numFmtId="0" fontId="0" fillId="0" borderId="10" xfId="0" applyFont="1" applyBorder="1" applyAlignment="1" applyProtection="1">
      <alignment horizontal="center"/>
    </xf>
    <xf numFmtId="0" fontId="17" fillId="14" borderId="34" xfId="0" applyFont="1" applyFill="1" applyBorder="1" applyAlignment="1" applyProtection="1">
      <alignment horizontal="center" vertical="center" wrapText="1"/>
    </xf>
    <xf numFmtId="0" fontId="17" fillId="14" borderId="50" xfId="0" applyFont="1" applyFill="1" applyBorder="1" applyAlignment="1" applyProtection="1">
      <alignment horizontal="center" vertical="center" wrapText="1"/>
    </xf>
    <xf numFmtId="0" fontId="17" fillId="14" borderId="29" xfId="0" applyFont="1" applyFill="1" applyBorder="1" applyAlignment="1">
      <alignment horizontal="left" vertical="center" wrapText="1"/>
    </xf>
    <xf numFmtId="0" fontId="17" fillId="14" borderId="27" xfId="0" applyFont="1" applyFill="1" applyBorder="1" applyAlignment="1">
      <alignment horizontal="left" vertical="center" wrapText="1"/>
    </xf>
    <xf numFmtId="0" fontId="17" fillId="14" borderId="23" xfId="0" applyFont="1" applyFill="1" applyBorder="1" applyAlignment="1">
      <alignment horizontal="left" vertical="center" wrapText="1"/>
    </xf>
    <xf numFmtId="0" fontId="17" fillId="14" borderId="26" xfId="0" applyFont="1" applyFill="1" applyBorder="1" applyAlignment="1">
      <alignment horizontal="left" vertical="center" wrapText="1"/>
    </xf>
    <xf numFmtId="0" fontId="30" fillId="7" borderId="55" xfId="0" applyFont="1" applyFill="1" applyBorder="1" applyAlignment="1" applyProtection="1">
      <alignment horizontal="left" vertical="center" wrapText="1"/>
      <protection locked="0"/>
    </xf>
    <xf numFmtId="0" fontId="30" fillId="7" borderId="56" xfId="0" applyFont="1" applyFill="1" applyBorder="1" applyAlignment="1" applyProtection="1">
      <alignment horizontal="left" vertical="center" wrapText="1"/>
      <protection locked="0"/>
    </xf>
    <xf numFmtId="0" fontId="23" fillId="7" borderId="37" xfId="0" applyFont="1" applyFill="1" applyBorder="1" applyAlignment="1" applyProtection="1">
      <alignment vertical="top" wrapText="1"/>
      <protection locked="0"/>
    </xf>
    <xf numFmtId="0" fontId="23" fillId="7" borderId="30" xfId="0" applyFont="1" applyFill="1" applyBorder="1" applyAlignment="1" applyProtection="1">
      <alignment vertical="top" wrapText="1"/>
      <protection locked="0"/>
    </xf>
    <xf numFmtId="0" fontId="30" fillId="14" borderId="29" xfId="0" applyFont="1" applyFill="1" applyBorder="1" applyAlignment="1" applyProtection="1">
      <alignment vertical="center"/>
    </xf>
    <xf numFmtId="0" fontId="30" fillId="14" borderId="27" xfId="0" applyFont="1" applyFill="1" applyBorder="1" applyAlignment="1" applyProtection="1">
      <alignment vertical="center"/>
    </xf>
    <xf numFmtId="0" fontId="30" fillId="14" borderId="28" xfId="0" applyFont="1" applyFill="1" applyBorder="1" applyAlignment="1" applyProtection="1">
      <alignment vertical="center"/>
    </xf>
    <xf numFmtId="0" fontId="30" fillId="0" borderId="7" xfId="0" applyFont="1" applyFill="1" applyBorder="1" applyAlignment="1" applyProtection="1">
      <alignment horizontal="center"/>
    </xf>
    <xf numFmtId="0" fontId="30" fillId="0" borderId="4" xfId="0" applyFont="1" applyFill="1" applyBorder="1" applyAlignment="1" applyProtection="1">
      <alignment horizontal="center"/>
    </xf>
    <xf numFmtId="0" fontId="30" fillId="0" borderId="11" xfId="0" applyFont="1" applyFill="1" applyBorder="1" applyAlignment="1" applyProtection="1">
      <alignment horizontal="center"/>
    </xf>
    <xf numFmtId="0" fontId="0" fillId="0" borderId="59" xfId="0" applyFont="1" applyBorder="1" applyAlignment="1" applyProtection="1">
      <alignment horizontal="left" vertical="center" wrapText="1"/>
      <protection locked="0"/>
    </xf>
    <xf numFmtId="0" fontId="0" fillId="0" borderId="5" xfId="0" applyFont="1" applyBorder="1" applyAlignment="1" applyProtection="1">
      <alignment horizontal="left" vertical="center" wrapText="1"/>
      <protection locked="0"/>
    </xf>
    <xf numFmtId="0" fontId="0" fillId="0" borderId="39" xfId="0" applyFont="1" applyBorder="1" applyAlignment="1" applyProtection="1">
      <alignment horizontal="left" vertical="center" wrapText="1"/>
      <protection locked="0"/>
    </xf>
    <xf numFmtId="0" fontId="17" fillId="15" borderId="41" xfId="0" applyFont="1" applyFill="1" applyBorder="1" applyAlignment="1">
      <alignment horizontal="left" wrapText="1"/>
    </xf>
    <xf numFmtId="0" fontId="17" fillId="15" borderId="32" xfId="0" applyFont="1" applyFill="1" applyBorder="1" applyAlignment="1">
      <alignment horizontal="left" wrapText="1"/>
    </xf>
    <xf numFmtId="0" fontId="30" fillId="14" borderId="59" xfId="0" applyFont="1" applyFill="1" applyBorder="1" applyAlignment="1">
      <alignment horizontal="left"/>
    </xf>
    <xf numFmtId="0" fontId="30" fillId="14" borderId="5" xfId="0" applyFont="1" applyFill="1" applyBorder="1" applyAlignment="1">
      <alignment horizontal="left"/>
    </xf>
    <xf numFmtId="0" fontId="30" fillId="14" borderId="39" xfId="0" applyFont="1" applyFill="1" applyBorder="1" applyAlignment="1">
      <alignment horizontal="left"/>
    </xf>
    <xf numFmtId="0" fontId="25" fillId="0" borderId="29" xfId="1" applyFont="1" applyBorder="1" applyAlignment="1" applyProtection="1">
      <alignment horizontal="center" vertical="center"/>
    </xf>
    <xf numFmtId="0" fontId="25" fillId="0" borderId="27" xfId="1" applyFont="1" applyBorder="1" applyAlignment="1" applyProtection="1">
      <alignment horizontal="center" vertical="center"/>
    </xf>
    <xf numFmtId="0" fontId="18" fillId="14" borderId="26" xfId="0" applyFont="1" applyFill="1" applyBorder="1" applyAlignment="1" applyProtection="1">
      <alignment horizontal="center" vertical="center" wrapText="1"/>
    </xf>
    <xf numFmtId="0" fontId="18" fillId="14" borderId="15" xfId="0" applyFont="1" applyFill="1" applyBorder="1" applyAlignment="1" applyProtection="1">
      <alignment horizontal="center" vertical="center" wrapText="1"/>
    </xf>
    <xf numFmtId="0" fontId="4" fillId="0" borderId="3" xfId="1" applyBorder="1" applyAlignment="1" applyProtection="1">
      <alignment horizontal="left" wrapText="1"/>
    </xf>
    <xf numFmtId="0" fontId="4" fillId="0" borderId="9" xfId="1" applyBorder="1" applyAlignment="1" applyProtection="1">
      <alignment horizontal="left" wrapText="1"/>
    </xf>
    <xf numFmtId="0" fontId="4" fillId="0" borderId="10" xfId="1" applyBorder="1" applyAlignment="1" applyProtection="1">
      <alignment horizontal="left" wrapText="1"/>
    </xf>
    <xf numFmtId="164" fontId="17" fillId="0" borderId="31" xfId="0" applyNumberFormat="1" applyFont="1" applyFill="1" applyBorder="1" applyAlignment="1" applyProtection="1">
      <alignment horizontal="left" wrapText="1"/>
    </xf>
    <xf numFmtId="164" fontId="17" fillId="0" borderId="25" xfId="0" applyNumberFormat="1" applyFont="1" applyFill="1" applyBorder="1" applyAlignment="1" applyProtection="1">
      <alignment horizontal="left" wrapText="1"/>
    </xf>
    <xf numFmtId="0" fontId="39" fillId="14" borderId="29" xfId="0" applyFont="1" applyFill="1" applyBorder="1" applyAlignment="1">
      <alignment horizontal="left" vertical="center"/>
    </xf>
    <xf numFmtId="0" fontId="39" fillId="14" borderId="27" xfId="0" applyFont="1" applyFill="1" applyBorder="1" applyAlignment="1">
      <alignment horizontal="left" vertical="center"/>
    </xf>
    <xf numFmtId="0" fontId="39" fillId="14" borderId="28" xfId="0" applyFont="1" applyFill="1" applyBorder="1" applyAlignment="1">
      <alignment horizontal="left" vertical="center"/>
    </xf>
    <xf numFmtId="0" fontId="39" fillId="14" borderId="23" xfId="0" applyFont="1" applyFill="1" applyBorder="1" applyAlignment="1">
      <alignment horizontal="left" vertical="center"/>
    </xf>
    <xf numFmtId="0" fontId="39" fillId="14" borderId="26" xfId="0" applyFont="1" applyFill="1" applyBorder="1" applyAlignment="1">
      <alignment horizontal="left" vertical="center"/>
    </xf>
    <xf numFmtId="0" fontId="39" fillId="14" borderId="15" xfId="0" applyFont="1" applyFill="1" applyBorder="1" applyAlignment="1">
      <alignment horizontal="left" vertical="center"/>
    </xf>
    <xf numFmtId="0" fontId="45" fillId="14" borderId="31" xfId="1" applyFont="1" applyFill="1" applyBorder="1" applyAlignment="1" applyProtection="1">
      <alignment horizontal="left"/>
    </xf>
    <xf numFmtId="0" fontId="45" fillId="14" borderId="42" xfId="1" applyFont="1" applyFill="1" applyBorder="1" applyAlignment="1" applyProtection="1">
      <alignment horizontal="left"/>
    </xf>
    <xf numFmtId="0" fontId="45" fillId="14" borderId="32" xfId="1" applyFont="1" applyFill="1" applyBorder="1" applyAlignment="1" applyProtection="1">
      <alignment horizontal="left"/>
    </xf>
    <xf numFmtId="0" fontId="0" fillId="7" borderId="31" xfId="0" applyFill="1" applyBorder="1" applyAlignment="1">
      <alignment horizontal="center"/>
    </xf>
    <xf numFmtId="0" fontId="0" fillId="7" borderId="42" xfId="0" applyFill="1" applyBorder="1" applyAlignment="1">
      <alignment horizontal="center"/>
    </xf>
    <xf numFmtId="0" fontId="0" fillId="7" borderId="32" xfId="0" applyFill="1" applyBorder="1" applyAlignment="1">
      <alignment horizontal="center"/>
    </xf>
    <xf numFmtId="0" fontId="32" fillId="7" borderId="31" xfId="0" applyFont="1" applyFill="1" applyBorder="1" applyAlignment="1">
      <alignment horizontal="center"/>
    </xf>
    <xf numFmtId="0" fontId="32" fillId="7" borderId="42" xfId="0" applyFont="1" applyFill="1" applyBorder="1" applyAlignment="1">
      <alignment horizontal="center"/>
    </xf>
    <xf numFmtId="0" fontId="32" fillId="7" borderId="32" xfId="0" applyFont="1" applyFill="1" applyBorder="1" applyAlignment="1">
      <alignment horizontal="center"/>
    </xf>
    <xf numFmtId="0" fontId="32" fillId="7" borderId="31" xfId="0" applyFont="1" applyFill="1" applyBorder="1" applyAlignment="1">
      <alignment horizontal="left"/>
    </xf>
    <xf numFmtId="0" fontId="32" fillId="7" borderId="42" xfId="0" applyFont="1" applyFill="1" applyBorder="1" applyAlignment="1">
      <alignment horizontal="left"/>
    </xf>
    <xf numFmtId="0" fontId="32" fillId="7" borderId="41" xfId="0" applyFont="1" applyFill="1" applyBorder="1" applyAlignment="1">
      <alignment horizontal="left"/>
    </xf>
    <xf numFmtId="0" fontId="32" fillId="7" borderId="32" xfId="0" applyFont="1" applyFill="1" applyBorder="1" applyAlignment="1">
      <alignment horizontal="left"/>
    </xf>
    <xf numFmtId="0" fontId="32" fillId="14" borderId="23" xfId="0" applyFont="1" applyFill="1" applyBorder="1" applyAlignment="1">
      <alignment horizontal="left" vertical="top"/>
    </xf>
    <xf numFmtId="0" fontId="32" fillId="14" borderId="26" xfId="0" applyFont="1" applyFill="1" applyBorder="1" applyAlignment="1">
      <alignment horizontal="left" vertical="top"/>
    </xf>
    <xf numFmtId="0" fontId="32" fillId="14" borderId="15" xfId="0" applyFont="1" applyFill="1" applyBorder="1" applyAlignment="1">
      <alignment horizontal="left" vertical="top"/>
    </xf>
    <xf numFmtId="0" fontId="32" fillId="7" borderId="23" xfId="0" applyFont="1" applyFill="1" applyBorder="1" applyAlignment="1">
      <alignment horizontal="left"/>
    </xf>
    <xf numFmtId="0" fontId="32" fillId="7" borderId="26" xfId="0" applyFont="1" applyFill="1" applyBorder="1" applyAlignment="1">
      <alignment horizontal="left"/>
    </xf>
    <xf numFmtId="0" fontId="32" fillId="7" borderId="15" xfId="0" applyFont="1" applyFill="1" applyBorder="1" applyAlignment="1">
      <alignment horizontal="left"/>
    </xf>
    <xf numFmtId="0" fontId="35" fillId="14" borderId="26" xfId="0" applyFont="1" applyFill="1" applyBorder="1" applyAlignment="1">
      <alignment horizontal="center"/>
    </xf>
    <xf numFmtId="0" fontId="35" fillId="14" borderId="15" xfId="0" applyFont="1" applyFill="1" applyBorder="1" applyAlignment="1">
      <alignment horizontal="center"/>
    </xf>
    <xf numFmtId="0" fontId="32" fillId="14" borderId="23" xfId="0" applyFont="1" applyFill="1" applyBorder="1" applyAlignment="1">
      <alignment horizontal="left"/>
    </xf>
    <xf numFmtId="0" fontId="32" fillId="14" borderId="26" xfId="0" applyFont="1" applyFill="1" applyBorder="1" applyAlignment="1">
      <alignment horizontal="left"/>
    </xf>
    <xf numFmtId="0" fontId="32" fillId="14" borderId="15" xfId="0" applyFont="1" applyFill="1" applyBorder="1" applyAlignment="1">
      <alignment horizontal="left"/>
    </xf>
    <xf numFmtId="0" fontId="32" fillId="14" borderId="23" xfId="0" applyFont="1" applyFill="1" applyBorder="1" applyAlignment="1">
      <alignment horizontal="center"/>
    </xf>
    <xf numFmtId="0" fontId="32" fillId="14" borderId="26" xfId="0" applyFont="1" applyFill="1" applyBorder="1" applyAlignment="1">
      <alignment horizontal="center"/>
    </xf>
    <xf numFmtId="0" fontId="40" fillId="14" borderId="7" xfId="0" applyFont="1" applyFill="1" applyBorder="1" applyAlignment="1">
      <alignment horizontal="center" vertical="center"/>
    </xf>
    <xf numFmtId="0" fontId="40" fillId="14" borderId="11" xfId="0" applyFont="1" applyFill="1" applyBorder="1" applyAlignment="1">
      <alignment horizontal="center" vertical="center"/>
    </xf>
    <xf numFmtId="0" fontId="40" fillId="14" borderId="13" xfId="0" applyFont="1" applyFill="1" applyBorder="1" applyAlignment="1">
      <alignment horizontal="center" vertical="center"/>
    </xf>
    <xf numFmtId="0" fontId="40" fillId="14" borderId="14" xfId="0" applyFont="1" applyFill="1" applyBorder="1" applyAlignment="1">
      <alignment horizontal="center" vertical="center"/>
    </xf>
    <xf numFmtId="0" fontId="30" fillId="14" borderId="3" xfId="0" applyFont="1" applyFill="1" applyBorder="1" applyAlignment="1">
      <alignment horizontal="left" wrapText="1"/>
    </xf>
    <xf numFmtId="0" fontId="30" fillId="14" borderId="10" xfId="0" applyFont="1" applyFill="1" applyBorder="1" applyAlignment="1">
      <alignment horizontal="left" wrapText="1"/>
    </xf>
    <xf numFmtId="0" fontId="30" fillId="14" borderId="7" xfId="0" applyFont="1" applyFill="1" applyBorder="1" applyAlignment="1">
      <alignment horizontal="left" wrapText="1"/>
    </xf>
    <xf numFmtId="0" fontId="30" fillId="14" borderId="11" xfId="0" applyFont="1" applyFill="1" applyBorder="1" applyAlignment="1">
      <alignment horizontal="left" wrapText="1"/>
    </xf>
    <xf numFmtId="0" fontId="30" fillId="14" borderId="29" xfId="0" applyFont="1" applyFill="1" applyBorder="1" applyAlignment="1">
      <alignment horizontal="left"/>
    </xf>
    <xf numFmtId="0" fontId="30" fillId="14" borderId="28" xfId="0" applyFont="1" applyFill="1" applyBorder="1" applyAlignment="1">
      <alignment horizontal="left"/>
    </xf>
    <xf numFmtId="0" fontId="6" fillId="13" borderId="0" xfId="0" applyFont="1" applyFill="1" applyBorder="1" applyAlignment="1">
      <alignment horizontal="center"/>
    </xf>
    <xf numFmtId="0" fontId="5" fillId="0" borderId="3" xfId="0" applyFont="1" applyBorder="1" applyAlignment="1">
      <alignment horizontal="left" vertical="center" wrapText="1"/>
    </xf>
    <xf numFmtId="0" fontId="5" fillId="0" borderId="10" xfId="0" applyFont="1" applyBorder="1" applyAlignment="1">
      <alignment horizontal="left" vertical="center" wrapText="1"/>
    </xf>
    <xf numFmtId="0" fontId="17" fillId="0" borderId="53" xfId="0" applyFont="1" applyFill="1" applyBorder="1" applyAlignment="1" applyProtection="1">
      <alignment horizontal="center"/>
    </xf>
    <xf numFmtId="0" fontId="17" fillId="0" borderId="56" xfId="0" applyFont="1" applyFill="1" applyBorder="1" applyAlignment="1" applyProtection="1">
      <alignment horizontal="center"/>
    </xf>
    <xf numFmtId="0" fontId="41" fillId="14" borderId="3" xfId="0" applyFont="1" applyFill="1" applyBorder="1" applyAlignment="1">
      <alignment horizontal="left" vertical="center"/>
    </xf>
    <xf numFmtId="0" fontId="41" fillId="14" borderId="9" xfId="0" applyFont="1" applyFill="1" applyBorder="1" applyAlignment="1">
      <alignment horizontal="left" vertical="center"/>
    </xf>
    <xf numFmtId="0" fontId="41" fillId="14" borderId="10" xfId="0" applyFont="1" applyFill="1" applyBorder="1" applyAlignment="1">
      <alignment horizontal="left" vertical="center"/>
    </xf>
    <xf numFmtId="0" fontId="29" fillId="14" borderId="3" xfId="1" applyFont="1" applyFill="1" applyBorder="1" applyAlignment="1" applyProtection="1">
      <alignment horizontal="left"/>
    </xf>
    <xf numFmtId="0" fontId="4" fillId="14" borderId="9" xfId="1" applyFill="1" applyBorder="1" applyAlignment="1" applyProtection="1">
      <alignment horizontal="left"/>
    </xf>
    <xf numFmtId="0" fontId="4" fillId="14" borderId="10" xfId="1" applyFill="1" applyBorder="1" applyAlignment="1" applyProtection="1">
      <alignment horizontal="left"/>
    </xf>
    <xf numFmtId="164" fontId="17" fillId="0" borderId="7" xfId="4" applyFont="1" applyFill="1" applyBorder="1" applyAlignment="1" applyProtection="1">
      <alignment horizontal="left" vertical="center" wrapText="1"/>
      <protection locked="0"/>
    </xf>
    <xf numFmtId="164" fontId="17" fillId="0" borderId="13" xfId="4" applyFont="1" applyFill="1" applyBorder="1" applyAlignment="1" applyProtection="1">
      <alignment horizontal="left" vertical="center" wrapText="1"/>
      <protection locked="0"/>
    </xf>
    <xf numFmtId="164" fontId="17" fillId="0" borderId="20" xfId="4" applyFont="1" applyFill="1" applyBorder="1" applyAlignment="1" applyProtection="1">
      <alignment horizontal="left" vertical="center" wrapText="1"/>
      <protection locked="0"/>
    </xf>
    <xf numFmtId="0" fontId="0" fillId="0" borderId="4" xfId="3" applyFont="1" applyBorder="1" applyAlignment="1" applyProtection="1">
      <alignment horizontal="left" vertical="center" wrapText="1"/>
      <protection locked="0"/>
    </xf>
    <xf numFmtId="0" fontId="33" fillId="0" borderId="0" xfId="3" applyFont="1" applyBorder="1" applyAlignment="1" applyProtection="1">
      <alignment horizontal="left" vertical="center" wrapText="1"/>
      <protection locked="0"/>
    </xf>
    <xf numFmtId="0" fontId="33" fillId="0" borderId="0" xfId="3" applyFont="1" applyFill="1" applyBorder="1" applyAlignment="1" applyProtection="1">
      <alignment horizontal="left" vertical="center" wrapText="1"/>
      <protection locked="0"/>
    </xf>
    <xf numFmtId="0" fontId="33" fillId="0" borderId="8" xfId="3" applyFont="1" applyFill="1" applyBorder="1" applyAlignment="1" applyProtection="1">
      <alignment horizontal="left" vertical="center" wrapText="1"/>
      <protection locked="0"/>
    </xf>
    <xf numFmtId="3" fontId="17" fillId="0" borderId="7" xfId="4" applyNumberFormat="1" applyFont="1" applyFill="1" applyBorder="1" applyAlignment="1" applyProtection="1">
      <alignment horizontal="left" vertical="center" wrapText="1"/>
      <protection locked="0"/>
    </xf>
    <xf numFmtId="3" fontId="17" fillId="0" borderId="13" xfId="4" applyNumberFormat="1" applyFont="1" applyFill="1" applyBorder="1" applyAlignment="1" applyProtection="1">
      <alignment horizontal="left" vertical="center" wrapText="1"/>
      <protection locked="0"/>
    </xf>
    <xf numFmtId="3" fontId="17" fillId="0" borderId="20" xfId="4" applyNumberFormat="1" applyFont="1" applyFill="1" applyBorder="1" applyAlignment="1" applyProtection="1">
      <alignment horizontal="left" vertical="center" wrapText="1"/>
      <protection locked="0"/>
    </xf>
    <xf numFmtId="164" fontId="17" fillId="0" borderId="7" xfId="0" applyNumberFormat="1" applyFont="1" applyFill="1" applyBorder="1" applyAlignment="1" applyProtection="1">
      <alignment horizontal="left" vertical="center" wrapText="1"/>
      <protection locked="0"/>
    </xf>
    <xf numFmtId="164" fontId="17" fillId="0" borderId="13" xfId="0" applyNumberFormat="1" applyFont="1" applyFill="1" applyBorder="1" applyAlignment="1" applyProtection="1">
      <alignment horizontal="left" vertical="center" wrapText="1"/>
      <protection locked="0"/>
    </xf>
    <xf numFmtId="164" fontId="17" fillId="0" borderId="20" xfId="0" applyNumberFormat="1" applyFont="1" applyFill="1" applyBorder="1" applyAlignment="1" applyProtection="1">
      <alignment horizontal="left" vertical="center" wrapText="1"/>
      <protection locked="0"/>
    </xf>
    <xf numFmtId="164" fontId="17" fillId="0" borderId="7" xfId="4" applyNumberFormat="1" applyFont="1" applyFill="1" applyBorder="1" applyAlignment="1" applyProtection="1">
      <alignment horizontal="left" vertical="center" wrapText="1"/>
      <protection locked="0"/>
    </xf>
    <xf numFmtId="164" fontId="17" fillId="0" borderId="13" xfId="4" applyNumberFormat="1" applyFont="1" applyFill="1" applyBorder="1" applyAlignment="1" applyProtection="1">
      <alignment horizontal="left" vertical="center" wrapText="1"/>
      <protection locked="0"/>
    </xf>
    <xf numFmtId="164" fontId="17" fillId="0" borderId="20" xfId="4" applyNumberFormat="1" applyFont="1" applyFill="1" applyBorder="1" applyAlignment="1" applyProtection="1">
      <alignment horizontal="left" vertical="center" wrapText="1"/>
      <protection locked="0"/>
    </xf>
    <xf numFmtId="0" fontId="0" fillId="0" borderId="4" xfId="3" applyFont="1" applyFill="1" applyBorder="1" applyAlignment="1" applyProtection="1">
      <alignment horizontal="left" vertical="center" wrapText="1"/>
      <protection locked="0"/>
    </xf>
    <xf numFmtId="0" fontId="0" fillId="0" borderId="0" xfId="3" applyFont="1" applyBorder="1" applyAlignment="1" applyProtection="1">
      <alignment horizontal="left" vertical="center" wrapText="1"/>
      <protection locked="0"/>
    </xf>
    <xf numFmtId="0" fontId="33" fillId="0" borderId="8" xfId="3" applyFont="1" applyBorder="1" applyAlignment="1" applyProtection="1">
      <alignment horizontal="left" vertical="center" wrapText="1"/>
      <protection locked="0"/>
    </xf>
    <xf numFmtId="0" fontId="32" fillId="0" borderId="7" xfId="3" applyFont="1" applyBorder="1" applyAlignment="1" applyProtection="1">
      <alignment horizontal="left" vertical="center" wrapText="1"/>
      <protection locked="0"/>
    </xf>
    <xf numFmtId="0" fontId="32" fillId="0" borderId="13" xfId="3" applyFont="1" applyBorder="1" applyAlignment="1" applyProtection="1">
      <alignment horizontal="left" vertical="center" wrapText="1"/>
      <protection locked="0"/>
    </xf>
    <xf numFmtId="0" fontId="32" fillId="0" borderId="20" xfId="3" applyFont="1" applyBorder="1" applyAlignment="1" applyProtection="1">
      <alignment horizontal="left" vertical="center" wrapText="1"/>
      <protection locked="0"/>
    </xf>
    <xf numFmtId="0" fontId="33" fillId="0" borderId="4" xfId="3" applyFont="1" applyBorder="1" applyAlignment="1" applyProtection="1">
      <alignment horizontal="left" vertical="center" wrapText="1"/>
      <protection locked="0"/>
    </xf>
    <xf numFmtId="0" fontId="36" fillId="7" borderId="3" xfId="0" applyFont="1" applyFill="1" applyBorder="1" applyAlignment="1" applyProtection="1">
      <alignment horizontal="center" vertical="top" wrapText="1"/>
      <protection locked="0"/>
    </xf>
    <xf numFmtId="0" fontId="36" fillId="7" borderId="9" xfId="0" applyFont="1" applyFill="1" applyBorder="1" applyAlignment="1" applyProtection="1">
      <alignment horizontal="center" vertical="top" wrapText="1"/>
      <protection locked="0"/>
    </xf>
    <xf numFmtId="0" fontId="36" fillId="7" borderId="10" xfId="0" applyFont="1" applyFill="1" applyBorder="1" applyAlignment="1" applyProtection="1">
      <alignment horizontal="center" vertical="top" wrapText="1"/>
      <protection locked="0"/>
    </xf>
    <xf numFmtId="0" fontId="33" fillId="0" borderId="4" xfId="3" applyFont="1" applyBorder="1" applyAlignment="1" applyProtection="1">
      <alignment vertical="center" wrapText="1"/>
      <protection locked="0"/>
    </xf>
    <xf numFmtId="0" fontId="33" fillId="0" borderId="0" xfId="3" applyFont="1" applyBorder="1" applyAlignment="1" applyProtection="1">
      <alignment vertical="center" wrapText="1"/>
      <protection locked="0"/>
    </xf>
    <xf numFmtId="164" fontId="5" fillId="0" borderId="0" xfId="0" applyNumberFormat="1" applyFont="1" applyBorder="1" applyAlignment="1" applyProtection="1">
      <alignment horizontal="left" vertical="center" wrapText="1"/>
      <protection locked="0"/>
    </xf>
    <xf numFmtId="164" fontId="5" fillId="0" borderId="8" xfId="0" applyNumberFormat="1" applyFont="1" applyBorder="1" applyAlignment="1" applyProtection="1">
      <alignment horizontal="left" vertical="center" wrapText="1"/>
      <protection locked="0"/>
    </xf>
    <xf numFmtId="0" fontId="0" fillId="7" borderId="15" xfId="0" applyFill="1" applyBorder="1" applyAlignment="1">
      <alignment wrapText="1"/>
    </xf>
    <xf numFmtId="0" fontId="0" fillId="7" borderId="26" xfId="0" applyFill="1" applyBorder="1" applyAlignment="1">
      <alignment horizontal="left" vertical="top" wrapText="1"/>
    </xf>
    <xf numFmtId="0" fontId="0" fillId="7" borderId="15" xfId="0" applyFill="1" applyBorder="1" applyAlignment="1">
      <alignment horizontal="left" wrapText="1"/>
    </xf>
    <xf numFmtId="0" fontId="0" fillId="7" borderId="15" xfId="0" applyFill="1" applyBorder="1" applyAlignment="1">
      <alignment vertical="top" wrapText="1"/>
    </xf>
  </cellXfs>
  <cellStyles count="5">
    <cellStyle name="Hyperlink" xfId="1" builtinId="8"/>
    <cellStyle name="Nor}al 2 2" xfId="4"/>
    <cellStyle name="Normal" xfId="0" builtinId="0"/>
    <cellStyle name="Normal 2" xfId="2"/>
    <cellStyle name="Normal 3" xfId="3"/>
  </cellStyles>
  <dxfs count="0"/>
  <tableStyles count="0" defaultTableStyle="TableStyleMedium9" defaultPivotStyle="PivotStyleLight16"/>
  <colors>
    <mruColors>
      <color rgb="FF00FFFF"/>
      <color rgb="FF808080"/>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activeX1.xml><?xml version="1.0" encoding="utf-8"?>
<ax:ocx xmlns:ax="http://schemas.microsoft.com/office/2006/activeX" xmlns:r="http://schemas.openxmlformats.org/officeDocument/2006/relationships" ax:classid="{D7053240-CE69-11CD-A777-00DD01143C57}">
  <ax:ocxPr ax:name="ForeColor" ax:value="0"/>
  <ax:ocxPr ax:name="Caption" ax:value="Select Additional KRAs"/>
  <ax:ocxPr ax:name="Size" ax:value="4789;794"/>
  <ax:ocxPr ax:name="FontName" ax:value="Calibri"/>
  <ax:ocxPr ax:name="FontHeight" ax:value="22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ocxPr ax:name="VariousPropertyBits" ax:value="746604571"/>
  <ax:ocxPr ax:name="DisplayStyle" ax:value="7"/>
  <ax:ocxPr ax:name="Size" ax:value="5847;688"/>
  <ax:ocxPr ax:name="MatchEntry" ax:value="1"/>
  <ax:ocxPr ax:name="ShowDropButtonWhen" ax:value="2"/>
  <ax:ocxPr ax:name="Value" ax:value="Sr. Software Engineer"/>
  <ax:ocxPr ax:name="SpecialEffect" ax:value="3"/>
  <ax:ocxPr ax:name="FontName" ax:value="Calibri"/>
  <ax:ocxPr ax:name="FontEffects" ax:value="1073741825"/>
  <ax:ocxPr ax:name="FontHeight" ax:value="225"/>
  <ax:ocxPr ax:name="FontCharSet" ax:value="0"/>
  <ax:ocxPr ax:name="FontPitchAndFamily" ax:value="2"/>
  <ax:ocxPr ax:name="FontWeight" ax:value="700"/>
</ax:ocx>
</file>

<file path=xl/activeX/activeX3.xml><?xml version="1.0" encoding="utf-8"?>
<ax:ocx xmlns:ax="http://schemas.microsoft.com/office/2006/activeX" xmlns:r="http://schemas.openxmlformats.org/officeDocument/2006/relationships" ax:classid="{8BD21D10-EC42-11CE-9E0D-00AA006002F3}">
  <ax:ocxPr ax:name="VariousPropertyBits" ax:value="746604571"/>
  <ax:ocxPr ax:name="Size" ax:value="5768;688"/>
  <ax:ocxPr ax:name="SpecialEffect" ax:value="3"/>
  <ax:ocxPr ax:name="FontName" ax:value="Calibri"/>
  <ax:ocxPr ax:name="FontEffects" ax:value="1073741825"/>
  <ax:ocxPr ax:name="FontHeight" ax:value="225"/>
  <ax:ocxPr ax:name="FontCharSet" ax:value="0"/>
  <ax:ocxPr ax:name="FontPitchAndFamily" ax:value="2"/>
  <ax:ocxPr ax:name="FontWeight" ax:value="700"/>
</ax:ocx>
</file>

<file path=xl/activeX/activeX4.xml><?xml version="1.0" encoding="utf-8"?>
<ax:ocx xmlns:ax="http://schemas.microsoft.com/office/2006/activeX" xmlns:r="http://schemas.openxmlformats.org/officeDocument/2006/relationships" ax:classid="{D7053240-CE69-11CD-A777-00DD01143C57}">
  <ax:ocxPr ax:name="ForeColor" ax:value="0"/>
  <ax:ocxPr ax:name="Caption" ax:value="Select Additional KRAs"/>
  <ax:ocxPr ax:name="Size" ax:value="4789;767"/>
  <ax:ocxPr ax:name="FontName" ax:value="Calibri"/>
  <ax:ocxPr ax:name="FontHeight" ax:value="22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n-US"/>
  <c:style val="44"/>
  <c:chart>
    <c:title>
      <c:tx>
        <c:rich>
          <a:bodyPr/>
          <a:lstStyle/>
          <a:p>
            <a:pPr>
              <a:defRPr lang="en-US" sz="1800" b="1" i="0" u="none" strike="noStrike" baseline="0">
                <a:solidFill>
                  <a:srgbClr val="FFFFFF"/>
                </a:solidFill>
                <a:latin typeface="Calibri"/>
                <a:ea typeface="Calibri"/>
                <a:cs typeface="Calibri"/>
              </a:defRPr>
            </a:pPr>
            <a:r>
              <a:rPr lang="en-US"/>
              <a:t>Performance Appraisal Parameters ( Rating by Reporting Manager/ Appraiser)</a:t>
            </a:r>
          </a:p>
        </c:rich>
      </c:tx>
      <c:layout>
        <c:manualLayout>
          <c:xMode val="edge"/>
          <c:yMode val="edge"/>
          <c:x val="0.21559719592013901"/>
          <c:y val="0"/>
        </c:manualLayout>
      </c:layout>
    </c:title>
    <c:plotArea>
      <c:layout/>
      <c:barChart>
        <c:barDir val="col"/>
        <c:grouping val="stacked"/>
        <c:ser>
          <c:idx val="0"/>
          <c:order val="0"/>
          <c:tx>
            <c:v>Performance Appraisal Parameters</c:v>
          </c:tx>
          <c:dLbls>
            <c:dLbl>
              <c:idx val="0"/>
              <c:layout>
                <c:manualLayout>
                  <c:x val="3.3755274261603402E-3"/>
                  <c:y val="-0.29189189189190506"/>
                </c:manualLayout>
              </c:layout>
              <c:showVal val="1"/>
            </c:dLbl>
            <c:dLbl>
              <c:idx val="1"/>
              <c:layout>
                <c:manualLayout>
                  <c:x val="0"/>
                  <c:y val="-0.28828828828830005"/>
                </c:manualLayout>
              </c:layout>
              <c:showVal val="1"/>
            </c:dLbl>
            <c:dLbl>
              <c:idx val="2"/>
              <c:layout>
                <c:manualLayout>
                  <c:x val="-3.3755274261603402E-3"/>
                  <c:y val="-0.2558558558558689"/>
                </c:manualLayout>
              </c:layout>
              <c:showVal val="1"/>
            </c:dLbl>
            <c:dLbl>
              <c:idx val="3"/>
              <c:layout>
                <c:manualLayout>
                  <c:x val="0"/>
                  <c:y val="-0.273873873873898"/>
                </c:manualLayout>
              </c:layout>
              <c:showVal val="1"/>
            </c:dLbl>
            <c:dLbl>
              <c:idx val="4"/>
              <c:layout>
                <c:manualLayout>
                  <c:x val="3.3755274261603402E-3"/>
                  <c:y val="-0.18378378378378391"/>
                </c:manualLayout>
              </c:layout>
              <c:showVal val="1"/>
            </c:dLbl>
            <c:dLbl>
              <c:idx val="5"/>
              <c:layout>
                <c:manualLayout>
                  <c:x val="-3.3755274261603402E-3"/>
                  <c:y val="-0.22342342342342394"/>
                </c:manualLayout>
              </c:layout>
              <c:showVal val="1"/>
            </c:dLbl>
            <c:txPr>
              <a:bodyPr/>
              <a:lstStyle/>
              <a:p>
                <a:pPr>
                  <a:defRPr lang="en-US"/>
                </a:pPr>
                <a:endParaRPr lang="en-US"/>
              </a:p>
            </c:txPr>
            <c:showVal val="1"/>
          </c:dLbls>
          <c:cat>
            <c:strRef>
              <c:f>Analytics!$C$4:$C$9</c:f>
              <c:strCache>
                <c:ptCount val="6"/>
                <c:pt idx="0">
                  <c:v>Service Excellence</c:v>
                </c:pt>
                <c:pt idx="1">
                  <c:v>Management Effectiveness</c:v>
                </c:pt>
                <c:pt idx="2">
                  <c:v>Organization Citizenship</c:v>
                </c:pt>
                <c:pt idx="3">
                  <c:v>Leadership Effectiveness</c:v>
                </c:pt>
                <c:pt idx="4">
                  <c:v>KRA</c:v>
                </c:pt>
                <c:pt idx="5">
                  <c:v>Overall Rating</c:v>
                </c:pt>
              </c:strCache>
            </c:strRef>
          </c:cat>
          <c:val>
            <c:numRef>
              <c:f>Analytics!$B$4:$B$9</c:f>
              <c:numCache>
                <c:formatCode>General</c:formatCode>
                <c:ptCount val="6"/>
                <c:pt idx="0">
                  <c:v>0</c:v>
                </c:pt>
                <c:pt idx="1">
                  <c:v>0</c:v>
                </c:pt>
                <c:pt idx="2">
                  <c:v>0</c:v>
                </c:pt>
                <c:pt idx="3">
                  <c:v>0</c:v>
                </c:pt>
                <c:pt idx="4">
                  <c:v>0</c:v>
                </c:pt>
                <c:pt idx="5">
                  <c:v>0</c:v>
                </c:pt>
              </c:numCache>
            </c:numRef>
          </c:val>
        </c:ser>
        <c:overlap val="100"/>
        <c:axId val="181068160"/>
        <c:axId val="181069696"/>
      </c:barChart>
      <c:catAx>
        <c:axId val="181068160"/>
        <c:scaling>
          <c:orientation val="minMax"/>
        </c:scaling>
        <c:axPos val="b"/>
        <c:numFmt formatCode="General" sourceLinked="1"/>
        <c:majorTickMark val="none"/>
        <c:tickLblPos val="nextTo"/>
        <c:txPr>
          <a:bodyPr rot="0" vert="horz"/>
          <a:lstStyle/>
          <a:p>
            <a:pPr>
              <a:defRPr lang="en-US" sz="1000" b="0" i="0" u="none" strike="noStrike" baseline="0">
                <a:solidFill>
                  <a:srgbClr val="FFFFFF"/>
                </a:solidFill>
                <a:latin typeface="Calibri"/>
                <a:ea typeface="Calibri"/>
                <a:cs typeface="Calibri"/>
              </a:defRPr>
            </a:pPr>
            <a:endParaRPr lang="en-US"/>
          </a:p>
        </c:txPr>
        <c:crossAx val="181069696"/>
        <c:crosses val="autoZero"/>
        <c:auto val="1"/>
        <c:lblAlgn val="ctr"/>
        <c:lblOffset val="100"/>
      </c:catAx>
      <c:valAx>
        <c:axId val="181069696"/>
        <c:scaling>
          <c:orientation val="minMax"/>
          <c:max val="5"/>
          <c:min val="0"/>
        </c:scaling>
        <c:axPos val="l"/>
        <c:majorGridlines/>
        <c:title>
          <c:tx>
            <c:rich>
              <a:bodyPr/>
              <a:lstStyle/>
              <a:p>
                <a:pPr>
                  <a:defRPr lang="en-US" sz="1600" b="0" i="0" u="none" strike="noStrike" baseline="0">
                    <a:solidFill>
                      <a:srgbClr val="FFFFFF"/>
                    </a:solidFill>
                    <a:latin typeface="Palatino Linotype"/>
                    <a:ea typeface="Palatino Linotype"/>
                    <a:cs typeface="Palatino Linotype"/>
                  </a:defRPr>
                </a:pPr>
                <a:r>
                  <a:rPr lang="en-US"/>
                  <a:t>Ratings</a:t>
                </a:r>
              </a:p>
            </c:rich>
          </c:tx>
          <c:layout>
            <c:manualLayout>
              <c:xMode val="edge"/>
              <c:yMode val="edge"/>
              <c:x val="0.21265836074288191"/>
              <c:y val="0.40140540540540542"/>
            </c:manualLayout>
          </c:layout>
        </c:title>
        <c:numFmt formatCode="General" sourceLinked="1"/>
        <c:majorTickMark val="none"/>
        <c:tickLblPos val="nextTo"/>
        <c:txPr>
          <a:bodyPr rot="0" vert="horz"/>
          <a:lstStyle/>
          <a:p>
            <a:pPr>
              <a:defRPr lang="en-US" sz="1000" b="0" i="0" u="none" strike="noStrike" baseline="0">
                <a:solidFill>
                  <a:srgbClr val="FFFFFF"/>
                </a:solidFill>
                <a:latin typeface="Calibri"/>
                <a:ea typeface="Calibri"/>
                <a:cs typeface="Calibri"/>
              </a:defRPr>
            </a:pPr>
            <a:endParaRPr lang="en-US"/>
          </a:p>
        </c:txPr>
        <c:crossAx val="181068160"/>
        <c:crosses val="autoZero"/>
        <c:crossBetween val="between"/>
        <c:majorUnit val="1"/>
        <c:minorUnit val="1"/>
      </c:valAx>
      <c:dTable>
        <c:showHorzBorder val="1"/>
        <c:showVertBorder val="1"/>
        <c:showOutline val="1"/>
        <c:showKeys val="1"/>
        <c:txPr>
          <a:bodyPr/>
          <a:lstStyle/>
          <a:p>
            <a:pPr rtl="0">
              <a:defRPr lang="en-US" sz="1000" b="0" i="0" u="none" strike="noStrike" baseline="0">
                <a:solidFill>
                  <a:srgbClr val="FFFFFF"/>
                </a:solidFill>
                <a:latin typeface="Calibri"/>
                <a:ea typeface="Calibri"/>
                <a:cs typeface="Calibri"/>
              </a:defRPr>
            </a:pPr>
            <a:endParaRPr lang="en-US"/>
          </a:p>
        </c:txPr>
      </c:dTable>
    </c:plotArea>
    <c:dispBlanksAs val="gap"/>
  </c:chart>
  <c:txPr>
    <a:bodyPr/>
    <a:lstStyle/>
    <a:p>
      <a:pPr>
        <a:defRPr sz="1000" b="0" i="0" u="none" strike="noStrike" baseline="0">
          <a:solidFill>
            <a:srgbClr val="FFFFFF"/>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2</xdr:col>
      <xdr:colOff>3184923</xdr:colOff>
      <xdr:row>0</xdr:row>
      <xdr:rowOff>49610</xdr:rowOff>
    </xdr:from>
    <xdr:to>
      <xdr:col>3</xdr:col>
      <xdr:colOff>1071563</xdr:colOff>
      <xdr:row>2</xdr:row>
      <xdr:rowOff>367110</xdr:rowOff>
    </xdr:to>
    <xdr:pic>
      <xdr:nvPicPr>
        <xdr:cNvPr id="10" name="Picture 9" descr="PACE Logo.png"/>
        <xdr:cNvPicPr>
          <a:picLocks noChangeAspect="1"/>
        </xdr:cNvPicPr>
      </xdr:nvPicPr>
      <xdr:blipFill>
        <a:blip xmlns:r="http://schemas.openxmlformats.org/officeDocument/2006/relationships" r:embed="rId1" cstate="print"/>
        <a:stretch>
          <a:fillRect/>
        </a:stretch>
      </xdr:blipFill>
      <xdr:spPr>
        <a:xfrm>
          <a:off x="8086329" y="49610"/>
          <a:ext cx="1101328" cy="803672"/>
        </a:xfrm>
        <a:prstGeom prst="rect">
          <a:avLst/>
        </a:prstGeom>
      </xdr:spPr>
    </xdr:pic>
    <xdr:clientData/>
  </xdr:twoCellAnchor>
  <xdr:twoCellAnchor editAs="oneCell">
    <xdr:from>
      <xdr:col>0</xdr:col>
      <xdr:colOff>29765</xdr:colOff>
      <xdr:row>0</xdr:row>
      <xdr:rowOff>99219</xdr:rowOff>
    </xdr:from>
    <xdr:to>
      <xdr:col>0</xdr:col>
      <xdr:colOff>1210468</xdr:colOff>
      <xdr:row>2</xdr:row>
      <xdr:rowOff>346997</xdr:rowOff>
    </xdr:to>
    <xdr:pic>
      <xdr:nvPicPr>
        <xdr:cNvPr id="7" name="Picture 6" descr="007.png"/>
        <xdr:cNvPicPr>
          <a:picLocks noChangeAspect="1"/>
        </xdr:cNvPicPr>
      </xdr:nvPicPr>
      <xdr:blipFill rotWithShape="1">
        <a:blip xmlns:r="http://schemas.openxmlformats.org/officeDocument/2006/relationships" r:embed="rId2" cstate="print"/>
        <a:srcRect b="18768"/>
        <a:stretch/>
      </xdr:blipFill>
      <xdr:spPr>
        <a:xfrm>
          <a:off x="29765" y="99219"/>
          <a:ext cx="1180703" cy="733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2860676</xdr:colOff>
      <xdr:row>1</xdr:row>
      <xdr:rowOff>31751</xdr:rowOff>
    </xdr:from>
    <xdr:to>
      <xdr:col>2</xdr:col>
      <xdr:colOff>3867150</xdr:colOff>
      <xdr:row>2</xdr:row>
      <xdr:rowOff>306440</xdr:rowOff>
    </xdr:to>
    <xdr:pic>
      <xdr:nvPicPr>
        <xdr:cNvPr id="6" name="Picture 5" descr="PACE Logo.png"/>
        <xdr:cNvPicPr>
          <a:picLocks noChangeAspect="1"/>
        </xdr:cNvPicPr>
      </xdr:nvPicPr>
      <xdr:blipFill>
        <a:blip xmlns:r="http://schemas.openxmlformats.org/officeDocument/2006/relationships" r:embed="rId1" cstate="print"/>
        <a:stretch>
          <a:fillRect/>
        </a:stretch>
      </xdr:blipFill>
      <xdr:spPr>
        <a:xfrm>
          <a:off x="7766051" y="203201"/>
          <a:ext cx="1006474" cy="589014"/>
        </a:xfrm>
        <a:prstGeom prst="rect">
          <a:avLst/>
        </a:prstGeom>
      </xdr:spPr>
    </xdr:pic>
    <xdr:clientData/>
  </xdr:twoCellAnchor>
  <xdr:twoCellAnchor editAs="oneCell">
    <xdr:from>
      <xdr:col>0</xdr:col>
      <xdr:colOff>144066</xdr:colOff>
      <xdr:row>0</xdr:row>
      <xdr:rowOff>108744</xdr:rowOff>
    </xdr:from>
    <xdr:to>
      <xdr:col>0</xdr:col>
      <xdr:colOff>1190626</xdr:colOff>
      <xdr:row>2</xdr:row>
      <xdr:rowOff>301309</xdr:rowOff>
    </xdr:to>
    <xdr:pic>
      <xdr:nvPicPr>
        <xdr:cNvPr id="7" name="Picture 6" descr="007.png"/>
        <xdr:cNvPicPr>
          <a:picLocks noChangeAspect="1"/>
        </xdr:cNvPicPr>
      </xdr:nvPicPr>
      <xdr:blipFill rotWithShape="1">
        <a:blip xmlns:r="http://schemas.openxmlformats.org/officeDocument/2006/relationships" r:embed="rId2" cstate="print"/>
        <a:srcRect b="18768"/>
        <a:stretch/>
      </xdr:blipFill>
      <xdr:spPr>
        <a:xfrm>
          <a:off x="144066" y="108744"/>
          <a:ext cx="1046560" cy="67834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19844</xdr:colOff>
      <xdr:row>0</xdr:row>
      <xdr:rowOff>49610</xdr:rowOff>
    </xdr:from>
    <xdr:to>
      <xdr:col>0</xdr:col>
      <xdr:colOff>1121172</xdr:colOff>
      <xdr:row>2</xdr:row>
      <xdr:rowOff>333375</xdr:rowOff>
    </xdr:to>
    <xdr:pic>
      <xdr:nvPicPr>
        <xdr:cNvPr id="7" name="Picture 6" descr="007.png"/>
        <xdr:cNvPicPr>
          <a:picLocks noChangeAspect="1"/>
        </xdr:cNvPicPr>
      </xdr:nvPicPr>
      <xdr:blipFill rotWithShape="1">
        <a:blip xmlns:r="http://schemas.openxmlformats.org/officeDocument/2006/relationships" r:embed="rId1" cstate="print"/>
        <a:srcRect b="22297"/>
        <a:stretch/>
      </xdr:blipFill>
      <xdr:spPr>
        <a:xfrm>
          <a:off x="19844" y="49610"/>
          <a:ext cx="1101328" cy="607615"/>
        </a:xfrm>
        <a:prstGeom prst="rect">
          <a:avLst/>
        </a:prstGeom>
      </xdr:spPr>
    </xdr:pic>
    <xdr:clientData/>
  </xdr:twoCellAnchor>
  <xdr:twoCellAnchor editAs="oneCell">
    <xdr:from>
      <xdr:col>1</xdr:col>
      <xdr:colOff>2847975</xdr:colOff>
      <xdr:row>0</xdr:row>
      <xdr:rowOff>47791</xdr:rowOff>
    </xdr:from>
    <xdr:to>
      <xdr:col>1</xdr:col>
      <xdr:colOff>3838575</xdr:colOff>
      <xdr:row>2</xdr:row>
      <xdr:rowOff>407131</xdr:rowOff>
    </xdr:to>
    <xdr:pic>
      <xdr:nvPicPr>
        <xdr:cNvPr id="9" name="Picture 8" descr="PACE Logo.png"/>
        <xdr:cNvPicPr>
          <a:picLocks noChangeAspect="1"/>
        </xdr:cNvPicPr>
      </xdr:nvPicPr>
      <xdr:blipFill>
        <a:blip xmlns:r="http://schemas.openxmlformats.org/officeDocument/2006/relationships" r:embed="rId2" cstate="print"/>
        <a:stretch>
          <a:fillRect/>
        </a:stretch>
      </xdr:blipFill>
      <xdr:spPr>
        <a:xfrm>
          <a:off x="5791200" y="47791"/>
          <a:ext cx="990600" cy="683190"/>
        </a:xfrm>
        <a:prstGeom prst="rect">
          <a:avLst/>
        </a:prstGeom>
      </xdr:spPr>
    </xdr:pic>
    <xdr:clientData/>
  </xdr:twoCellAnchor>
  <xdr:twoCellAnchor editAs="oneCell">
    <xdr:from>
      <xdr:col>0</xdr:col>
      <xdr:colOff>29369</xdr:colOff>
      <xdr:row>0</xdr:row>
      <xdr:rowOff>78185</xdr:rowOff>
    </xdr:from>
    <xdr:to>
      <xdr:col>0</xdr:col>
      <xdr:colOff>1130697</xdr:colOff>
      <xdr:row>2</xdr:row>
      <xdr:rowOff>361950</xdr:rowOff>
    </xdr:to>
    <xdr:pic>
      <xdr:nvPicPr>
        <xdr:cNvPr id="10" name="Picture 9" descr="007.png"/>
        <xdr:cNvPicPr>
          <a:picLocks noChangeAspect="1"/>
        </xdr:cNvPicPr>
      </xdr:nvPicPr>
      <xdr:blipFill rotWithShape="1">
        <a:blip xmlns:r="http://schemas.openxmlformats.org/officeDocument/2006/relationships" r:embed="rId1" cstate="print"/>
        <a:srcRect b="22297"/>
        <a:stretch/>
      </xdr:blipFill>
      <xdr:spPr>
        <a:xfrm>
          <a:off x="29369" y="78185"/>
          <a:ext cx="1101328" cy="60761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457199</xdr:colOff>
      <xdr:row>0</xdr:row>
      <xdr:rowOff>38100</xdr:rowOff>
    </xdr:from>
    <xdr:to>
      <xdr:col>12</xdr:col>
      <xdr:colOff>367902</xdr:colOff>
      <xdr:row>0</xdr:row>
      <xdr:rowOff>685981</xdr:rowOff>
    </xdr:to>
    <xdr:pic>
      <xdr:nvPicPr>
        <xdr:cNvPr id="8" name="Picture 7" descr="PACE Logo.png"/>
        <xdr:cNvPicPr>
          <a:picLocks noChangeAspect="1"/>
        </xdr:cNvPicPr>
      </xdr:nvPicPr>
      <xdr:blipFill>
        <a:blip xmlns:r="http://schemas.openxmlformats.org/officeDocument/2006/relationships" r:embed="rId1" cstate="print"/>
        <a:stretch>
          <a:fillRect/>
        </a:stretch>
      </xdr:blipFill>
      <xdr:spPr>
        <a:xfrm>
          <a:off x="11515724" y="38100"/>
          <a:ext cx="939403" cy="647881"/>
        </a:xfrm>
        <a:prstGeom prst="rect">
          <a:avLst/>
        </a:prstGeom>
      </xdr:spPr>
    </xdr:pic>
    <xdr:clientData/>
  </xdr:twoCellAnchor>
  <xdr:twoCellAnchor editAs="oneCell">
    <xdr:from>
      <xdr:col>0</xdr:col>
      <xdr:colOff>19844</xdr:colOff>
      <xdr:row>0</xdr:row>
      <xdr:rowOff>49610</xdr:rowOff>
    </xdr:from>
    <xdr:to>
      <xdr:col>1</xdr:col>
      <xdr:colOff>616347</xdr:colOff>
      <xdr:row>0</xdr:row>
      <xdr:rowOff>685800</xdr:rowOff>
    </xdr:to>
    <xdr:pic>
      <xdr:nvPicPr>
        <xdr:cNvPr id="7" name="Picture 6" descr="007.png"/>
        <xdr:cNvPicPr>
          <a:picLocks noChangeAspect="1"/>
        </xdr:cNvPicPr>
      </xdr:nvPicPr>
      <xdr:blipFill rotWithShape="1">
        <a:blip xmlns:r="http://schemas.openxmlformats.org/officeDocument/2006/relationships" r:embed="rId2" cstate="print"/>
        <a:srcRect b="20952"/>
        <a:stretch/>
      </xdr:blipFill>
      <xdr:spPr>
        <a:xfrm>
          <a:off x="19844" y="49610"/>
          <a:ext cx="1101328" cy="63619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314325</xdr:colOff>
      <xdr:row>1</xdr:row>
      <xdr:rowOff>161925</xdr:rowOff>
    </xdr:from>
    <xdr:to>
      <xdr:col>10</xdr:col>
      <xdr:colOff>447675</xdr:colOff>
      <xdr:row>19</xdr:row>
      <xdr:rowOff>114300</xdr:rowOff>
    </xdr:to>
    <xdr:graphicFrame macro="">
      <xdr:nvGraphicFramePr>
        <xdr:cNvPr id="3161"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3.xml"/><Relationship Id="rId5" Type="http://schemas.openxmlformats.org/officeDocument/2006/relationships/control" Target="../activeX/activeX2.xml"/><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1"/>
  <dimension ref="A1:BT4124"/>
  <sheetViews>
    <sheetView zoomScale="96" zoomScaleNormal="96" workbookViewId="0">
      <selection activeCell="B8" sqref="B8"/>
    </sheetView>
  </sheetViews>
  <sheetFormatPr defaultRowHeight="15"/>
  <cols>
    <col min="1" max="1" width="33" style="32" customWidth="1"/>
    <col min="2" max="2" width="40.42578125" style="32" customWidth="1"/>
    <col min="3" max="3" width="48.140625" style="32" customWidth="1"/>
    <col min="4" max="4" width="47.85546875" style="32" customWidth="1"/>
    <col min="5" max="5" width="6" style="8" hidden="1" customWidth="1"/>
    <col min="6" max="6" width="20.85546875" style="8" hidden="1" customWidth="1"/>
    <col min="7" max="7" width="21.85546875" style="8" hidden="1" customWidth="1"/>
    <col min="8" max="8" width="20.42578125" style="8" hidden="1" customWidth="1"/>
    <col min="9" max="9" width="19.28515625" style="8" hidden="1" customWidth="1"/>
    <col min="10" max="10" width="15.42578125" style="8" hidden="1" customWidth="1"/>
    <col min="11" max="11" width="17" style="8" hidden="1" customWidth="1"/>
    <col min="12" max="12" width="15.7109375" style="8" hidden="1" customWidth="1"/>
    <col min="13" max="13" width="9.140625" style="8" hidden="1" customWidth="1"/>
    <col min="14" max="25" width="9.140625" style="9" customWidth="1"/>
    <col min="26" max="30" width="9.140625" style="9"/>
    <col min="31" max="67" width="9.140625" style="10"/>
    <col min="68" max="72" width="0" style="10" hidden="1" customWidth="1"/>
    <col min="73" max="16384" width="9.140625" style="10"/>
  </cols>
  <sheetData>
    <row r="1" spans="1:72" ht="13.5" customHeight="1">
      <c r="A1" s="453" t="s">
        <v>316</v>
      </c>
      <c r="B1" s="454"/>
      <c r="C1" s="454"/>
      <c r="D1" s="454"/>
      <c r="E1" s="455"/>
      <c r="F1" s="40"/>
      <c r="G1" s="40"/>
      <c r="H1" s="41"/>
      <c r="BP1" s="8" t="s">
        <v>0</v>
      </c>
      <c r="BQ1" s="8" t="s">
        <v>3</v>
      </c>
      <c r="BR1" s="8" t="s">
        <v>6</v>
      </c>
      <c r="BS1" s="8" t="s">
        <v>7</v>
      </c>
      <c r="BT1" s="8" t="s">
        <v>8</v>
      </c>
    </row>
    <row r="2" spans="1:72" ht="24.75" customHeight="1">
      <c r="A2" s="456"/>
      <c r="B2" s="457"/>
      <c r="C2" s="457"/>
      <c r="D2" s="457"/>
      <c r="E2" s="458"/>
      <c r="F2" s="39"/>
      <c r="G2" s="39"/>
      <c r="H2" s="42"/>
      <c r="BP2" s="8"/>
      <c r="BQ2" s="8"/>
      <c r="BR2" s="8"/>
      <c r="BS2" s="8"/>
      <c r="BT2" s="8"/>
    </row>
    <row r="3" spans="1:72" s="13" customFormat="1" ht="36.75" customHeight="1" thickBot="1">
      <c r="A3" s="459"/>
      <c r="B3" s="460"/>
      <c r="C3" s="460"/>
      <c r="D3" s="460"/>
      <c r="E3" s="461"/>
      <c r="F3" s="43"/>
      <c r="G3" s="39"/>
      <c r="H3" s="42"/>
      <c r="I3" s="8"/>
      <c r="J3" s="8"/>
      <c r="K3" s="8"/>
      <c r="L3" s="8"/>
      <c r="M3" s="8"/>
      <c r="N3" s="12"/>
      <c r="O3" s="12"/>
      <c r="P3" s="12"/>
      <c r="Q3" s="12"/>
      <c r="R3" s="12"/>
      <c r="S3" s="12"/>
      <c r="T3" s="12"/>
      <c r="U3" s="12"/>
      <c r="V3" s="12"/>
      <c r="W3" s="12"/>
      <c r="X3" s="12"/>
      <c r="Y3" s="12"/>
      <c r="Z3" s="12"/>
      <c r="AA3" s="12"/>
      <c r="AB3" s="12"/>
      <c r="AC3" s="12"/>
      <c r="AD3" s="12"/>
    </row>
    <row r="4" spans="1:72" ht="17.25" customHeight="1" thickBot="1">
      <c r="A4" s="304" t="s">
        <v>58</v>
      </c>
      <c r="B4" s="305"/>
      <c r="C4" s="305"/>
      <c r="D4" s="306"/>
      <c r="E4" s="172"/>
      <c r="F4" s="39"/>
      <c r="G4" s="39"/>
      <c r="H4" s="42"/>
    </row>
    <row r="5" spans="1:72" ht="69" customHeight="1" thickBot="1">
      <c r="A5" s="468" t="s">
        <v>317</v>
      </c>
      <c r="B5" s="469"/>
      <c r="C5" s="469"/>
      <c r="D5" s="470"/>
      <c r="E5" s="173"/>
      <c r="F5" s="39"/>
      <c r="G5" s="39"/>
      <c r="H5" s="42"/>
    </row>
    <row r="6" spans="1:72" ht="17.25" customHeight="1" thickBot="1">
      <c r="A6" s="307" t="s">
        <v>99</v>
      </c>
      <c r="B6" s="308"/>
      <c r="C6" s="308"/>
      <c r="D6" s="309"/>
      <c r="E6" s="171"/>
      <c r="F6" s="92"/>
      <c r="G6" s="84"/>
      <c r="H6" s="85"/>
    </row>
    <row r="7" spans="1:72" ht="33.75" customHeight="1">
      <c r="A7" s="471" t="s">
        <v>327</v>
      </c>
      <c r="B7" s="472"/>
      <c r="C7" s="472"/>
      <c r="D7" s="473"/>
      <c r="E7" s="167"/>
      <c r="F7" s="75"/>
      <c r="G7" s="77"/>
      <c r="H7" s="78"/>
    </row>
    <row r="8" spans="1:72" ht="27" customHeight="1">
      <c r="A8" s="61" t="s">
        <v>328</v>
      </c>
      <c r="B8" s="63" t="s">
        <v>342</v>
      </c>
      <c r="C8" s="495" t="s">
        <v>92</v>
      </c>
      <c r="D8" s="496"/>
      <c r="E8" s="168"/>
      <c r="F8" s="75"/>
      <c r="G8" s="77"/>
      <c r="H8" s="78"/>
    </row>
    <row r="9" spans="1:72" ht="35.25" customHeight="1">
      <c r="A9" s="544" t="s">
        <v>329</v>
      </c>
      <c r="B9" s="545"/>
      <c r="C9" s="464" t="s">
        <v>127</v>
      </c>
      <c r="D9" s="465"/>
      <c r="E9" s="168"/>
      <c r="F9" s="86"/>
      <c r="G9" s="86"/>
      <c r="H9" s="87"/>
    </row>
    <row r="10" spans="1:72" ht="33.75" customHeight="1">
      <c r="A10" s="80" t="s">
        <v>128</v>
      </c>
      <c r="B10" s="62" t="s">
        <v>330</v>
      </c>
      <c r="C10" s="462" t="s">
        <v>331</v>
      </c>
      <c r="D10" s="463"/>
      <c r="E10" s="168"/>
      <c r="F10" s="88"/>
      <c r="G10" s="88"/>
      <c r="H10" s="89"/>
    </row>
    <row r="11" spans="1:72" ht="30.75" customHeight="1" thickBot="1">
      <c r="A11" s="185" t="s">
        <v>332</v>
      </c>
      <c r="B11" s="186" t="s">
        <v>333</v>
      </c>
      <c r="C11" s="466" t="s">
        <v>334</v>
      </c>
      <c r="D11" s="467"/>
      <c r="E11" s="169"/>
      <c r="F11" s="90"/>
      <c r="G11" s="90"/>
      <c r="H11" s="91"/>
    </row>
    <row r="12" spans="1:72" ht="30.75" thickBot="1">
      <c r="A12" s="61" t="s">
        <v>107</v>
      </c>
      <c r="B12" s="93" t="s">
        <v>129</v>
      </c>
      <c r="C12" s="532" t="s">
        <v>292</v>
      </c>
      <c r="D12" s="533"/>
      <c r="E12" s="170"/>
      <c r="F12" s="46"/>
      <c r="G12" s="46"/>
      <c r="H12" s="47"/>
    </row>
    <row r="13" spans="1:72" ht="9" customHeight="1" thickBot="1">
      <c r="A13" s="181"/>
      <c r="B13" s="182"/>
      <c r="C13" s="182"/>
      <c r="D13" s="183"/>
      <c r="E13" s="76"/>
      <c r="F13" s="46"/>
      <c r="G13" s="46"/>
      <c r="H13" s="47"/>
    </row>
    <row r="14" spans="1:72" ht="22.5" customHeight="1">
      <c r="A14" s="534" t="s">
        <v>314</v>
      </c>
      <c r="B14" s="535"/>
      <c r="C14" s="535"/>
      <c r="D14" s="536"/>
      <c r="E14" s="174"/>
      <c r="F14" s="39"/>
      <c r="G14" s="39"/>
      <c r="H14" s="42"/>
    </row>
    <row r="15" spans="1:72" ht="22.5" customHeight="1" thickBot="1">
      <c r="A15" s="476" t="s">
        <v>319</v>
      </c>
      <c r="B15" s="477"/>
      <c r="C15" s="477"/>
      <c r="D15" s="478"/>
      <c r="E15" s="180"/>
      <c r="F15" s="46"/>
      <c r="G15" s="46"/>
      <c r="H15" s="47"/>
    </row>
    <row r="16" spans="1:72" ht="10.5" customHeight="1" thickBot="1">
      <c r="A16" s="177"/>
      <c r="B16" s="178"/>
      <c r="C16" s="178"/>
      <c r="D16" s="184"/>
      <c r="E16" s="179"/>
      <c r="F16" s="39"/>
      <c r="G16" s="39"/>
      <c r="H16" s="42"/>
    </row>
    <row r="17" spans="1:71" ht="17.25" customHeight="1" thickBot="1">
      <c r="A17" s="307" t="s">
        <v>114</v>
      </c>
      <c r="B17" s="308"/>
      <c r="C17" s="308"/>
      <c r="D17" s="309"/>
      <c r="E17" s="171"/>
      <c r="F17" s="39"/>
      <c r="G17" s="39"/>
      <c r="H17" s="42"/>
    </row>
    <row r="18" spans="1:71" ht="95.25" customHeight="1" thickBot="1">
      <c r="A18" s="434" t="s">
        <v>318</v>
      </c>
      <c r="B18" s="435"/>
      <c r="C18" s="435"/>
      <c r="D18" s="436"/>
      <c r="E18" s="175"/>
      <c r="F18" s="39"/>
      <c r="G18" s="39"/>
      <c r="H18" s="42"/>
      <c r="BS18" s="10" t="s">
        <v>0</v>
      </c>
    </row>
    <row r="19" spans="1:71" ht="18.75" customHeight="1" thickBot="1">
      <c r="A19" s="541" t="s">
        <v>325</v>
      </c>
      <c r="B19" s="542"/>
      <c r="C19" s="542"/>
      <c r="D19" s="543"/>
      <c r="E19" s="400"/>
      <c r="F19" s="39"/>
      <c r="G19" s="39"/>
      <c r="H19" s="42"/>
    </row>
    <row r="20" spans="1:71" ht="18" customHeight="1" thickBot="1">
      <c r="A20" s="310" t="s">
        <v>68</v>
      </c>
      <c r="B20" s="311" t="s">
        <v>9</v>
      </c>
      <c r="C20" s="437" t="s">
        <v>2</v>
      </c>
      <c r="D20" s="438"/>
      <c r="E20" s="176"/>
      <c r="F20" s="39"/>
      <c r="G20" s="39"/>
      <c r="H20" s="42"/>
      <c r="BS20" s="10" t="s">
        <v>3</v>
      </c>
    </row>
    <row r="21" spans="1:71" ht="17.25" customHeight="1">
      <c r="A21" s="485" t="s">
        <v>115</v>
      </c>
      <c r="B21" s="486"/>
      <c r="C21" s="451" t="s">
        <v>4</v>
      </c>
      <c r="D21" s="425" t="s">
        <v>100</v>
      </c>
      <c r="E21" s="479"/>
      <c r="F21" s="39"/>
      <c r="G21" s="44" t="s">
        <v>5</v>
      </c>
      <c r="H21" s="45" t="s">
        <v>0</v>
      </c>
      <c r="I21" s="14" t="s">
        <v>3</v>
      </c>
      <c r="J21" s="14" t="s">
        <v>6</v>
      </c>
      <c r="K21" s="14" t="s">
        <v>7</v>
      </c>
      <c r="L21" s="14" t="s">
        <v>8</v>
      </c>
      <c r="BS21" s="10" t="s">
        <v>6</v>
      </c>
    </row>
    <row r="22" spans="1:71" ht="3" customHeight="1" thickBot="1">
      <c r="A22" s="487"/>
      <c r="B22" s="488"/>
      <c r="C22" s="452"/>
      <c r="D22" s="426"/>
      <c r="E22" s="480"/>
      <c r="F22" s="39"/>
      <c r="G22" s="39">
        <f>ROWS(D23:D25)-(COUNTIF(D23:D25,"=N"))</f>
        <v>0</v>
      </c>
      <c r="H22" s="42">
        <f>COUNTIF($D$23:$D$25,"=S")</f>
        <v>0</v>
      </c>
      <c r="I22" s="8">
        <f>COUNTIF($D$23:$D$25,"=P")</f>
        <v>0</v>
      </c>
      <c r="J22" s="8">
        <f>COUNTIF($D$23:$D$25,"=D")</f>
        <v>0</v>
      </c>
      <c r="K22" s="8">
        <f>COUNTIF($D$23:$D$25,"=I")</f>
        <v>0</v>
      </c>
      <c r="L22" s="8">
        <f>COUNTIF($D$23:$D$25,"=N")</f>
        <v>3</v>
      </c>
      <c r="BS22" s="10" t="s">
        <v>7</v>
      </c>
    </row>
    <row r="23" spans="1:71" s="17" customFormat="1" ht="90.75" thickBot="1">
      <c r="A23" s="96" t="s">
        <v>10</v>
      </c>
      <c r="B23" s="128" t="s">
        <v>66</v>
      </c>
      <c r="C23" s="95" t="s">
        <v>0</v>
      </c>
      <c r="D23" s="97" t="s">
        <v>8</v>
      </c>
      <c r="E23" s="94"/>
      <c r="F23" s="46"/>
      <c r="G23" s="46">
        <f>ROWS(E23:E25)-(COUNTIF(E23:E25,"=N"))</f>
        <v>3</v>
      </c>
      <c r="H23" s="47">
        <f>COUNTIF($E$23:$E$25,"=S")</f>
        <v>0</v>
      </c>
      <c r="I23" s="15">
        <f>COUNTIF($E$23:$E$25,"=P")</f>
        <v>0</v>
      </c>
      <c r="J23" s="15">
        <f>COUNTIF($E$23:$E$25,"=D")</f>
        <v>0</v>
      </c>
      <c r="K23" s="15">
        <f>COUNTIF($E$23:$E$25,"=I")</f>
        <v>0</v>
      </c>
      <c r="L23" s="15">
        <f>COUNTIF($E$23:$E$25,"=N")</f>
        <v>0</v>
      </c>
      <c r="M23" s="15"/>
      <c r="N23" s="16"/>
      <c r="O23" s="16"/>
      <c r="P23" s="16"/>
      <c r="Q23" s="16"/>
      <c r="R23" s="16"/>
      <c r="S23" s="16"/>
      <c r="T23" s="16"/>
      <c r="U23" s="16"/>
      <c r="V23" s="16"/>
      <c r="W23" s="16"/>
      <c r="X23" s="16"/>
      <c r="Y23" s="16"/>
      <c r="Z23" s="16"/>
      <c r="AA23" s="16"/>
      <c r="AB23" s="16"/>
      <c r="AC23" s="16"/>
      <c r="AD23" s="16"/>
      <c r="BS23" s="17" t="s">
        <v>8</v>
      </c>
    </row>
    <row r="24" spans="1:71" s="17" customFormat="1" ht="135.75" customHeight="1" thickBot="1">
      <c r="A24" s="96" t="s">
        <v>67</v>
      </c>
      <c r="B24" s="128" t="s">
        <v>11</v>
      </c>
      <c r="C24" s="95" t="s">
        <v>0</v>
      </c>
      <c r="D24" s="97" t="s">
        <v>8</v>
      </c>
      <c r="E24" s="37"/>
      <c r="F24" s="46"/>
      <c r="G24" s="46"/>
      <c r="H24" s="47"/>
      <c r="I24" s="15"/>
      <c r="J24" s="15"/>
      <c r="K24" s="15"/>
      <c r="L24" s="15"/>
      <c r="M24" s="15"/>
      <c r="N24" s="16"/>
      <c r="O24" s="16"/>
      <c r="P24" s="16"/>
      <c r="Q24" s="16"/>
      <c r="R24" s="16"/>
      <c r="S24" s="16"/>
      <c r="T24" s="16"/>
      <c r="U24" s="16"/>
      <c r="V24" s="16"/>
      <c r="W24" s="16"/>
      <c r="X24" s="16"/>
      <c r="Y24" s="16"/>
      <c r="Z24" s="16"/>
      <c r="AA24" s="16"/>
      <c r="AB24" s="16"/>
      <c r="AC24" s="16"/>
      <c r="AD24" s="16"/>
    </row>
    <row r="25" spans="1:71" s="17" customFormat="1" ht="61.5" customHeight="1" thickBot="1">
      <c r="A25" s="96" t="s">
        <v>12</v>
      </c>
      <c r="B25" s="128" t="s">
        <v>13</v>
      </c>
      <c r="C25" s="95" t="s">
        <v>3</v>
      </c>
      <c r="D25" s="97" t="s">
        <v>8</v>
      </c>
      <c r="E25" s="37"/>
      <c r="F25" s="46"/>
      <c r="G25" s="46"/>
      <c r="H25" s="47"/>
      <c r="I25" s="15"/>
      <c r="J25" s="15"/>
      <c r="K25" s="15"/>
      <c r="L25" s="15"/>
      <c r="M25" s="15"/>
      <c r="N25" s="16"/>
      <c r="O25" s="16"/>
      <c r="P25" s="16"/>
      <c r="Q25" s="16"/>
      <c r="R25" s="16"/>
      <c r="S25" s="16"/>
      <c r="T25" s="16"/>
      <c r="U25" s="16"/>
      <c r="V25" s="16"/>
      <c r="W25" s="16"/>
      <c r="X25" s="16"/>
      <c r="Y25" s="16"/>
      <c r="Z25" s="16"/>
      <c r="AA25" s="16"/>
      <c r="AB25" s="16"/>
      <c r="AC25" s="16"/>
      <c r="AD25" s="16"/>
    </row>
    <row r="26" spans="1:71" ht="18.75" customHeight="1" thickBot="1">
      <c r="A26" s="50"/>
      <c r="B26" s="127"/>
      <c r="C26" s="100"/>
      <c r="D26" s="101" t="str">
        <f>IF(G22=0,"NA",(H22*5+I22*4+J22*3+K22*2+L22*0)/G22)</f>
        <v>NA</v>
      </c>
      <c r="E26" s="33"/>
      <c r="F26" s="39"/>
      <c r="G26" s="39"/>
      <c r="H26" s="42"/>
    </row>
    <row r="27" spans="1:71" ht="1.5" hidden="1" customHeight="1" thickBot="1">
      <c r="A27" s="489"/>
      <c r="B27" s="490"/>
      <c r="C27" s="490"/>
      <c r="D27" s="490"/>
      <c r="E27" s="34"/>
      <c r="F27" s="39"/>
      <c r="G27" s="39"/>
      <c r="H27" s="42"/>
    </row>
    <row r="28" spans="1:71" ht="12.75">
      <c r="A28" s="515" t="s">
        <v>116</v>
      </c>
      <c r="B28" s="516"/>
      <c r="C28" s="493" t="s">
        <v>4</v>
      </c>
      <c r="D28" s="425" t="s">
        <v>100</v>
      </c>
      <c r="E28" s="474"/>
      <c r="F28" s="39"/>
      <c r="G28" s="39">
        <f>ROWS(D30:D32)-(COUNTIF(D30:D32,"=N"))</f>
        <v>0</v>
      </c>
      <c r="H28" s="42">
        <f>COUNTIF($D$30:$D$32,"=S")</f>
        <v>0</v>
      </c>
      <c r="I28" s="8">
        <f>COUNTIF($D$30:$D$32,"=P")</f>
        <v>0</v>
      </c>
      <c r="J28" s="8">
        <f>COUNTIF($D$30:$D$32,"=D")</f>
        <v>0</v>
      </c>
      <c r="K28" s="8">
        <f>COUNTIF($D$30:$D$32,"=I")</f>
        <v>0</v>
      </c>
      <c r="L28" s="8">
        <f>COUNTIF($D$30:$D$32,"=N")</f>
        <v>3</v>
      </c>
    </row>
    <row r="29" spans="1:71" ht="9" customHeight="1" thickBot="1">
      <c r="A29" s="517"/>
      <c r="B29" s="518"/>
      <c r="C29" s="494"/>
      <c r="D29" s="426"/>
      <c r="E29" s="475"/>
      <c r="F29" s="39"/>
      <c r="G29" s="39"/>
      <c r="H29" s="42"/>
    </row>
    <row r="30" spans="1:71" s="20" customFormat="1" ht="45" customHeight="1" thickBot="1">
      <c r="A30" s="96" t="s">
        <v>15</v>
      </c>
      <c r="B30" s="95" t="s">
        <v>65</v>
      </c>
      <c r="C30" s="95" t="s">
        <v>0</v>
      </c>
      <c r="D30" s="97" t="s">
        <v>8</v>
      </c>
      <c r="E30" s="102"/>
      <c r="F30" s="48"/>
      <c r="G30" s="48">
        <f>ROWS(E30:E32)-(COUNTIF(E30:E32,"=N"))</f>
        <v>3</v>
      </c>
      <c r="H30" s="49">
        <f>COUNTIF($E$30:$E$32,"=S")</f>
        <v>0</v>
      </c>
      <c r="I30" s="18">
        <f>COUNTIF($E$30:$E$32,"=P")</f>
        <v>0</v>
      </c>
      <c r="J30" s="18">
        <f>COUNTIF($E$30:$E$32,"=D")</f>
        <v>0</v>
      </c>
      <c r="K30" s="18">
        <f>COUNTIF($E$30:$E$32,"=I")</f>
        <v>0</v>
      </c>
      <c r="L30" s="18">
        <f>COUNTIF($E$30:$E$32,"=N")</f>
        <v>0</v>
      </c>
      <c r="M30" s="18"/>
      <c r="N30" s="19"/>
      <c r="O30" s="19"/>
      <c r="P30" s="19"/>
      <c r="Q30" s="19"/>
      <c r="R30" s="19"/>
      <c r="S30" s="19"/>
      <c r="T30" s="19"/>
      <c r="U30" s="19"/>
      <c r="V30" s="19"/>
      <c r="W30" s="19"/>
      <c r="X30" s="19"/>
      <c r="Y30" s="19"/>
      <c r="Z30" s="19"/>
      <c r="AA30" s="19"/>
      <c r="AB30" s="19"/>
      <c r="AC30" s="19"/>
      <c r="AD30" s="19"/>
    </row>
    <row r="31" spans="1:71" s="20" customFormat="1" ht="92.25" customHeight="1" thickBot="1">
      <c r="A31" s="96" t="s">
        <v>16</v>
      </c>
      <c r="B31" s="95" t="s">
        <v>17</v>
      </c>
      <c r="C31" s="95" t="s">
        <v>0</v>
      </c>
      <c r="D31" s="97" t="s">
        <v>8</v>
      </c>
      <c r="E31" s="102"/>
      <c r="F31" s="48"/>
      <c r="G31" s="48"/>
      <c r="H31" s="49"/>
      <c r="I31" s="18"/>
      <c r="J31" s="18"/>
      <c r="K31" s="18"/>
      <c r="L31" s="18"/>
      <c r="M31" s="18"/>
      <c r="N31" s="19"/>
      <c r="O31" s="19"/>
      <c r="P31" s="19"/>
      <c r="Q31" s="19"/>
      <c r="R31" s="19"/>
      <c r="S31" s="19"/>
      <c r="T31" s="19"/>
      <c r="U31" s="19"/>
      <c r="V31" s="19"/>
      <c r="W31" s="19"/>
      <c r="X31" s="19"/>
      <c r="Y31" s="19"/>
      <c r="Z31" s="19"/>
      <c r="AA31" s="19"/>
      <c r="AB31" s="19"/>
      <c r="AC31" s="19"/>
      <c r="AD31" s="19"/>
    </row>
    <row r="32" spans="1:71" s="20" customFormat="1" ht="47.25" customHeight="1" thickBot="1">
      <c r="A32" s="96" t="s">
        <v>18</v>
      </c>
      <c r="B32" s="95" t="s">
        <v>19</v>
      </c>
      <c r="C32" s="95" t="s">
        <v>0</v>
      </c>
      <c r="D32" s="97" t="s">
        <v>8</v>
      </c>
      <c r="E32" s="102"/>
      <c r="F32" s="48"/>
      <c r="G32" s="48"/>
      <c r="H32" s="49"/>
      <c r="I32" s="18"/>
      <c r="J32" s="18"/>
      <c r="K32" s="18"/>
      <c r="L32" s="18"/>
      <c r="M32" s="18"/>
      <c r="N32" s="19"/>
      <c r="O32" s="19"/>
      <c r="P32" s="19"/>
      <c r="Q32" s="19"/>
      <c r="R32" s="19"/>
      <c r="S32" s="19"/>
      <c r="T32" s="19"/>
      <c r="U32" s="19"/>
      <c r="V32" s="19"/>
      <c r="W32" s="19"/>
      <c r="X32" s="19"/>
      <c r="Y32" s="19"/>
      <c r="Z32" s="19"/>
      <c r="AA32" s="19"/>
      <c r="AB32" s="19"/>
      <c r="AC32" s="19"/>
      <c r="AD32" s="19"/>
    </row>
    <row r="33" spans="1:30" ht="18.75" customHeight="1" thickBot="1">
      <c r="A33" s="50"/>
      <c r="B33" s="127"/>
      <c r="C33" s="100"/>
      <c r="D33" s="126" t="str">
        <f>IF(G28=0,"NA",(H28*5+I28*4+J28*3+K28*2+L28*0)/G28)</f>
        <v>NA</v>
      </c>
      <c r="E33" s="33"/>
      <c r="F33" s="39"/>
      <c r="G33" s="39"/>
      <c r="H33" s="42"/>
    </row>
    <row r="34" spans="1:30" ht="15.75" hidden="1" thickBot="1">
      <c r="A34" s="489"/>
      <c r="B34" s="490"/>
      <c r="C34" s="490"/>
      <c r="D34" s="490"/>
      <c r="E34" s="34"/>
      <c r="F34" s="39"/>
      <c r="G34" s="39"/>
      <c r="H34" s="42"/>
    </row>
    <row r="35" spans="1:30" ht="12.75">
      <c r="A35" s="483" t="s">
        <v>117</v>
      </c>
      <c r="B35" s="451"/>
      <c r="C35" s="493" t="s">
        <v>4</v>
      </c>
      <c r="D35" s="425" t="s">
        <v>48</v>
      </c>
      <c r="E35" s="491"/>
      <c r="F35" s="39"/>
      <c r="G35" s="39">
        <f>ROWS(D37:D41)-(COUNTIF(D37:D41,"=N"))</f>
        <v>0</v>
      </c>
      <c r="H35" s="42">
        <f>COUNTIF(D37:D41,"=S")</f>
        <v>0</v>
      </c>
      <c r="I35" s="8">
        <f>COUNTIF(D37:D41,"=P")</f>
        <v>0</v>
      </c>
      <c r="J35" s="8">
        <f>COUNTIF(D37:D41,"=D")</f>
        <v>0</v>
      </c>
      <c r="K35" s="8">
        <f>COUNTIF(D37:D41,"=I")</f>
        <v>0</v>
      </c>
      <c r="L35" s="8">
        <f>COUNTIF(D37:D41,"=N")</f>
        <v>5</v>
      </c>
    </row>
    <row r="36" spans="1:30" ht="6.75" customHeight="1" thickBot="1">
      <c r="A36" s="484"/>
      <c r="B36" s="452"/>
      <c r="C36" s="494"/>
      <c r="D36" s="426"/>
      <c r="E36" s="492"/>
      <c r="F36" s="39"/>
      <c r="G36" s="39"/>
      <c r="H36" s="42"/>
    </row>
    <row r="37" spans="1:30" s="20" customFormat="1" ht="60" customHeight="1" thickBot="1">
      <c r="A37" s="105" t="s">
        <v>93</v>
      </c>
      <c r="B37" s="104" t="s">
        <v>106</v>
      </c>
      <c r="C37" s="95" t="s">
        <v>0</v>
      </c>
      <c r="D37" s="97" t="s">
        <v>8</v>
      </c>
      <c r="E37" s="102"/>
      <c r="F37" s="48"/>
      <c r="G37" s="39">
        <f>ROWS(E37:E41)-(COUNTIF(E37:E41,"=N"))</f>
        <v>5</v>
      </c>
      <c r="H37" s="49">
        <f>COUNTIF(E37:E41,"=S")</f>
        <v>0</v>
      </c>
      <c r="I37" s="18">
        <f>COUNTIF(E37:E41,"=P")</f>
        <v>0</v>
      </c>
      <c r="J37" s="18">
        <f>COUNTIF(E37:E41,"=D")</f>
        <v>0</v>
      </c>
      <c r="K37" s="18">
        <f>COUNTIF(E37:E41,"=I")</f>
        <v>0</v>
      </c>
      <c r="L37" s="18">
        <f>COUNTIF(E37:E41,"=N")</f>
        <v>0</v>
      </c>
      <c r="M37" s="18"/>
      <c r="N37" s="19"/>
      <c r="O37" s="19"/>
      <c r="P37" s="19"/>
      <c r="Q37" s="19"/>
      <c r="R37" s="19"/>
      <c r="S37" s="19"/>
      <c r="T37" s="19"/>
      <c r="U37" s="19"/>
      <c r="V37" s="19"/>
      <c r="W37" s="19"/>
      <c r="X37" s="19"/>
      <c r="Y37" s="19"/>
      <c r="Z37" s="19"/>
      <c r="AA37" s="19"/>
      <c r="AB37" s="19"/>
      <c r="AC37" s="19"/>
      <c r="AD37" s="19"/>
    </row>
    <row r="38" spans="1:30" s="20" customFormat="1" ht="45.75" customHeight="1" thickBot="1">
      <c r="A38" s="105" t="s">
        <v>94</v>
      </c>
      <c r="B38" s="104" t="s">
        <v>293</v>
      </c>
      <c r="C38" s="95" t="s">
        <v>0</v>
      </c>
      <c r="D38" s="97" t="s">
        <v>8</v>
      </c>
      <c r="E38" s="37"/>
      <c r="F38" s="48"/>
      <c r="G38" s="39"/>
      <c r="H38" s="49"/>
      <c r="I38" s="18"/>
      <c r="J38" s="18"/>
      <c r="K38" s="18"/>
      <c r="L38" s="18"/>
      <c r="M38" s="18"/>
      <c r="N38" s="19"/>
      <c r="O38" s="19"/>
      <c r="P38" s="19"/>
      <c r="Q38" s="19"/>
      <c r="R38" s="19"/>
      <c r="S38" s="19"/>
      <c r="T38" s="19"/>
      <c r="U38" s="19"/>
      <c r="V38" s="19"/>
      <c r="W38" s="19"/>
      <c r="X38" s="19"/>
      <c r="Y38" s="19"/>
      <c r="Z38" s="19"/>
      <c r="AA38" s="19"/>
      <c r="AB38" s="19"/>
      <c r="AC38" s="19"/>
      <c r="AD38" s="19"/>
    </row>
    <row r="39" spans="1:30" s="20" customFormat="1" ht="73.5" customHeight="1" thickBot="1">
      <c r="A39" s="105" t="s">
        <v>45</v>
      </c>
      <c r="B39" s="104" t="s">
        <v>51</v>
      </c>
      <c r="C39" s="95" t="s">
        <v>0</v>
      </c>
      <c r="D39" s="97" t="s">
        <v>8</v>
      </c>
      <c r="E39" s="37"/>
      <c r="F39" s="48"/>
      <c r="G39" s="48"/>
      <c r="H39" s="49"/>
      <c r="I39" s="18"/>
      <c r="J39" s="18"/>
      <c r="K39" s="18"/>
      <c r="L39" s="18"/>
      <c r="M39" s="18"/>
      <c r="N39" s="19"/>
      <c r="O39" s="19"/>
      <c r="P39" s="19"/>
      <c r="Q39" s="19"/>
      <c r="R39" s="19"/>
      <c r="S39" s="19"/>
      <c r="T39" s="19"/>
      <c r="U39" s="19"/>
      <c r="V39" s="19"/>
      <c r="W39" s="19"/>
      <c r="X39" s="19"/>
      <c r="Y39" s="19"/>
      <c r="Z39" s="19"/>
      <c r="AA39" s="19"/>
      <c r="AB39" s="19"/>
      <c r="AC39" s="19"/>
      <c r="AD39" s="19"/>
    </row>
    <row r="40" spans="1:30" s="20" customFormat="1" ht="45.75" thickBot="1">
      <c r="A40" s="105" t="s">
        <v>95</v>
      </c>
      <c r="B40" s="104" t="s">
        <v>103</v>
      </c>
      <c r="C40" s="95" t="s">
        <v>0</v>
      </c>
      <c r="D40" s="97" t="s">
        <v>8</v>
      </c>
      <c r="E40" s="37"/>
      <c r="F40" s="48"/>
      <c r="G40" s="48"/>
      <c r="H40" s="49"/>
      <c r="I40" s="18"/>
      <c r="J40" s="18"/>
      <c r="K40" s="18"/>
      <c r="L40" s="18"/>
      <c r="M40" s="18"/>
      <c r="N40" s="19"/>
      <c r="O40" s="19"/>
      <c r="P40" s="19"/>
      <c r="Q40" s="19"/>
      <c r="R40" s="19"/>
      <c r="S40" s="19"/>
      <c r="T40" s="19"/>
      <c r="U40" s="19"/>
      <c r="V40" s="19"/>
      <c r="W40" s="19"/>
      <c r="X40" s="19"/>
      <c r="Y40" s="19"/>
      <c r="Z40" s="19"/>
      <c r="AA40" s="19"/>
      <c r="AB40" s="19"/>
      <c r="AC40" s="19"/>
      <c r="AD40" s="19"/>
    </row>
    <row r="41" spans="1:30" s="20" customFormat="1" ht="45.75" customHeight="1" thickBot="1">
      <c r="A41" s="105" t="s">
        <v>44</v>
      </c>
      <c r="B41" s="104" t="s">
        <v>113</v>
      </c>
      <c r="C41" s="95" t="s">
        <v>0</v>
      </c>
      <c r="D41" s="97" t="s">
        <v>8</v>
      </c>
      <c r="E41" s="37"/>
      <c r="F41" s="48"/>
      <c r="G41" s="48"/>
      <c r="H41" s="49"/>
      <c r="I41" s="18"/>
      <c r="J41" s="18"/>
      <c r="K41" s="18"/>
      <c r="L41" s="18"/>
      <c r="M41" s="18"/>
      <c r="N41" s="19"/>
      <c r="O41" s="19"/>
      <c r="P41" s="19"/>
      <c r="Q41" s="19"/>
      <c r="R41" s="19"/>
      <c r="S41" s="19"/>
      <c r="T41" s="19"/>
      <c r="U41" s="19"/>
      <c r="V41" s="19"/>
      <c r="W41" s="19"/>
      <c r="X41" s="19"/>
      <c r="Y41" s="19"/>
      <c r="Z41" s="19"/>
      <c r="AA41" s="19"/>
      <c r="AB41" s="19"/>
      <c r="AC41" s="19"/>
      <c r="AD41" s="19"/>
    </row>
    <row r="42" spans="1:30" ht="19.5" customHeight="1" thickBot="1">
      <c r="A42" s="98"/>
      <c r="B42" s="99"/>
      <c r="C42" s="100"/>
      <c r="D42" s="101" t="str">
        <f>IF(G35=0,"NA",(H35*5+I35*4+J35*3+K35*2+L35*0)/G35)</f>
        <v>NA</v>
      </c>
      <c r="E42" s="103"/>
      <c r="F42" s="39"/>
      <c r="G42" s="39"/>
      <c r="H42" s="42"/>
    </row>
    <row r="43" spans="1:30" ht="17.25" customHeight="1">
      <c r="A43" s="483" t="s">
        <v>118</v>
      </c>
      <c r="B43" s="451"/>
      <c r="C43" s="493" t="s">
        <v>4</v>
      </c>
      <c r="D43" s="425" t="s">
        <v>100</v>
      </c>
      <c r="E43" s="474"/>
      <c r="F43" s="39"/>
      <c r="G43" s="39">
        <f>ROWS(D45:D50)-(COUNTIF(D45:D50,"=N"))</f>
        <v>0</v>
      </c>
      <c r="H43" s="42">
        <f>COUNTIF(D45:D50,"=S")</f>
        <v>0</v>
      </c>
      <c r="I43" s="8">
        <f>COUNTIF(D45:D50,"=P")</f>
        <v>0</v>
      </c>
      <c r="J43" s="8">
        <f>COUNTIF(D45:D50,"=D")</f>
        <v>0</v>
      </c>
      <c r="K43" s="8">
        <f>COUNTIF(D45:D50,"=I")</f>
        <v>0</v>
      </c>
      <c r="L43" s="8">
        <f>COUNTIF(D45:D50,"=N")</f>
        <v>6</v>
      </c>
    </row>
    <row r="44" spans="1:30" ht="0.75" customHeight="1" thickBot="1">
      <c r="A44" s="484"/>
      <c r="B44" s="452"/>
      <c r="C44" s="494"/>
      <c r="D44" s="426"/>
      <c r="E44" s="475"/>
      <c r="F44" s="39"/>
      <c r="G44" s="39"/>
      <c r="H44" s="42"/>
    </row>
    <row r="45" spans="1:30" s="20" customFormat="1" ht="60.75" customHeight="1" thickBot="1">
      <c r="A45" s="107" t="s">
        <v>21</v>
      </c>
      <c r="B45" s="95" t="s">
        <v>22</v>
      </c>
      <c r="C45" s="95" t="s">
        <v>0</v>
      </c>
      <c r="D45" s="97" t="s">
        <v>8</v>
      </c>
      <c r="E45" s="37"/>
      <c r="F45" s="48"/>
      <c r="G45" s="48">
        <f>ROWS(E45:E50)-(COUNTIF(E45:E50,"=N"))</f>
        <v>6</v>
      </c>
      <c r="H45" s="49">
        <f>COUNTIF(E45:E50,"=S")</f>
        <v>0</v>
      </c>
      <c r="I45" s="18">
        <f>COUNTIF(E45:E50,"=P")</f>
        <v>0</v>
      </c>
      <c r="J45" s="18">
        <f>COUNTIF(E45:E50,"=D")</f>
        <v>0</v>
      </c>
      <c r="K45" s="18">
        <f>COUNTIF(E45:E50,"=I")</f>
        <v>0</v>
      </c>
      <c r="L45" s="18">
        <f>COUNTIF(E45:E50,"=N")</f>
        <v>0</v>
      </c>
      <c r="M45" s="18"/>
      <c r="N45" s="19"/>
      <c r="O45" s="19"/>
      <c r="P45" s="19"/>
      <c r="Q45" s="19"/>
      <c r="R45" s="19"/>
      <c r="S45" s="19"/>
      <c r="T45" s="19"/>
      <c r="U45" s="19"/>
      <c r="V45" s="19"/>
      <c r="W45" s="19"/>
      <c r="X45" s="19"/>
      <c r="Y45" s="19"/>
      <c r="Z45" s="19"/>
      <c r="AA45" s="19"/>
      <c r="AB45" s="19"/>
      <c r="AC45" s="19"/>
      <c r="AD45" s="19"/>
    </row>
    <row r="46" spans="1:30" s="20" customFormat="1" ht="48.75" customHeight="1" thickBot="1">
      <c r="A46" s="107" t="s">
        <v>23</v>
      </c>
      <c r="B46" s="95" t="s">
        <v>24</v>
      </c>
      <c r="C46" s="95" t="s">
        <v>0</v>
      </c>
      <c r="D46" s="97" t="s">
        <v>8</v>
      </c>
      <c r="E46" s="37"/>
      <c r="F46" s="48"/>
      <c r="G46" s="48"/>
      <c r="H46" s="49"/>
      <c r="I46" s="18"/>
      <c r="J46" s="18"/>
      <c r="K46" s="18"/>
      <c r="L46" s="18"/>
      <c r="M46" s="18"/>
      <c r="N46" s="19"/>
      <c r="O46" s="19"/>
      <c r="P46" s="19"/>
      <c r="Q46" s="19"/>
      <c r="R46" s="19"/>
      <c r="S46" s="19"/>
      <c r="T46" s="19"/>
      <c r="U46" s="19"/>
      <c r="V46" s="19"/>
      <c r="W46" s="19"/>
      <c r="X46" s="19"/>
      <c r="Y46" s="19"/>
      <c r="Z46" s="19"/>
      <c r="AA46" s="19"/>
      <c r="AB46" s="19"/>
      <c r="AC46" s="19"/>
      <c r="AD46" s="19"/>
    </row>
    <row r="47" spans="1:30" s="20" customFormat="1" ht="30" customHeight="1" thickBot="1">
      <c r="A47" s="107" t="s">
        <v>25</v>
      </c>
      <c r="B47" s="95" t="s">
        <v>26</v>
      </c>
      <c r="C47" s="95" t="s">
        <v>3</v>
      </c>
      <c r="D47" s="97" t="s">
        <v>8</v>
      </c>
      <c r="E47" s="37"/>
      <c r="F47" s="48"/>
      <c r="G47" s="48"/>
      <c r="H47" s="49"/>
      <c r="I47" s="18"/>
      <c r="J47" s="18"/>
      <c r="K47" s="18"/>
      <c r="L47" s="18"/>
      <c r="M47" s="18"/>
      <c r="N47" s="19"/>
      <c r="O47" s="19"/>
      <c r="P47" s="19"/>
      <c r="Q47" s="19"/>
      <c r="R47" s="19"/>
      <c r="S47" s="19"/>
      <c r="T47" s="19"/>
      <c r="U47" s="19"/>
      <c r="V47" s="19"/>
      <c r="W47" s="19"/>
      <c r="X47" s="19"/>
      <c r="Y47" s="19"/>
      <c r="Z47" s="19"/>
      <c r="AA47" s="19"/>
      <c r="AB47" s="19"/>
      <c r="AC47" s="19"/>
      <c r="AD47" s="19"/>
    </row>
    <row r="48" spans="1:30" s="20" customFormat="1" ht="44.25" customHeight="1" thickBot="1">
      <c r="A48" s="107" t="s">
        <v>49</v>
      </c>
      <c r="B48" s="95" t="s">
        <v>96</v>
      </c>
      <c r="C48" s="95" t="s">
        <v>3</v>
      </c>
      <c r="D48" s="97" t="s">
        <v>8</v>
      </c>
      <c r="E48" s="37"/>
      <c r="F48" s="48"/>
      <c r="G48" s="48"/>
      <c r="H48" s="49"/>
      <c r="I48" s="18"/>
      <c r="J48" s="18"/>
      <c r="K48" s="18"/>
      <c r="L48" s="18"/>
      <c r="M48" s="18"/>
      <c r="N48" s="19"/>
      <c r="O48" s="19"/>
      <c r="P48" s="19"/>
      <c r="Q48" s="19"/>
      <c r="R48" s="19"/>
      <c r="S48" s="19"/>
      <c r="T48" s="19"/>
      <c r="U48" s="19"/>
      <c r="V48" s="19"/>
      <c r="W48" s="19"/>
      <c r="X48" s="19"/>
      <c r="Y48" s="19"/>
      <c r="Z48" s="19"/>
      <c r="AA48" s="19"/>
      <c r="AB48" s="19"/>
      <c r="AC48" s="19"/>
      <c r="AD48" s="19"/>
    </row>
    <row r="49" spans="1:30" s="20" customFormat="1" ht="45.75" customHeight="1" thickBot="1">
      <c r="A49" s="105" t="s">
        <v>47</v>
      </c>
      <c r="B49" s="104" t="s">
        <v>50</v>
      </c>
      <c r="C49" s="95" t="s">
        <v>0</v>
      </c>
      <c r="D49" s="97" t="s">
        <v>8</v>
      </c>
      <c r="E49" s="102"/>
      <c r="F49" s="48"/>
      <c r="G49" s="48"/>
      <c r="H49" s="49"/>
      <c r="I49" s="18"/>
      <c r="J49" s="18"/>
      <c r="K49" s="18"/>
      <c r="L49" s="18"/>
      <c r="M49" s="18"/>
      <c r="N49" s="19"/>
      <c r="O49" s="19"/>
      <c r="P49" s="19"/>
      <c r="Q49" s="19"/>
      <c r="R49" s="19"/>
      <c r="S49" s="19"/>
      <c r="T49" s="19"/>
      <c r="U49" s="19"/>
      <c r="V49" s="19"/>
      <c r="W49" s="19"/>
      <c r="X49" s="19"/>
      <c r="Y49" s="19"/>
      <c r="Z49" s="19"/>
      <c r="AA49" s="19"/>
      <c r="AB49" s="19"/>
      <c r="AC49" s="19"/>
      <c r="AD49" s="19"/>
    </row>
    <row r="50" spans="1:30" s="20" customFormat="1" ht="74.25" customHeight="1" thickBot="1">
      <c r="A50" s="107" t="s">
        <v>27</v>
      </c>
      <c r="B50" s="95" t="s">
        <v>28</v>
      </c>
      <c r="C50" s="95" t="s">
        <v>3</v>
      </c>
      <c r="D50" s="97" t="s">
        <v>8</v>
      </c>
      <c r="E50" s="37"/>
      <c r="F50" s="48"/>
      <c r="G50" s="48"/>
      <c r="H50" s="49"/>
      <c r="I50" s="18"/>
      <c r="J50" s="18"/>
      <c r="K50" s="18"/>
      <c r="L50" s="18"/>
      <c r="M50" s="18"/>
      <c r="N50" s="19"/>
      <c r="O50" s="19"/>
      <c r="P50" s="19"/>
      <c r="Q50" s="19"/>
      <c r="R50" s="19"/>
      <c r="S50" s="19"/>
      <c r="T50" s="19"/>
      <c r="U50" s="19"/>
      <c r="V50" s="19"/>
      <c r="W50" s="19"/>
      <c r="X50" s="19"/>
      <c r="Y50" s="19"/>
      <c r="Z50" s="19"/>
      <c r="AA50" s="19"/>
      <c r="AB50" s="19"/>
      <c r="AC50" s="19"/>
      <c r="AD50" s="19"/>
    </row>
    <row r="51" spans="1:30" ht="18.75" customHeight="1" thickBot="1">
      <c r="A51" s="50"/>
      <c r="B51" s="35"/>
      <c r="C51" s="129"/>
      <c r="D51" s="126" t="str">
        <f>IF(G43=0,"NA",(H43*5+I43*4+J43*3+K43*2+L43*0)/G43)</f>
        <v>NA</v>
      </c>
      <c r="E51" s="106"/>
      <c r="F51" s="39"/>
      <c r="G51" s="39"/>
      <c r="H51" s="42"/>
    </row>
    <row r="52" spans="1:30" ht="32.25" customHeight="1" thickBot="1">
      <c r="A52" s="481" t="s">
        <v>131</v>
      </c>
      <c r="B52" s="482"/>
      <c r="C52" s="312" t="s">
        <v>4</v>
      </c>
      <c r="D52" s="313" t="s">
        <v>100</v>
      </c>
      <c r="E52" s="68"/>
      <c r="F52" s="39"/>
      <c r="G52" s="39">
        <f>ROWS(D53:D367)-(COUNTIF(D53:D367,"=N"))</f>
        <v>0</v>
      </c>
      <c r="H52" s="42">
        <f>COUNTIF(D53:D367,"=S")</f>
        <v>0</v>
      </c>
      <c r="I52" s="8">
        <f>COUNTIF(D53:D367,"=P")</f>
        <v>0</v>
      </c>
      <c r="J52" s="8">
        <f>COUNTIF(D53:D367,"=D")</f>
        <v>0</v>
      </c>
      <c r="K52" s="8">
        <f>COUNTIF(D53:D367,"=I")</f>
        <v>0</v>
      </c>
      <c r="L52" s="8">
        <f>COUNTIF(D53:D367,"=N")</f>
        <v>315</v>
      </c>
    </row>
    <row r="53" spans="1:30" s="196" customFormat="1" ht="45.75" thickBot="1">
      <c r="A53" s="265" t="s">
        <v>290</v>
      </c>
      <c r="B53" s="300" t="s">
        <v>165</v>
      </c>
      <c r="C53" s="255" t="s">
        <v>0</v>
      </c>
      <c r="D53" s="256" t="s">
        <v>8</v>
      </c>
      <c r="E53" s="37"/>
      <c r="F53" s="192"/>
      <c r="G53" s="192"/>
      <c r="H53" s="193"/>
      <c r="I53" s="194"/>
      <c r="J53" s="194"/>
      <c r="K53" s="194"/>
      <c r="L53" s="194"/>
      <c r="M53" s="194"/>
      <c r="N53" s="195"/>
      <c r="O53" s="195"/>
      <c r="P53" s="195"/>
      <c r="Q53" s="195"/>
      <c r="R53" s="195"/>
      <c r="S53" s="195"/>
      <c r="T53" s="195"/>
      <c r="U53" s="195"/>
      <c r="V53" s="195"/>
      <c r="W53" s="195"/>
      <c r="X53" s="195"/>
      <c r="Y53" s="195"/>
      <c r="Z53" s="195"/>
      <c r="AA53" s="195"/>
      <c r="AB53" s="195"/>
      <c r="AC53" s="195"/>
      <c r="AD53" s="195"/>
    </row>
    <row r="54" spans="1:30" s="196" customFormat="1" ht="45.75" thickBot="1">
      <c r="A54" s="265" t="s">
        <v>166</v>
      </c>
      <c r="B54" s="300" t="s">
        <v>167</v>
      </c>
      <c r="C54" s="255" t="s">
        <v>0</v>
      </c>
      <c r="D54" s="256" t="s">
        <v>8</v>
      </c>
      <c r="E54" s="37"/>
      <c r="F54" s="192"/>
      <c r="G54" s="192"/>
      <c r="H54" s="193"/>
      <c r="I54" s="194"/>
      <c r="J54" s="194"/>
      <c r="K54" s="194"/>
      <c r="L54" s="194"/>
      <c r="M54" s="194"/>
      <c r="N54" s="195"/>
      <c r="O54" s="195"/>
      <c r="P54" s="195"/>
      <c r="Q54" s="195"/>
      <c r="R54" s="195"/>
      <c r="S54" s="195"/>
      <c r="T54" s="195"/>
      <c r="U54" s="195"/>
      <c r="V54" s="195"/>
      <c r="W54" s="195"/>
      <c r="X54" s="195"/>
      <c r="Y54" s="195"/>
      <c r="Z54" s="195"/>
      <c r="AA54" s="195"/>
      <c r="AB54" s="195"/>
      <c r="AC54" s="195"/>
      <c r="AD54" s="195"/>
    </row>
    <row r="55" spans="1:30" s="203" customFormat="1" ht="45.75" thickBot="1">
      <c r="A55" s="433" t="s">
        <v>137</v>
      </c>
      <c r="B55" s="300" t="s">
        <v>168</v>
      </c>
      <c r="C55" s="255" t="s">
        <v>0</v>
      </c>
      <c r="D55" s="256" t="s">
        <v>8</v>
      </c>
      <c r="E55" s="37"/>
      <c r="F55" s="199"/>
      <c r="G55" s="199"/>
      <c r="H55" s="200"/>
      <c r="I55" s="201"/>
      <c r="J55" s="201"/>
      <c r="K55" s="201"/>
      <c r="L55" s="201"/>
      <c r="M55" s="201"/>
      <c r="N55" s="202"/>
      <c r="O55" s="202"/>
      <c r="P55" s="202"/>
      <c r="Q55" s="202"/>
      <c r="R55" s="202"/>
      <c r="S55" s="202"/>
      <c r="T55" s="202"/>
      <c r="U55" s="202"/>
      <c r="V55" s="202"/>
      <c r="W55" s="202"/>
      <c r="X55" s="202"/>
      <c r="Y55" s="202"/>
      <c r="Z55" s="202"/>
      <c r="AA55" s="202"/>
      <c r="AB55" s="202"/>
      <c r="AC55" s="202"/>
      <c r="AD55" s="202"/>
    </row>
    <row r="56" spans="1:30" s="203" customFormat="1" ht="45.75" thickBot="1">
      <c r="A56" s="433"/>
      <c r="B56" s="300" t="s">
        <v>169</v>
      </c>
      <c r="C56" s="255" t="s">
        <v>0</v>
      </c>
      <c r="D56" s="256" t="s">
        <v>8</v>
      </c>
      <c r="E56" s="37"/>
      <c r="F56" s="199"/>
      <c r="G56" s="199"/>
      <c r="H56" s="200"/>
      <c r="I56" s="201"/>
      <c r="J56" s="201"/>
      <c r="K56" s="201"/>
      <c r="L56" s="201"/>
      <c r="M56" s="201"/>
      <c r="N56" s="202"/>
      <c r="O56" s="202"/>
      <c r="P56" s="202"/>
      <c r="Q56" s="202"/>
      <c r="R56" s="202"/>
      <c r="S56" s="202"/>
      <c r="T56" s="202"/>
      <c r="U56" s="202"/>
      <c r="V56" s="202"/>
      <c r="W56" s="202"/>
      <c r="X56" s="202"/>
      <c r="Y56" s="202"/>
      <c r="Z56" s="202"/>
      <c r="AA56" s="202"/>
      <c r="AB56" s="202"/>
      <c r="AC56" s="202"/>
      <c r="AD56" s="202"/>
    </row>
    <row r="57" spans="1:30" s="203" customFormat="1" ht="60.75" thickBot="1">
      <c r="A57" s="433"/>
      <c r="B57" s="300" t="s">
        <v>170</v>
      </c>
      <c r="C57" s="255" t="s">
        <v>0</v>
      </c>
      <c r="D57" s="256" t="s">
        <v>8</v>
      </c>
      <c r="E57" s="37"/>
      <c r="F57" s="199"/>
      <c r="G57" s="199"/>
      <c r="H57" s="200"/>
      <c r="I57" s="201"/>
      <c r="J57" s="201"/>
      <c r="K57" s="201"/>
      <c r="L57" s="201"/>
      <c r="M57" s="201"/>
      <c r="N57" s="202"/>
      <c r="O57" s="202"/>
      <c r="P57" s="202"/>
      <c r="Q57" s="202"/>
      <c r="R57" s="202"/>
      <c r="S57" s="202"/>
      <c r="T57" s="202"/>
      <c r="U57" s="202"/>
      <c r="V57" s="202"/>
      <c r="W57" s="202"/>
      <c r="X57" s="202"/>
      <c r="Y57" s="202"/>
      <c r="Z57" s="202"/>
      <c r="AA57" s="202"/>
      <c r="AB57" s="202"/>
      <c r="AC57" s="202"/>
      <c r="AD57" s="202"/>
    </row>
    <row r="58" spans="1:30" s="203" customFormat="1" ht="30.75" thickBot="1">
      <c r="A58" s="433"/>
      <c r="B58" s="300" t="s">
        <v>171</v>
      </c>
      <c r="C58" s="255" t="s">
        <v>352</v>
      </c>
      <c r="D58" s="256" t="s">
        <v>8</v>
      </c>
      <c r="E58" s="37"/>
      <c r="F58" s="199"/>
      <c r="G58" s="199"/>
      <c r="H58" s="200"/>
      <c r="I58" s="201"/>
      <c r="J58" s="201"/>
      <c r="K58" s="201"/>
      <c r="L58" s="201"/>
      <c r="M58" s="201"/>
      <c r="N58" s="202"/>
      <c r="O58" s="202"/>
      <c r="P58" s="202"/>
      <c r="Q58" s="202"/>
      <c r="R58" s="202"/>
      <c r="S58" s="202"/>
      <c r="T58" s="202"/>
      <c r="U58" s="202"/>
      <c r="V58" s="202"/>
      <c r="W58" s="202"/>
      <c r="X58" s="202"/>
      <c r="Y58" s="202"/>
      <c r="Z58" s="202"/>
      <c r="AA58" s="202"/>
      <c r="AB58" s="202"/>
      <c r="AC58" s="202"/>
      <c r="AD58" s="202"/>
    </row>
    <row r="59" spans="1:30" s="208" customFormat="1" ht="45.75" thickBot="1">
      <c r="A59" s="433" t="s">
        <v>141</v>
      </c>
      <c r="B59" s="300" t="s">
        <v>172</v>
      </c>
      <c r="C59" s="255" t="s">
        <v>0</v>
      </c>
      <c r="D59" s="256" t="s">
        <v>8</v>
      </c>
      <c r="E59" s="37"/>
      <c r="F59" s="204"/>
      <c r="G59" s="204"/>
      <c r="H59" s="205"/>
      <c r="I59" s="206"/>
      <c r="J59" s="206"/>
      <c r="K59" s="206"/>
      <c r="L59" s="206"/>
      <c r="M59" s="206"/>
      <c r="N59" s="207"/>
      <c r="O59" s="207"/>
      <c r="P59" s="207"/>
      <c r="Q59" s="207"/>
      <c r="R59" s="207"/>
      <c r="S59" s="207"/>
      <c r="T59" s="207"/>
      <c r="U59" s="207"/>
      <c r="V59" s="207"/>
      <c r="W59" s="207"/>
      <c r="X59" s="207"/>
      <c r="Y59" s="207"/>
      <c r="Z59" s="207"/>
      <c r="AA59" s="207"/>
      <c r="AB59" s="207"/>
      <c r="AC59" s="207"/>
      <c r="AD59" s="207"/>
    </row>
    <row r="60" spans="1:30" s="208" customFormat="1" ht="45.75" thickBot="1">
      <c r="A60" s="433"/>
      <c r="B60" s="300" t="s">
        <v>173</v>
      </c>
      <c r="C60" s="255" t="s">
        <v>3</v>
      </c>
      <c r="D60" s="256" t="s">
        <v>8</v>
      </c>
      <c r="E60" s="37"/>
      <c r="F60" s="204"/>
      <c r="G60" s="204"/>
      <c r="H60" s="205"/>
      <c r="I60" s="206"/>
      <c r="J60" s="206"/>
      <c r="K60" s="206"/>
      <c r="L60" s="206"/>
      <c r="M60" s="206"/>
      <c r="N60" s="207"/>
      <c r="O60" s="207"/>
      <c r="P60" s="207"/>
      <c r="Q60" s="207"/>
      <c r="R60" s="207"/>
      <c r="S60" s="207"/>
      <c r="T60" s="207"/>
      <c r="U60" s="207"/>
      <c r="V60" s="207"/>
      <c r="W60" s="207"/>
      <c r="X60" s="207"/>
      <c r="Y60" s="207"/>
      <c r="Z60" s="207"/>
      <c r="AA60" s="207"/>
      <c r="AB60" s="207"/>
      <c r="AC60" s="207"/>
      <c r="AD60" s="207"/>
    </row>
    <row r="61" spans="1:30" s="208" customFormat="1" ht="30.75" thickBot="1">
      <c r="A61" s="265" t="s">
        <v>144</v>
      </c>
      <c r="B61" s="300" t="s">
        <v>174</v>
      </c>
      <c r="C61" s="255" t="s">
        <v>0</v>
      </c>
      <c r="D61" s="256" t="s">
        <v>8</v>
      </c>
      <c r="E61" s="37"/>
      <c r="F61" s="204"/>
      <c r="G61" s="204"/>
      <c r="H61" s="205"/>
      <c r="I61" s="206"/>
      <c r="J61" s="206"/>
      <c r="K61" s="206"/>
      <c r="L61" s="206"/>
      <c r="M61" s="206"/>
      <c r="N61" s="207"/>
      <c r="O61" s="207"/>
      <c r="P61" s="207"/>
      <c r="Q61" s="207"/>
      <c r="R61" s="207"/>
      <c r="S61" s="207"/>
      <c r="T61" s="207"/>
      <c r="U61" s="207"/>
      <c r="V61" s="207"/>
      <c r="W61" s="207"/>
      <c r="X61" s="207"/>
      <c r="Y61" s="207"/>
      <c r="Z61" s="207"/>
      <c r="AA61" s="207"/>
      <c r="AB61" s="207"/>
      <c r="AC61" s="207"/>
      <c r="AD61" s="207"/>
    </row>
    <row r="62" spans="1:30" s="208" customFormat="1" ht="30.75" thickBot="1">
      <c r="A62" s="265" t="s">
        <v>291</v>
      </c>
      <c r="B62" s="300" t="s">
        <v>175</v>
      </c>
      <c r="C62" s="255" t="s">
        <v>0</v>
      </c>
      <c r="D62" s="256" t="s">
        <v>8</v>
      </c>
      <c r="E62" s="37"/>
      <c r="F62" s="204"/>
      <c r="G62" s="204"/>
      <c r="H62" s="205"/>
      <c r="I62" s="206"/>
      <c r="J62" s="206"/>
      <c r="K62" s="206"/>
      <c r="L62" s="206"/>
      <c r="M62" s="206"/>
      <c r="N62" s="207"/>
      <c r="O62" s="207"/>
      <c r="P62" s="207"/>
      <c r="Q62" s="207"/>
      <c r="R62" s="207"/>
      <c r="S62" s="207"/>
      <c r="T62" s="207"/>
      <c r="U62" s="207"/>
      <c r="V62" s="207"/>
      <c r="W62" s="207"/>
      <c r="X62" s="207"/>
      <c r="Y62" s="207"/>
      <c r="Z62" s="207"/>
      <c r="AA62" s="207"/>
      <c r="AB62" s="207"/>
      <c r="AC62" s="207"/>
      <c r="AD62" s="207"/>
    </row>
    <row r="63" spans="1:30" s="208" customFormat="1" ht="30.75" thickBot="1">
      <c r="A63" s="433" t="s">
        <v>148</v>
      </c>
      <c r="B63" s="300" t="s">
        <v>176</v>
      </c>
      <c r="C63" s="255" t="s">
        <v>0</v>
      </c>
      <c r="D63" s="256" t="s">
        <v>8</v>
      </c>
      <c r="E63" s="37"/>
      <c r="F63" s="204"/>
      <c r="G63" s="204"/>
      <c r="H63" s="205"/>
      <c r="I63" s="206"/>
      <c r="J63" s="206"/>
      <c r="K63" s="206"/>
      <c r="L63" s="206"/>
      <c r="M63" s="206"/>
      <c r="N63" s="207"/>
      <c r="O63" s="207"/>
      <c r="P63" s="207"/>
      <c r="Q63" s="207"/>
      <c r="R63" s="207"/>
      <c r="S63" s="207"/>
      <c r="T63" s="207"/>
      <c r="U63" s="207"/>
      <c r="V63" s="207"/>
      <c r="W63" s="207"/>
      <c r="X63" s="207"/>
      <c r="Y63" s="207"/>
      <c r="Z63" s="207"/>
      <c r="AA63" s="207"/>
      <c r="AB63" s="207"/>
      <c r="AC63" s="207"/>
      <c r="AD63" s="207"/>
    </row>
    <row r="64" spans="1:30" s="208" customFormat="1" ht="15.75" thickBot="1">
      <c r="A64" s="433"/>
      <c r="B64" s="300" t="s">
        <v>177</v>
      </c>
      <c r="C64" s="255" t="s">
        <v>0</v>
      </c>
      <c r="D64" s="256" t="s">
        <v>8</v>
      </c>
      <c r="E64" s="37"/>
      <c r="F64" s="204"/>
      <c r="G64" s="204"/>
      <c r="H64" s="205"/>
      <c r="I64" s="206"/>
      <c r="J64" s="206"/>
      <c r="K64" s="206"/>
      <c r="L64" s="206"/>
      <c r="M64" s="206"/>
      <c r="N64" s="207"/>
      <c r="O64" s="207"/>
      <c r="P64" s="207"/>
      <c r="Q64" s="207"/>
      <c r="R64" s="207"/>
      <c r="S64" s="207"/>
      <c r="T64" s="207"/>
      <c r="U64" s="207"/>
      <c r="V64" s="207"/>
      <c r="W64" s="207"/>
      <c r="X64" s="207"/>
      <c r="Y64" s="207"/>
      <c r="Z64" s="207"/>
      <c r="AA64" s="207"/>
      <c r="AB64" s="207"/>
      <c r="AC64" s="207"/>
      <c r="AD64" s="207"/>
    </row>
    <row r="65" spans="1:30" s="208" customFormat="1" ht="15.75" thickBot="1">
      <c r="A65" s="265" t="s">
        <v>150</v>
      </c>
      <c r="B65" s="414" t="s">
        <v>178</v>
      </c>
      <c r="C65" s="255" t="s">
        <v>0</v>
      </c>
      <c r="D65" s="256" t="s">
        <v>8</v>
      </c>
      <c r="E65" s="37"/>
      <c r="F65" s="204"/>
      <c r="G65" s="204"/>
      <c r="H65" s="205"/>
      <c r="I65" s="206"/>
      <c r="J65" s="206"/>
      <c r="K65" s="206"/>
      <c r="L65" s="206"/>
      <c r="M65" s="206"/>
      <c r="N65" s="207"/>
      <c r="O65" s="207"/>
      <c r="P65" s="207"/>
      <c r="Q65" s="207"/>
      <c r="R65" s="207"/>
      <c r="S65" s="207"/>
      <c r="T65" s="207"/>
      <c r="U65" s="207"/>
      <c r="V65" s="207"/>
      <c r="W65" s="207"/>
      <c r="X65" s="207"/>
      <c r="Y65" s="207"/>
      <c r="Z65" s="207"/>
      <c r="AA65" s="207"/>
      <c r="AB65" s="207"/>
      <c r="AC65" s="207"/>
      <c r="AD65" s="207"/>
    </row>
    <row r="66" spans="1:30" s="208" customFormat="1" ht="15.75" hidden="1" customHeight="1" thickBot="1">
      <c r="A66" s="265"/>
      <c r="B66" s="300"/>
      <c r="C66" s="255" t="s">
        <v>8</v>
      </c>
      <c r="D66" s="256" t="s">
        <v>8</v>
      </c>
      <c r="E66" s="37"/>
      <c r="F66" s="204"/>
      <c r="G66" s="204"/>
      <c r="H66" s="205"/>
      <c r="I66" s="206"/>
      <c r="J66" s="206"/>
      <c r="K66" s="206"/>
      <c r="L66" s="206"/>
      <c r="M66" s="206"/>
      <c r="N66" s="207"/>
      <c r="O66" s="207"/>
      <c r="P66" s="207"/>
      <c r="Q66" s="207"/>
      <c r="R66" s="207"/>
      <c r="S66" s="207"/>
      <c r="T66" s="207"/>
      <c r="U66" s="207"/>
      <c r="V66" s="207"/>
      <c r="W66" s="207"/>
      <c r="X66" s="207"/>
      <c r="Y66" s="207"/>
      <c r="Z66" s="207"/>
      <c r="AA66" s="207"/>
      <c r="AB66" s="207"/>
      <c r="AC66" s="207"/>
      <c r="AD66" s="207"/>
    </row>
    <row r="67" spans="1:30" s="208" customFormat="1" ht="15.75" hidden="1" customHeight="1" thickBot="1">
      <c r="A67" s="265"/>
      <c r="B67" s="300"/>
      <c r="C67" s="255" t="s">
        <v>8</v>
      </c>
      <c r="D67" s="256" t="s">
        <v>8</v>
      </c>
      <c r="E67" s="37"/>
      <c r="F67" s="204"/>
      <c r="G67" s="204"/>
      <c r="H67" s="205"/>
      <c r="I67" s="206"/>
      <c r="J67" s="206"/>
      <c r="K67" s="206"/>
      <c r="L67" s="206"/>
      <c r="M67" s="206"/>
      <c r="N67" s="207"/>
      <c r="O67" s="207"/>
      <c r="P67" s="207"/>
      <c r="Q67" s="207"/>
      <c r="R67" s="207"/>
      <c r="S67" s="207"/>
      <c r="T67" s="207"/>
      <c r="U67" s="207"/>
      <c r="V67" s="207"/>
      <c r="W67" s="207"/>
      <c r="X67" s="207"/>
      <c r="Y67" s="207"/>
      <c r="Z67" s="207"/>
      <c r="AA67" s="207"/>
      <c r="AB67" s="207"/>
      <c r="AC67" s="207"/>
      <c r="AD67" s="207"/>
    </row>
    <row r="68" spans="1:30" s="196" customFormat="1" ht="15.75" hidden="1" customHeight="1" thickBot="1">
      <c r="A68" s="265"/>
      <c r="B68" s="300"/>
      <c r="C68" s="255" t="s">
        <v>8</v>
      </c>
      <c r="D68" s="256" t="s">
        <v>8</v>
      </c>
      <c r="E68" s="37"/>
      <c r="F68" s="192"/>
      <c r="G68" s="192"/>
      <c r="H68" s="193"/>
      <c r="I68" s="194"/>
      <c r="J68" s="194"/>
      <c r="K68" s="194"/>
      <c r="L68" s="194"/>
      <c r="M68" s="194"/>
      <c r="N68" s="195"/>
      <c r="O68" s="195"/>
      <c r="P68" s="195"/>
      <c r="Q68" s="195"/>
      <c r="R68" s="195"/>
      <c r="S68" s="195"/>
      <c r="T68" s="195"/>
      <c r="U68" s="195"/>
      <c r="V68" s="195"/>
      <c r="W68" s="195"/>
      <c r="X68" s="195"/>
      <c r="Y68" s="195"/>
      <c r="Z68" s="195"/>
      <c r="AA68" s="195"/>
      <c r="AB68" s="195"/>
      <c r="AC68" s="195"/>
      <c r="AD68" s="195"/>
    </row>
    <row r="69" spans="1:30" s="196" customFormat="1" ht="15.75" hidden="1" customHeight="1" thickBot="1">
      <c r="A69" s="265"/>
      <c r="B69" s="300"/>
      <c r="C69" s="255" t="s">
        <v>8</v>
      </c>
      <c r="D69" s="256" t="s">
        <v>8</v>
      </c>
      <c r="E69" s="37"/>
      <c r="F69" s="192"/>
      <c r="G69" s="192"/>
      <c r="H69" s="193"/>
      <c r="I69" s="194"/>
      <c r="J69" s="194"/>
      <c r="K69" s="194"/>
      <c r="L69" s="194"/>
      <c r="M69" s="194"/>
      <c r="N69" s="195"/>
      <c r="O69" s="195"/>
      <c r="P69" s="195"/>
      <c r="Q69" s="195"/>
      <c r="R69" s="195"/>
      <c r="S69" s="195"/>
      <c r="T69" s="195"/>
      <c r="U69" s="195"/>
      <c r="V69" s="195"/>
      <c r="W69" s="195"/>
      <c r="X69" s="195"/>
      <c r="Y69" s="195"/>
      <c r="Z69" s="195"/>
      <c r="AA69" s="195"/>
      <c r="AB69" s="195"/>
      <c r="AC69" s="195"/>
      <c r="AD69" s="195"/>
    </row>
    <row r="70" spans="1:30" s="196" customFormat="1" ht="15.75" hidden="1" customHeight="1" thickBot="1">
      <c r="A70" s="265"/>
      <c r="B70" s="300"/>
      <c r="C70" s="255" t="s">
        <v>8</v>
      </c>
      <c r="D70" s="256" t="s">
        <v>8</v>
      </c>
      <c r="E70" s="37"/>
      <c r="F70" s="192"/>
      <c r="G70" s="192"/>
      <c r="H70" s="193"/>
      <c r="I70" s="194"/>
      <c r="J70" s="194"/>
      <c r="K70" s="194"/>
      <c r="L70" s="194"/>
      <c r="M70" s="194"/>
      <c r="N70" s="195"/>
      <c r="O70" s="195"/>
      <c r="P70" s="195"/>
      <c r="Q70" s="195"/>
      <c r="R70" s="195"/>
      <c r="S70" s="195"/>
      <c r="T70" s="195"/>
      <c r="U70" s="195"/>
      <c r="V70" s="195"/>
      <c r="W70" s="195"/>
      <c r="X70" s="195"/>
      <c r="Y70" s="195"/>
      <c r="Z70" s="195"/>
      <c r="AA70" s="195"/>
      <c r="AB70" s="195"/>
      <c r="AC70" s="195"/>
      <c r="AD70" s="195"/>
    </row>
    <row r="71" spans="1:30" s="196" customFormat="1" ht="15.75" hidden="1" customHeight="1" thickBot="1">
      <c r="A71" s="265"/>
      <c r="B71" s="300"/>
      <c r="C71" s="255" t="s">
        <v>8</v>
      </c>
      <c r="D71" s="256" t="s">
        <v>8</v>
      </c>
      <c r="E71" s="37"/>
      <c r="F71" s="192"/>
      <c r="G71" s="192"/>
      <c r="H71" s="193"/>
      <c r="I71" s="194"/>
      <c r="J71" s="194"/>
      <c r="K71" s="194"/>
      <c r="L71" s="194"/>
      <c r="M71" s="194"/>
      <c r="N71" s="195"/>
      <c r="O71" s="195"/>
      <c r="P71" s="195"/>
      <c r="Q71" s="195"/>
      <c r="R71" s="195"/>
      <c r="S71" s="195"/>
      <c r="T71" s="195"/>
      <c r="U71" s="195"/>
      <c r="V71" s="195"/>
      <c r="W71" s="195"/>
      <c r="X71" s="195"/>
      <c r="Y71" s="195"/>
      <c r="Z71" s="195"/>
      <c r="AA71" s="195"/>
      <c r="AB71" s="195"/>
      <c r="AC71" s="195"/>
      <c r="AD71" s="195"/>
    </row>
    <row r="72" spans="1:30" s="196" customFormat="1" ht="15.75" hidden="1" customHeight="1" thickBot="1">
      <c r="A72" s="265"/>
      <c r="B72" s="300"/>
      <c r="C72" s="255" t="s">
        <v>8</v>
      </c>
      <c r="D72" s="256" t="s">
        <v>8</v>
      </c>
      <c r="E72" s="37"/>
      <c r="F72" s="192"/>
      <c r="G72" s="192"/>
      <c r="H72" s="193"/>
      <c r="I72" s="194"/>
      <c r="J72" s="194"/>
      <c r="K72" s="194"/>
      <c r="L72" s="194"/>
      <c r="M72" s="194"/>
      <c r="N72" s="195"/>
      <c r="O72" s="195"/>
      <c r="P72" s="195"/>
      <c r="Q72" s="195"/>
      <c r="R72" s="195"/>
      <c r="S72" s="195"/>
      <c r="T72" s="195"/>
      <c r="U72" s="195"/>
      <c r="V72" s="195"/>
      <c r="W72" s="195"/>
      <c r="X72" s="195"/>
      <c r="Y72" s="195"/>
      <c r="Z72" s="195"/>
      <c r="AA72" s="195"/>
      <c r="AB72" s="195"/>
      <c r="AC72" s="195"/>
      <c r="AD72" s="195"/>
    </row>
    <row r="73" spans="1:30" s="196" customFormat="1" ht="15.75" hidden="1" customHeight="1" thickBot="1">
      <c r="A73" s="265"/>
      <c r="B73" s="300"/>
      <c r="C73" s="255" t="s">
        <v>8</v>
      </c>
      <c r="D73" s="256" t="s">
        <v>8</v>
      </c>
      <c r="E73" s="37"/>
      <c r="F73" s="192"/>
      <c r="G73" s="192"/>
      <c r="H73" s="193"/>
      <c r="I73" s="194"/>
      <c r="J73" s="194"/>
      <c r="K73" s="194"/>
      <c r="L73" s="194"/>
      <c r="M73" s="194"/>
      <c r="N73" s="195"/>
      <c r="O73" s="195"/>
      <c r="P73" s="195"/>
      <c r="Q73" s="195"/>
      <c r="R73" s="195"/>
      <c r="S73" s="195"/>
      <c r="T73" s="195"/>
      <c r="U73" s="195"/>
      <c r="V73" s="195"/>
      <c r="W73" s="195"/>
      <c r="X73" s="195"/>
      <c r="Y73" s="195"/>
      <c r="Z73" s="195"/>
      <c r="AA73" s="195"/>
      <c r="AB73" s="195"/>
      <c r="AC73" s="195"/>
      <c r="AD73" s="195"/>
    </row>
    <row r="74" spans="1:30" s="203" customFormat="1" ht="15.75" hidden="1" customHeight="1" thickBot="1">
      <c r="A74" s="265"/>
      <c r="B74" s="300"/>
      <c r="C74" s="255" t="s">
        <v>8</v>
      </c>
      <c r="D74" s="256" t="s">
        <v>8</v>
      </c>
      <c r="E74" s="37"/>
      <c r="F74" s="199"/>
      <c r="G74" s="199"/>
      <c r="H74" s="200"/>
      <c r="I74" s="201"/>
      <c r="J74" s="201"/>
      <c r="K74" s="201"/>
      <c r="L74" s="201"/>
      <c r="M74" s="201"/>
      <c r="N74" s="202"/>
      <c r="O74" s="202"/>
      <c r="P74" s="202"/>
      <c r="Q74" s="202"/>
      <c r="R74" s="202"/>
      <c r="S74" s="202"/>
      <c r="T74" s="202"/>
      <c r="U74" s="202"/>
      <c r="V74" s="202"/>
      <c r="W74" s="202"/>
      <c r="X74" s="202"/>
      <c r="Y74" s="202"/>
      <c r="Z74" s="202"/>
      <c r="AA74" s="202"/>
      <c r="AB74" s="202"/>
      <c r="AC74" s="202"/>
      <c r="AD74" s="202"/>
    </row>
    <row r="75" spans="1:30" s="203" customFormat="1" ht="15.75" hidden="1" customHeight="1" thickBot="1">
      <c r="A75" s="265"/>
      <c r="B75" s="300"/>
      <c r="C75" s="255" t="s">
        <v>8</v>
      </c>
      <c r="D75" s="256" t="s">
        <v>8</v>
      </c>
      <c r="E75" s="37"/>
      <c r="F75" s="199"/>
      <c r="G75" s="199"/>
      <c r="H75" s="200"/>
      <c r="I75" s="201"/>
      <c r="J75" s="201"/>
      <c r="K75" s="201"/>
      <c r="L75" s="201"/>
      <c r="M75" s="201"/>
      <c r="N75" s="202"/>
      <c r="O75" s="202"/>
      <c r="P75" s="202"/>
      <c r="Q75" s="202"/>
      <c r="R75" s="202"/>
      <c r="S75" s="202"/>
      <c r="T75" s="202"/>
      <c r="U75" s="202"/>
      <c r="V75" s="202"/>
      <c r="W75" s="202"/>
      <c r="X75" s="202"/>
      <c r="Y75" s="202"/>
      <c r="Z75" s="202"/>
      <c r="AA75" s="202"/>
      <c r="AB75" s="202"/>
      <c r="AC75" s="202"/>
      <c r="AD75" s="202"/>
    </row>
    <row r="76" spans="1:30" s="203" customFormat="1" ht="15.75" hidden="1" customHeight="1" thickBot="1">
      <c r="A76" s="265"/>
      <c r="B76" s="300"/>
      <c r="C76" s="255" t="s">
        <v>8</v>
      </c>
      <c r="D76" s="256" t="s">
        <v>8</v>
      </c>
      <c r="E76" s="37"/>
      <c r="F76" s="199"/>
      <c r="G76" s="199"/>
      <c r="H76" s="200"/>
      <c r="I76" s="201"/>
      <c r="J76" s="201"/>
      <c r="K76" s="201"/>
      <c r="L76" s="201"/>
      <c r="M76" s="201"/>
      <c r="N76" s="202"/>
      <c r="O76" s="202"/>
      <c r="P76" s="202"/>
      <c r="Q76" s="202"/>
      <c r="R76" s="202"/>
      <c r="S76" s="202"/>
      <c r="T76" s="202"/>
      <c r="U76" s="202"/>
      <c r="V76" s="202"/>
      <c r="W76" s="202"/>
      <c r="X76" s="202"/>
      <c r="Y76" s="202"/>
      <c r="Z76" s="202"/>
      <c r="AA76" s="202"/>
      <c r="AB76" s="202"/>
      <c r="AC76" s="202"/>
      <c r="AD76" s="202"/>
    </row>
    <row r="77" spans="1:30" s="203" customFormat="1" ht="15.75" hidden="1" customHeight="1" thickBot="1">
      <c r="A77" s="265"/>
      <c r="B77" s="300"/>
      <c r="C77" s="255" t="s">
        <v>8</v>
      </c>
      <c r="D77" s="256" t="s">
        <v>8</v>
      </c>
      <c r="E77" s="37"/>
      <c r="F77" s="199"/>
      <c r="G77" s="199"/>
      <c r="H77" s="200"/>
      <c r="I77" s="201"/>
      <c r="J77" s="201"/>
      <c r="K77" s="201"/>
      <c r="L77" s="201"/>
      <c r="M77" s="201"/>
      <c r="N77" s="202"/>
      <c r="O77" s="202"/>
      <c r="P77" s="202"/>
      <c r="Q77" s="202"/>
      <c r="R77" s="202"/>
      <c r="S77" s="202"/>
      <c r="T77" s="202"/>
      <c r="U77" s="202"/>
      <c r="V77" s="202"/>
      <c r="W77" s="202"/>
      <c r="X77" s="202"/>
      <c r="Y77" s="202"/>
      <c r="Z77" s="202"/>
      <c r="AA77" s="202"/>
      <c r="AB77" s="202"/>
      <c r="AC77" s="202"/>
      <c r="AD77" s="202"/>
    </row>
    <row r="78" spans="1:30" s="208" customFormat="1" ht="15.75" hidden="1" customHeight="1" thickBot="1">
      <c r="A78" s="265"/>
      <c r="B78" s="300"/>
      <c r="C78" s="255" t="s">
        <v>8</v>
      </c>
      <c r="D78" s="256" t="s">
        <v>8</v>
      </c>
      <c r="E78" s="37"/>
      <c r="F78" s="204"/>
      <c r="G78" s="204"/>
      <c r="H78" s="205"/>
      <c r="I78" s="206"/>
      <c r="J78" s="206"/>
      <c r="K78" s="206"/>
      <c r="L78" s="206"/>
      <c r="M78" s="206"/>
      <c r="N78" s="207"/>
      <c r="O78" s="207"/>
      <c r="P78" s="207"/>
      <c r="Q78" s="207"/>
      <c r="R78" s="207"/>
      <c r="S78" s="207"/>
      <c r="T78" s="207"/>
      <c r="U78" s="207"/>
      <c r="V78" s="207"/>
      <c r="W78" s="207"/>
      <c r="X78" s="207"/>
      <c r="Y78" s="207"/>
      <c r="Z78" s="207"/>
      <c r="AA78" s="207"/>
      <c r="AB78" s="207"/>
      <c r="AC78" s="207"/>
      <c r="AD78" s="207"/>
    </row>
    <row r="79" spans="1:30" s="208" customFormat="1" ht="15.75" hidden="1" customHeight="1" thickBot="1">
      <c r="A79" s="265"/>
      <c r="B79" s="300"/>
      <c r="C79" s="255" t="s">
        <v>8</v>
      </c>
      <c r="D79" s="256" t="s">
        <v>8</v>
      </c>
      <c r="E79" s="37"/>
      <c r="F79" s="204"/>
      <c r="G79" s="204"/>
      <c r="H79" s="205"/>
      <c r="I79" s="206"/>
      <c r="J79" s="206"/>
      <c r="K79" s="206"/>
      <c r="L79" s="206"/>
      <c r="M79" s="206"/>
      <c r="N79" s="207"/>
      <c r="O79" s="207"/>
      <c r="P79" s="207"/>
      <c r="Q79" s="207"/>
      <c r="R79" s="207"/>
      <c r="S79" s="207"/>
      <c r="T79" s="207"/>
      <c r="U79" s="207"/>
      <c r="V79" s="207"/>
      <c r="W79" s="207"/>
      <c r="X79" s="207"/>
      <c r="Y79" s="207"/>
      <c r="Z79" s="207"/>
      <c r="AA79" s="207"/>
      <c r="AB79" s="207"/>
      <c r="AC79" s="207"/>
      <c r="AD79" s="207"/>
    </row>
    <row r="80" spans="1:30" s="208" customFormat="1" ht="15.75" hidden="1" customHeight="1" thickBot="1">
      <c r="A80" s="265"/>
      <c r="B80" s="300"/>
      <c r="C80" s="255" t="s">
        <v>8</v>
      </c>
      <c r="D80" s="256" t="s">
        <v>8</v>
      </c>
      <c r="E80" s="37"/>
      <c r="F80" s="204"/>
      <c r="G80" s="204"/>
      <c r="H80" s="205"/>
      <c r="I80" s="206"/>
      <c r="J80" s="206"/>
      <c r="K80" s="206"/>
      <c r="L80" s="206"/>
      <c r="M80" s="206"/>
      <c r="N80" s="207"/>
      <c r="O80" s="207"/>
      <c r="P80" s="207"/>
      <c r="Q80" s="207"/>
      <c r="R80" s="207"/>
      <c r="S80" s="207"/>
      <c r="T80" s="207"/>
      <c r="U80" s="207"/>
      <c r="V80" s="207"/>
      <c r="W80" s="207"/>
      <c r="X80" s="207"/>
      <c r="Y80" s="207"/>
      <c r="Z80" s="207"/>
      <c r="AA80" s="207"/>
      <c r="AB80" s="207"/>
      <c r="AC80" s="207"/>
      <c r="AD80" s="207"/>
    </row>
    <row r="81" spans="1:30" s="208" customFormat="1" ht="15.75" hidden="1" customHeight="1" thickBot="1">
      <c r="A81" s="265"/>
      <c r="B81" s="300"/>
      <c r="C81" s="255" t="s">
        <v>8</v>
      </c>
      <c r="D81" s="256" t="s">
        <v>8</v>
      </c>
      <c r="E81" s="37"/>
      <c r="F81" s="204"/>
      <c r="G81" s="204"/>
      <c r="H81" s="205"/>
      <c r="I81" s="206"/>
      <c r="J81" s="206"/>
      <c r="K81" s="206"/>
      <c r="L81" s="206"/>
      <c r="M81" s="206"/>
      <c r="N81" s="207"/>
      <c r="O81" s="207"/>
      <c r="P81" s="207"/>
      <c r="Q81" s="207"/>
      <c r="R81" s="207"/>
      <c r="S81" s="207"/>
      <c r="T81" s="207"/>
      <c r="U81" s="207"/>
      <c r="V81" s="207"/>
      <c r="W81" s="207"/>
      <c r="X81" s="207"/>
      <c r="Y81" s="207"/>
      <c r="Z81" s="207"/>
      <c r="AA81" s="207"/>
      <c r="AB81" s="207"/>
      <c r="AC81" s="207"/>
      <c r="AD81" s="207"/>
    </row>
    <row r="82" spans="1:30" s="208" customFormat="1" ht="15.75" hidden="1" customHeight="1" thickBot="1">
      <c r="A82" s="265"/>
      <c r="B82" s="300"/>
      <c r="C82" s="255" t="s">
        <v>8</v>
      </c>
      <c r="D82" s="256" t="s">
        <v>8</v>
      </c>
      <c r="E82" s="37"/>
      <c r="F82" s="204"/>
      <c r="G82" s="204"/>
      <c r="H82" s="205"/>
      <c r="I82" s="206"/>
      <c r="J82" s="206"/>
      <c r="K82" s="206"/>
      <c r="L82" s="206"/>
      <c r="M82" s="206"/>
      <c r="N82" s="207"/>
      <c r="O82" s="207"/>
      <c r="P82" s="207"/>
      <c r="Q82" s="207"/>
      <c r="R82" s="207"/>
      <c r="S82" s="207"/>
      <c r="T82" s="207"/>
      <c r="U82" s="207"/>
      <c r="V82" s="207"/>
      <c r="W82" s="207"/>
      <c r="X82" s="207"/>
      <c r="Y82" s="207"/>
      <c r="Z82" s="207"/>
      <c r="AA82" s="207"/>
      <c r="AB82" s="207"/>
      <c r="AC82" s="207"/>
      <c r="AD82" s="207"/>
    </row>
    <row r="83" spans="1:30" s="208" customFormat="1" ht="15.75" hidden="1" customHeight="1" thickBot="1">
      <c r="A83" s="265"/>
      <c r="B83" s="300"/>
      <c r="C83" s="255" t="s">
        <v>8</v>
      </c>
      <c r="D83" s="256" t="s">
        <v>8</v>
      </c>
      <c r="E83" s="37"/>
      <c r="F83" s="204"/>
      <c r="G83" s="204"/>
      <c r="H83" s="205"/>
      <c r="I83" s="206"/>
      <c r="J83" s="206"/>
      <c r="K83" s="206"/>
      <c r="L83" s="206"/>
      <c r="M83" s="206"/>
      <c r="N83" s="207"/>
      <c r="O83" s="207"/>
      <c r="P83" s="207"/>
      <c r="Q83" s="207"/>
      <c r="R83" s="207"/>
      <c r="S83" s="207"/>
      <c r="T83" s="207"/>
      <c r="U83" s="207"/>
      <c r="V83" s="207"/>
      <c r="W83" s="207"/>
      <c r="X83" s="207"/>
      <c r="Y83" s="207"/>
      <c r="Z83" s="207"/>
      <c r="AA83" s="207"/>
      <c r="AB83" s="207"/>
      <c r="AC83" s="207"/>
      <c r="AD83" s="207"/>
    </row>
    <row r="84" spans="1:30" s="208" customFormat="1" ht="15.75" hidden="1" customHeight="1" thickBot="1">
      <c r="A84" s="299"/>
      <c r="B84" s="301"/>
      <c r="C84" s="255" t="s">
        <v>8</v>
      </c>
      <c r="D84" s="256" t="s">
        <v>8</v>
      </c>
      <c r="E84" s="37"/>
      <c r="F84" s="204"/>
      <c r="G84" s="204"/>
      <c r="H84" s="205"/>
      <c r="I84" s="206"/>
      <c r="J84" s="206"/>
      <c r="K84" s="206"/>
      <c r="L84" s="206"/>
      <c r="M84" s="206"/>
      <c r="N84" s="207"/>
      <c r="O84" s="207"/>
      <c r="P84" s="207"/>
      <c r="Q84" s="207"/>
      <c r="R84" s="207"/>
      <c r="S84" s="207"/>
      <c r="T84" s="207"/>
      <c r="U84" s="207"/>
      <c r="V84" s="207"/>
      <c r="W84" s="207"/>
      <c r="X84" s="207"/>
      <c r="Y84" s="207"/>
      <c r="Z84" s="207"/>
      <c r="AA84" s="207"/>
      <c r="AB84" s="207"/>
      <c r="AC84" s="207"/>
      <c r="AD84" s="207"/>
    </row>
    <row r="85" spans="1:30" s="208" customFormat="1" ht="15.75" hidden="1" customHeight="1" thickBot="1">
      <c r="A85" s="284"/>
      <c r="B85" s="216"/>
      <c r="C85" s="255" t="s">
        <v>8</v>
      </c>
      <c r="D85" s="256" t="s">
        <v>8</v>
      </c>
      <c r="E85" s="37"/>
      <c r="F85" s="204"/>
      <c r="G85" s="204"/>
      <c r="H85" s="205"/>
      <c r="I85" s="206"/>
      <c r="J85" s="206"/>
      <c r="K85" s="206"/>
      <c r="L85" s="206"/>
      <c r="M85" s="206"/>
      <c r="N85" s="207"/>
      <c r="O85" s="207"/>
      <c r="P85" s="207"/>
      <c r="Q85" s="207"/>
      <c r="R85" s="207"/>
      <c r="S85" s="207"/>
      <c r="T85" s="207"/>
      <c r="U85" s="207"/>
      <c r="V85" s="207"/>
      <c r="W85" s="207"/>
      <c r="X85" s="207"/>
      <c r="Y85" s="207"/>
      <c r="Z85" s="207"/>
      <c r="AA85" s="207"/>
      <c r="AB85" s="207"/>
      <c r="AC85" s="207"/>
      <c r="AD85" s="207"/>
    </row>
    <row r="86" spans="1:30" s="196" customFormat="1" ht="15.75" hidden="1" customHeight="1" thickBot="1">
      <c r="A86" s="284"/>
      <c r="B86" s="216"/>
      <c r="C86" s="255" t="s">
        <v>8</v>
      </c>
      <c r="D86" s="256" t="s">
        <v>8</v>
      </c>
      <c r="E86" s="37"/>
      <c r="F86" s="192"/>
      <c r="G86" s="192"/>
      <c r="H86" s="193"/>
      <c r="I86" s="194"/>
      <c r="J86" s="194"/>
      <c r="K86" s="194"/>
      <c r="L86" s="194"/>
      <c r="M86" s="194"/>
      <c r="N86" s="195"/>
      <c r="O86" s="195"/>
      <c r="P86" s="195"/>
      <c r="Q86" s="195"/>
      <c r="R86" s="195"/>
      <c r="S86" s="195"/>
      <c r="T86" s="195"/>
      <c r="U86" s="195"/>
      <c r="V86" s="195"/>
      <c r="W86" s="195"/>
      <c r="X86" s="195"/>
      <c r="Y86" s="195"/>
      <c r="Z86" s="195"/>
      <c r="AA86" s="195"/>
      <c r="AB86" s="195"/>
      <c r="AC86" s="195"/>
      <c r="AD86" s="195"/>
    </row>
    <row r="87" spans="1:30" s="196" customFormat="1" ht="15.75" hidden="1" customHeight="1" thickBot="1">
      <c r="A87" s="284"/>
      <c r="B87" s="216"/>
      <c r="C87" s="255" t="s">
        <v>8</v>
      </c>
      <c r="D87" s="256" t="s">
        <v>8</v>
      </c>
      <c r="E87" s="37"/>
      <c r="F87" s="192"/>
      <c r="G87" s="192"/>
      <c r="H87" s="193"/>
      <c r="I87" s="194"/>
      <c r="J87" s="194"/>
      <c r="K87" s="194"/>
      <c r="L87" s="194"/>
      <c r="M87" s="194"/>
      <c r="N87" s="195"/>
      <c r="O87" s="195"/>
      <c r="P87" s="195"/>
      <c r="Q87" s="195"/>
      <c r="R87" s="195"/>
      <c r="S87" s="195"/>
      <c r="T87" s="195"/>
      <c r="U87" s="195"/>
      <c r="V87" s="195"/>
      <c r="W87" s="195"/>
      <c r="X87" s="195"/>
      <c r="Y87" s="195"/>
      <c r="Z87" s="195"/>
      <c r="AA87" s="195"/>
      <c r="AB87" s="195"/>
      <c r="AC87" s="195"/>
      <c r="AD87" s="195"/>
    </row>
    <row r="88" spans="1:30" s="196" customFormat="1" ht="15.75" hidden="1" customHeight="1" thickBot="1">
      <c r="A88" s="284"/>
      <c r="B88" s="216"/>
      <c r="C88" s="255" t="s">
        <v>8</v>
      </c>
      <c r="D88" s="256" t="s">
        <v>8</v>
      </c>
      <c r="E88" s="37"/>
      <c r="F88" s="192"/>
      <c r="G88" s="192"/>
      <c r="H88" s="193"/>
      <c r="I88" s="194"/>
      <c r="J88" s="194"/>
      <c r="K88" s="194"/>
      <c r="L88" s="194"/>
      <c r="M88" s="194"/>
      <c r="N88" s="195"/>
      <c r="O88" s="195"/>
      <c r="P88" s="195"/>
      <c r="Q88" s="195"/>
      <c r="R88" s="195"/>
      <c r="S88" s="195"/>
      <c r="T88" s="195"/>
      <c r="U88" s="195"/>
      <c r="V88" s="195"/>
      <c r="W88" s="195"/>
      <c r="X88" s="195"/>
      <c r="Y88" s="195"/>
      <c r="Z88" s="195"/>
      <c r="AA88" s="195"/>
      <c r="AB88" s="195"/>
      <c r="AC88" s="195"/>
      <c r="AD88" s="195"/>
    </row>
    <row r="89" spans="1:30" s="196" customFormat="1" ht="15.75" hidden="1" customHeight="1" thickBot="1">
      <c r="A89" s="284"/>
      <c r="B89" s="216"/>
      <c r="C89" s="255" t="s">
        <v>8</v>
      </c>
      <c r="D89" s="256" t="s">
        <v>8</v>
      </c>
      <c r="E89" s="37"/>
      <c r="F89" s="192"/>
      <c r="G89" s="192"/>
      <c r="H89" s="193"/>
      <c r="I89" s="194"/>
      <c r="J89" s="194"/>
      <c r="K89" s="194"/>
      <c r="L89" s="194"/>
      <c r="M89" s="194"/>
      <c r="N89" s="195"/>
      <c r="O89" s="195"/>
      <c r="P89" s="195"/>
      <c r="Q89" s="195"/>
      <c r="R89" s="195"/>
      <c r="S89" s="195"/>
      <c r="T89" s="195"/>
      <c r="U89" s="195"/>
      <c r="V89" s="195"/>
      <c r="W89" s="195"/>
      <c r="X89" s="195"/>
      <c r="Y89" s="195"/>
      <c r="Z89" s="195"/>
      <c r="AA89" s="195"/>
      <c r="AB89" s="195"/>
      <c r="AC89" s="195"/>
      <c r="AD89" s="195"/>
    </row>
    <row r="90" spans="1:30" s="196" customFormat="1" ht="15.75" hidden="1" customHeight="1" thickBot="1">
      <c r="A90" s="284"/>
      <c r="B90" s="216"/>
      <c r="C90" s="255" t="s">
        <v>8</v>
      </c>
      <c r="D90" s="256" t="s">
        <v>8</v>
      </c>
      <c r="E90" s="37"/>
      <c r="F90" s="192"/>
      <c r="G90" s="192"/>
      <c r="H90" s="193"/>
      <c r="I90" s="194"/>
      <c r="J90" s="194"/>
      <c r="K90" s="194"/>
      <c r="L90" s="194"/>
      <c r="M90" s="194"/>
      <c r="N90" s="195"/>
      <c r="O90" s="195"/>
      <c r="P90" s="195"/>
      <c r="Q90" s="195"/>
      <c r="R90" s="195"/>
      <c r="S90" s="195"/>
      <c r="T90" s="195"/>
      <c r="U90" s="195"/>
      <c r="V90" s="195"/>
      <c r="W90" s="195"/>
      <c r="X90" s="195"/>
      <c r="Y90" s="195"/>
      <c r="Z90" s="195"/>
      <c r="AA90" s="195"/>
      <c r="AB90" s="195"/>
      <c r="AC90" s="195"/>
      <c r="AD90" s="195"/>
    </row>
    <row r="91" spans="1:30" s="203" customFormat="1" ht="15.75" hidden="1" customHeight="1" thickBot="1">
      <c r="A91" s="284"/>
      <c r="B91" s="216"/>
      <c r="C91" s="255" t="s">
        <v>8</v>
      </c>
      <c r="D91" s="256" t="s">
        <v>8</v>
      </c>
      <c r="E91" s="37"/>
      <c r="F91" s="199"/>
      <c r="G91" s="199"/>
      <c r="H91" s="200"/>
      <c r="I91" s="201"/>
      <c r="J91" s="201"/>
      <c r="K91" s="201"/>
      <c r="L91" s="201"/>
      <c r="M91" s="201"/>
      <c r="N91" s="202"/>
      <c r="O91" s="202"/>
      <c r="P91" s="202"/>
      <c r="Q91" s="202"/>
      <c r="R91" s="202"/>
      <c r="S91" s="202"/>
      <c r="T91" s="202"/>
      <c r="U91" s="202"/>
      <c r="V91" s="202"/>
      <c r="W91" s="202"/>
      <c r="X91" s="202"/>
      <c r="Y91" s="202"/>
      <c r="Z91" s="202"/>
      <c r="AA91" s="202"/>
      <c r="AB91" s="202"/>
      <c r="AC91" s="202"/>
      <c r="AD91" s="202"/>
    </row>
    <row r="92" spans="1:30" s="203" customFormat="1" ht="15.75" hidden="1" customHeight="1" thickBot="1">
      <c r="A92" s="284"/>
      <c r="B92" s="216"/>
      <c r="C92" s="255" t="s">
        <v>8</v>
      </c>
      <c r="D92" s="256" t="s">
        <v>8</v>
      </c>
      <c r="E92" s="37"/>
      <c r="F92" s="199"/>
      <c r="G92" s="199"/>
      <c r="H92" s="200"/>
      <c r="I92" s="201"/>
      <c r="J92" s="201"/>
      <c r="K92" s="201"/>
      <c r="L92" s="201"/>
      <c r="M92" s="201"/>
      <c r="N92" s="202"/>
      <c r="O92" s="202"/>
      <c r="P92" s="202"/>
      <c r="Q92" s="202"/>
      <c r="R92" s="202"/>
      <c r="S92" s="202"/>
      <c r="T92" s="202"/>
      <c r="U92" s="202"/>
      <c r="V92" s="202"/>
      <c r="W92" s="202"/>
      <c r="X92" s="202"/>
      <c r="Y92" s="202"/>
      <c r="Z92" s="202"/>
      <c r="AA92" s="202"/>
      <c r="AB92" s="202"/>
      <c r="AC92" s="202"/>
      <c r="AD92" s="202"/>
    </row>
    <row r="93" spans="1:30" s="203" customFormat="1" ht="15.75" hidden="1" customHeight="1" thickBot="1">
      <c r="A93" s="284"/>
      <c r="B93" s="216"/>
      <c r="C93" s="255" t="s">
        <v>8</v>
      </c>
      <c r="D93" s="256" t="s">
        <v>8</v>
      </c>
      <c r="E93" s="37"/>
      <c r="F93" s="199"/>
      <c r="G93" s="199"/>
      <c r="H93" s="200"/>
      <c r="I93" s="201"/>
      <c r="J93" s="201"/>
      <c r="K93" s="201"/>
      <c r="L93" s="201"/>
      <c r="M93" s="201"/>
      <c r="N93" s="202"/>
      <c r="O93" s="202"/>
      <c r="P93" s="202"/>
      <c r="Q93" s="202"/>
      <c r="R93" s="202"/>
      <c r="S93" s="202"/>
      <c r="T93" s="202"/>
      <c r="U93" s="202"/>
      <c r="V93" s="202"/>
      <c r="W93" s="202"/>
      <c r="X93" s="202"/>
      <c r="Y93" s="202"/>
      <c r="Z93" s="202"/>
      <c r="AA93" s="202"/>
      <c r="AB93" s="202"/>
      <c r="AC93" s="202"/>
      <c r="AD93" s="202"/>
    </row>
    <row r="94" spans="1:30" s="203" customFormat="1" ht="15.75" hidden="1" customHeight="1" thickBot="1">
      <c r="A94" s="284"/>
      <c r="B94" s="216"/>
      <c r="C94" s="255" t="s">
        <v>8</v>
      </c>
      <c r="D94" s="256" t="s">
        <v>8</v>
      </c>
      <c r="E94" s="37"/>
      <c r="F94" s="199"/>
      <c r="G94" s="199"/>
      <c r="H94" s="200"/>
      <c r="I94" s="201"/>
      <c r="J94" s="201"/>
      <c r="K94" s="201"/>
      <c r="L94" s="201"/>
      <c r="M94" s="201"/>
      <c r="N94" s="202"/>
      <c r="O94" s="202"/>
      <c r="P94" s="202"/>
      <c r="Q94" s="202"/>
      <c r="R94" s="202"/>
      <c r="S94" s="202"/>
      <c r="T94" s="202"/>
      <c r="U94" s="202"/>
      <c r="V94" s="202"/>
      <c r="W94" s="202"/>
      <c r="X94" s="202"/>
      <c r="Y94" s="202"/>
      <c r="Z94" s="202"/>
      <c r="AA94" s="202"/>
      <c r="AB94" s="202"/>
      <c r="AC94" s="202"/>
      <c r="AD94" s="202"/>
    </row>
    <row r="95" spans="1:30" s="208" customFormat="1" ht="15.75" hidden="1" customHeight="1" thickBot="1">
      <c r="A95" s="284"/>
      <c r="B95" s="216"/>
      <c r="C95" s="255" t="s">
        <v>8</v>
      </c>
      <c r="D95" s="256" t="s">
        <v>8</v>
      </c>
      <c r="E95" s="37"/>
      <c r="F95" s="204"/>
      <c r="G95" s="204"/>
      <c r="H95" s="205"/>
      <c r="I95" s="206"/>
      <c r="J95" s="206"/>
      <c r="K95" s="206"/>
      <c r="L95" s="206"/>
      <c r="M95" s="206"/>
      <c r="N95" s="207"/>
      <c r="O95" s="207"/>
      <c r="P95" s="207"/>
      <c r="Q95" s="207"/>
      <c r="R95" s="207"/>
      <c r="S95" s="207"/>
      <c r="T95" s="207"/>
      <c r="U95" s="207"/>
      <c r="V95" s="207"/>
      <c r="W95" s="207"/>
      <c r="X95" s="207"/>
      <c r="Y95" s="207"/>
      <c r="Z95" s="207"/>
      <c r="AA95" s="207"/>
      <c r="AB95" s="207"/>
      <c r="AC95" s="207"/>
      <c r="AD95" s="207"/>
    </row>
    <row r="96" spans="1:30" s="208" customFormat="1" ht="15.75" hidden="1" customHeight="1" thickBot="1">
      <c r="A96" s="284"/>
      <c r="B96" s="216"/>
      <c r="C96" s="255" t="s">
        <v>8</v>
      </c>
      <c r="D96" s="256" t="s">
        <v>8</v>
      </c>
      <c r="E96" s="37"/>
      <c r="F96" s="204"/>
      <c r="G96" s="204"/>
      <c r="H96" s="205"/>
      <c r="I96" s="206"/>
      <c r="J96" s="206"/>
      <c r="K96" s="206"/>
      <c r="L96" s="206"/>
      <c r="M96" s="206"/>
      <c r="N96" s="207"/>
      <c r="O96" s="207"/>
      <c r="P96" s="207"/>
      <c r="Q96" s="207"/>
      <c r="R96" s="207"/>
      <c r="S96" s="207"/>
      <c r="T96" s="207"/>
      <c r="U96" s="207"/>
      <c r="V96" s="207"/>
      <c r="W96" s="207"/>
      <c r="X96" s="207"/>
      <c r="Y96" s="207"/>
      <c r="Z96" s="207"/>
      <c r="AA96" s="207"/>
      <c r="AB96" s="207"/>
      <c r="AC96" s="207"/>
      <c r="AD96" s="207"/>
    </row>
    <row r="97" spans="1:30" s="208" customFormat="1" ht="15.75" hidden="1" customHeight="1" thickBot="1">
      <c r="A97" s="284"/>
      <c r="B97" s="216"/>
      <c r="C97" s="255" t="s">
        <v>8</v>
      </c>
      <c r="D97" s="256" t="s">
        <v>8</v>
      </c>
      <c r="E97" s="37"/>
      <c r="F97" s="204"/>
      <c r="G97" s="204"/>
      <c r="H97" s="205"/>
      <c r="I97" s="206"/>
      <c r="J97" s="206"/>
      <c r="K97" s="206"/>
      <c r="L97" s="206"/>
      <c r="M97" s="206"/>
      <c r="N97" s="207"/>
      <c r="O97" s="207"/>
      <c r="P97" s="207"/>
      <c r="Q97" s="207"/>
      <c r="R97" s="207"/>
      <c r="S97" s="207"/>
      <c r="T97" s="207"/>
      <c r="U97" s="207"/>
      <c r="V97" s="207"/>
      <c r="W97" s="207"/>
      <c r="X97" s="207"/>
      <c r="Y97" s="207"/>
      <c r="Z97" s="207"/>
      <c r="AA97" s="207"/>
      <c r="AB97" s="207"/>
      <c r="AC97" s="207"/>
      <c r="AD97" s="207"/>
    </row>
    <row r="98" spans="1:30" s="208" customFormat="1" ht="15.75" hidden="1" customHeight="1" thickBot="1">
      <c r="A98" s="284"/>
      <c r="B98" s="216"/>
      <c r="C98" s="255" t="s">
        <v>8</v>
      </c>
      <c r="D98" s="256" t="s">
        <v>8</v>
      </c>
      <c r="E98" s="37"/>
      <c r="F98" s="204"/>
      <c r="G98" s="204"/>
      <c r="H98" s="205"/>
      <c r="I98" s="206"/>
      <c r="J98" s="206"/>
      <c r="K98" s="206"/>
      <c r="L98" s="206"/>
      <c r="M98" s="206"/>
      <c r="N98" s="207"/>
      <c r="O98" s="207"/>
      <c r="P98" s="207"/>
      <c r="Q98" s="207"/>
      <c r="R98" s="207"/>
      <c r="S98" s="207"/>
      <c r="T98" s="207"/>
      <c r="U98" s="207"/>
      <c r="V98" s="207"/>
      <c r="W98" s="207"/>
      <c r="X98" s="207"/>
      <c r="Y98" s="207"/>
      <c r="Z98" s="207"/>
      <c r="AA98" s="207"/>
      <c r="AB98" s="207"/>
      <c r="AC98" s="207"/>
      <c r="AD98" s="207"/>
    </row>
    <row r="99" spans="1:30" s="208" customFormat="1" ht="15.75" hidden="1" customHeight="1" thickBot="1">
      <c r="A99" s="265"/>
      <c r="B99" s="260"/>
      <c r="C99" s="255" t="s">
        <v>8</v>
      </c>
      <c r="D99" s="256" t="s">
        <v>8</v>
      </c>
      <c r="E99" s="37"/>
      <c r="F99" s="204"/>
      <c r="G99" s="204"/>
      <c r="H99" s="205"/>
      <c r="I99" s="206"/>
      <c r="J99" s="206"/>
      <c r="K99" s="206"/>
      <c r="L99" s="206"/>
      <c r="M99" s="206"/>
      <c r="N99" s="207"/>
      <c r="O99" s="207"/>
      <c r="P99" s="207"/>
      <c r="Q99" s="207"/>
      <c r="R99" s="207"/>
      <c r="S99" s="207"/>
      <c r="T99" s="207"/>
      <c r="U99" s="207"/>
      <c r="V99" s="207"/>
      <c r="W99" s="207"/>
      <c r="X99" s="207"/>
      <c r="Y99" s="207"/>
      <c r="Z99" s="207"/>
      <c r="AA99" s="207"/>
      <c r="AB99" s="207"/>
      <c r="AC99" s="207"/>
      <c r="AD99" s="207"/>
    </row>
    <row r="100" spans="1:30" s="208" customFormat="1" ht="15.75" hidden="1" customHeight="1" thickBot="1">
      <c r="A100" s="265"/>
      <c r="B100" s="260"/>
      <c r="C100" s="255" t="s">
        <v>8</v>
      </c>
      <c r="D100" s="256" t="s">
        <v>8</v>
      </c>
      <c r="E100" s="37"/>
      <c r="F100" s="204"/>
      <c r="G100" s="204"/>
      <c r="H100" s="205"/>
      <c r="I100" s="206"/>
      <c r="J100" s="206"/>
      <c r="K100" s="206"/>
      <c r="L100" s="206"/>
      <c r="M100" s="206"/>
      <c r="N100" s="207"/>
      <c r="O100" s="207"/>
      <c r="P100" s="207"/>
      <c r="Q100" s="207"/>
      <c r="R100" s="207"/>
      <c r="S100" s="207"/>
      <c r="T100" s="207"/>
      <c r="U100" s="207"/>
      <c r="V100" s="207"/>
      <c r="W100" s="207"/>
      <c r="X100" s="207"/>
      <c r="Y100" s="207"/>
      <c r="Z100" s="207"/>
      <c r="AA100" s="207"/>
      <c r="AB100" s="207"/>
      <c r="AC100" s="207"/>
      <c r="AD100" s="207"/>
    </row>
    <row r="101" spans="1:30" s="208" customFormat="1" ht="15.75" hidden="1" customHeight="1" thickBot="1">
      <c r="A101" s="265"/>
      <c r="B101" s="260"/>
      <c r="C101" s="255" t="s">
        <v>8</v>
      </c>
      <c r="D101" s="256" t="s">
        <v>8</v>
      </c>
      <c r="E101" s="37"/>
      <c r="F101" s="204"/>
      <c r="G101" s="204"/>
      <c r="H101" s="205"/>
      <c r="I101" s="206"/>
      <c r="J101" s="206"/>
      <c r="K101" s="206"/>
      <c r="L101" s="206"/>
      <c r="M101" s="206"/>
      <c r="N101" s="207"/>
      <c r="O101" s="207"/>
      <c r="P101" s="207"/>
      <c r="Q101" s="207"/>
      <c r="R101" s="207"/>
      <c r="S101" s="207"/>
      <c r="T101" s="207"/>
      <c r="U101" s="207"/>
      <c r="V101" s="207"/>
      <c r="W101" s="207"/>
      <c r="X101" s="207"/>
      <c r="Y101" s="207"/>
      <c r="Z101" s="207"/>
      <c r="AA101" s="207"/>
      <c r="AB101" s="207"/>
      <c r="AC101" s="207"/>
      <c r="AD101" s="207"/>
    </row>
    <row r="102" spans="1:30" s="208" customFormat="1" ht="15.75" hidden="1" customHeight="1" thickBot="1">
      <c r="A102" s="257"/>
      <c r="B102" s="216"/>
      <c r="C102" s="255" t="s">
        <v>8</v>
      </c>
      <c r="D102" s="256" t="s">
        <v>8</v>
      </c>
      <c r="E102" s="37"/>
      <c r="F102" s="204"/>
      <c r="G102" s="204"/>
      <c r="H102" s="205"/>
      <c r="I102" s="206"/>
      <c r="J102" s="206"/>
      <c r="K102" s="206"/>
      <c r="L102" s="206"/>
      <c r="M102" s="206"/>
      <c r="N102" s="207"/>
      <c r="O102" s="207"/>
      <c r="P102" s="207"/>
      <c r="Q102" s="207"/>
      <c r="R102" s="207"/>
      <c r="S102" s="207"/>
      <c r="T102" s="207"/>
      <c r="U102" s="207"/>
      <c r="V102" s="207"/>
      <c r="W102" s="207"/>
      <c r="X102" s="207"/>
      <c r="Y102" s="207"/>
      <c r="Z102" s="207"/>
      <c r="AA102" s="207"/>
      <c r="AB102" s="207"/>
      <c r="AC102" s="207"/>
      <c r="AD102" s="207"/>
    </row>
    <row r="103" spans="1:30" s="208" customFormat="1" ht="15.75" hidden="1" customHeight="1" thickBot="1">
      <c r="A103" s="257"/>
      <c r="B103" s="216"/>
      <c r="C103" s="255" t="s">
        <v>8</v>
      </c>
      <c r="D103" s="256" t="s">
        <v>8</v>
      </c>
      <c r="E103" s="37"/>
      <c r="F103" s="204"/>
      <c r="G103" s="204"/>
      <c r="H103" s="205"/>
      <c r="I103" s="206"/>
      <c r="J103" s="206"/>
      <c r="K103" s="206"/>
      <c r="L103" s="206"/>
      <c r="M103" s="206"/>
      <c r="N103" s="207"/>
      <c r="O103" s="207"/>
      <c r="P103" s="207"/>
      <c r="Q103" s="207"/>
      <c r="R103" s="207"/>
      <c r="S103" s="207"/>
      <c r="T103" s="207"/>
      <c r="U103" s="207"/>
      <c r="V103" s="207"/>
      <c r="W103" s="207"/>
      <c r="X103" s="207"/>
      <c r="Y103" s="207"/>
      <c r="Z103" s="207"/>
      <c r="AA103" s="207"/>
      <c r="AB103" s="207"/>
      <c r="AC103" s="207"/>
      <c r="AD103" s="207"/>
    </row>
    <row r="104" spans="1:30" s="196" customFormat="1" ht="15.75" hidden="1" customHeight="1" thickBot="1">
      <c r="A104" s="257"/>
      <c r="B104" s="216"/>
      <c r="C104" s="255" t="s">
        <v>8</v>
      </c>
      <c r="D104" s="256" t="s">
        <v>8</v>
      </c>
      <c r="E104" s="37"/>
      <c r="F104" s="192"/>
      <c r="G104" s="192"/>
      <c r="H104" s="193"/>
      <c r="I104" s="194"/>
      <c r="J104" s="194"/>
      <c r="K104" s="194"/>
      <c r="L104" s="194"/>
      <c r="M104" s="194"/>
      <c r="N104" s="195"/>
      <c r="O104" s="195"/>
      <c r="P104" s="195"/>
      <c r="Q104" s="195"/>
      <c r="R104" s="195"/>
      <c r="S104" s="195"/>
      <c r="T104" s="195"/>
      <c r="U104" s="195"/>
      <c r="V104" s="195"/>
      <c r="W104" s="195"/>
      <c r="X104" s="195"/>
      <c r="Y104" s="195"/>
      <c r="Z104" s="195"/>
      <c r="AA104" s="195"/>
      <c r="AB104" s="195"/>
      <c r="AC104" s="195"/>
      <c r="AD104" s="195"/>
    </row>
    <row r="105" spans="1:30" s="196" customFormat="1" ht="15.75" hidden="1" customHeight="1" thickBot="1">
      <c r="A105" s="257"/>
      <c r="B105" s="216"/>
      <c r="C105" s="255" t="s">
        <v>8</v>
      </c>
      <c r="D105" s="256" t="s">
        <v>8</v>
      </c>
      <c r="E105" s="37"/>
      <c r="F105" s="192"/>
      <c r="G105" s="192"/>
      <c r="H105" s="193"/>
      <c r="I105" s="194"/>
      <c r="J105" s="194"/>
      <c r="K105" s="194"/>
      <c r="L105" s="194"/>
      <c r="M105" s="194"/>
      <c r="N105" s="195"/>
      <c r="O105" s="195"/>
      <c r="P105" s="195"/>
      <c r="Q105" s="195"/>
      <c r="R105" s="195"/>
      <c r="S105" s="195"/>
      <c r="T105" s="195"/>
      <c r="U105" s="195"/>
      <c r="V105" s="195"/>
      <c r="W105" s="195"/>
      <c r="X105" s="195"/>
      <c r="Y105" s="195"/>
      <c r="Z105" s="195"/>
      <c r="AA105" s="195"/>
      <c r="AB105" s="195"/>
      <c r="AC105" s="195"/>
      <c r="AD105" s="195"/>
    </row>
    <row r="106" spans="1:30" s="196" customFormat="1" ht="15.75" hidden="1" customHeight="1" thickBot="1">
      <c r="A106" s="257"/>
      <c r="B106" s="216"/>
      <c r="C106" s="255" t="s">
        <v>8</v>
      </c>
      <c r="D106" s="256" t="s">
        <v>8</v>
      </c>
      <c r="E106" s="37"/>
      <c r="F106" s="192"/>
      <c r="G106" s="192"/>
      <c r="H106" s="193"/>
      <c r="I106" s="194"/>
      <c r="J106" s="194"/>
      <c r="K106" s="194"/>
      <c r="L106" s="194"/>
      <c r="M106" s="194"/>
      <c r="N106" s="195"/>
      <c r="O106" s="195"/>
      <c r="P106" s="195"/>
      <c r="Q106" s="195"/>
      <c r="R106" s="195"/>
      <c r="S106" s="195"/>
      <c r="T106" s="195"/>
      <c r="U106" s="195"/>
      <c r="V106" s="195"/>
      <c r="W106" s="195"/>
      <c r="X106" s="195"/>
      <c r="Y106" s="195"/>
      <c r="Z106" s="195"/>
      <c r="AA106" s="195"/>
      <c r="AB106" s="195"/>
      <c r="AC106" s="195"/>
      <c r="AD106" s="195"/>
    </row>
    <row r="107" spans="1:30" s="196" customFormat="1" ht="15.75" hidden="1" customHeight="1" thickBot="1">
      <c r="A107" s="257"/>
      <c r="B107" s="216"/>
      <c r="C107" s="255" t="s">
        <v>8</v>
      </c>
      <c r="D107" s="256" t="s">
        <v>8</v>
      </c>
      <c r="E107" s="37"/>
      <c r="F107" s="192"/>
      <c r="G107" s="192"/>
      <c r="H107" s="193"/>
      <c r="I107" s="194"/>
      <c r="J107" s="194"/>
      <c r="K107" s="194"/>
      <c r="L107" s="194"/>
      <c r="M107" s="194"/>
      <c r="N107" s="195"/>
      <c r="O107" s="195"/>
      <c r="P107" s="195"/>
      <c r="Q107" s="195"/>
      <c r="R107" s="195"/>
      <c r="S107" s="195"/>
      <c r="T107" s="195"/>
      <c r="U107" s="195"/>
      <c r="V107" s="195"/>
      <c r="W107" s="195"/>
      <c r="X107" s="195"/>
      <c r="Y107" s="195"/>
      <c r="Z107" s="195"/>
      <c r="AA107" s="195"/>
      <c r="AB107" s="195"/>
      <c r="AC107" s="195"/>
      <c r="AD107" s="195"/>
    </row>
    <row r="108" spans="1:30" s="196" customFormat="1" ht="15.75" hidden="1" customHeight="1" thickBot="1">
      <c r="A108" s="257"/>
      <c r="B108" s="216"/>
      <c r="C108" s="255" t="s">
        <v>8</v>
      </c>
      <c r="D108" s="256" t="s">
        <v>8</v>
      </c>
      <c r="E108" s="37"/>
      <c r="F108" s="192"/>
      <c r="G108" s="192"/>
      <c r="H108" s="193"/>
      <c r="I108" s="194"/>
      <c r="J108" s="194"/>
      <c r="K108" s="194"/>
      <c r="L108" s="194"/>
      <c r="M108" s="194"/>
      <c r="N108" s="195"/>
      <c r="O108" s="195"/>
      <c r="P108" s="195"/>
      <c r="Q108" s="195"/>
      <c r="R108" s="195"/>
      <c r="S108" s="195"/>
      <c r="T108" s="195"/>
      <c r="U108" s="195"/>
      <c r="V108" s="195"/>
      <c r="W108" s="195"/>
      <c r="X108" s="195"/>
      <c r="Y108" s="195"/>
      <c r="Z108" s="195"/>
      <c r="AA108" s="195"/>
      <c r="AB108" s="195"/>
      <c r="AC108" s="195"/>
      <c r="AD108" s="195"/>
    </row>
    <row r="109" spans="1:30" s="196" customFormat="1" ht="15.75" hidden="1" customHeight="1" thickBot="1">
      <c r="A109" s="257"/>
      <c r="B109" s="216"/>
      <c r="C109" s="255" t="s">
        <v>8</v>
      </c>
      <c r="D109" s="256" t="s">
        <v>8</v>
      </c>
      <c r="E109" s="37"/>
      <c r="F109" s="192"/>
      <c r="G109" s="192"/>
      <c r="H109" s="193"/>
      <c r="I109" s="194"/>
      <c r="J109" s="194"/>
      <c r="K109" s="194"/>
      <c r="L109" s="194"/>
      <c r="M109" s="194"/>
      <c r="N109" s="195"/>
      <c r="O109" s="195"/>
      <c r="P109" s="195"/>
      <c r="Q109" s="195"/>
      <c r="R109" s="195"/>
      <c r="S109" s="195"/>
      <c r="T109" s="195"/>
      <c r="U109" s="195"/>
      <c r="V109" s="195"/>
      <c r="W109" s="195"/>
      <c r="X109" s="195"/>
      <c r="Y109" s="195"/>
      <c r="Z109" s="195"/>
      <c r="AA109" s="195"/>
      <c r="AB109" s="195"/>
      <c r="AC109" s="195"/>
      <c r="AD109" s="195"/>
    </row>
    <row r="110" spans="1:30" s="203" customFormat="1" ht="15.75" hidden="1" customHeight="1" thickBot="1">
      <c r="A110" s="257"/>
      <c r="B110" s="216"/>
      <c r="C110" s="255" t="s">
        <v>8</v>
      </c>
      <c r="D110" s="256" t="s">
        <v>8</v>
      </c>
      <c r="E110" s="37"/>
      <c r="F110" s="199"/>
      <c r="G110" s="199"/>
      <c r="H110" s="200"/>
      <c r="I110" s="201"/>
      <c r="J110" s="201"/>
      <c r="K110" s="201"/>
      <c r="L110" s="201"/>
      <c r="M110" s="201"/>
      <c r="N110" s="202"/>
      <c r="O110" s="202"/>
      <c r="P110" s="202"/>
      <c r="Q110" s="202"/>
      <c r="R110" s="202"/>
      <c r="S110" s="202"/>
      <c r="T110" s="202"/>
      <c r="U110" s="202"/>
      <c r="V110" s="202"/>
      <c r="W110" s="202"/>
      <c r="X110" s="202"/>
      <c r="Y110" s="202"/>
      <c r="Z110" s="202"/>
      <c r="AA110" s="202"/>
      <c r="AB110" s="202"/>
      <c r="AC110" s="202"/>
      <c r="AD110" s="202"/>
    </row>
    <row r="111" spans="1:30" s="203" customFormat="1" ht="15.75" hidden="1" customHeight="1" thickBot="1">
      <c r="A111" s="257"/>
      <c r="B111" s="216"/>
      <c r="C111" s="255" t="s">
        <v>8</v>
      </c>
      <c r="D111" s="256" t="s">
        <v>8</v>
      </c>
      <c r="E111" s="37"/>
      <c r="F111" s="199"/>
      <c r="G111" s="199"/>
      <c r="H111" s="200"/>
      <c r="I111" s="201"/>
      <c r="J111" s="201"/>
      <c r="K111" s="201"/>
      <c r="L111" s="201"/>
      <c r="M111" s="201"/>
      <c r="N111" s="202"/>
      <c r="O111" s="202"/>
      <c r="P111" s="202"/>
      <c r="Q111" s="202"/>
      <c r="R111" s="202"/>
      <c r="S111" s="202"/>
      <c r="T111" s="202"/>
      <c r="U111" s="202"/>
      <c r="V111" s="202"/>
      <c r="W111" s="202"/>
      <c r="X111" s="202"/>
      <c r="Y111" s="202"/>
      <c r="Z111" s="202"/>
      <c r="AA111" s="202"/>
      <c r="AB111" s="202"/>
      <c r="AC111" s="202"/>
      <c r="AD111" s="202"/>
    </row>
    <row r="112" spans="1:30" s="203" customFormat="1" ht="15.75" hidden="1" customHeight="1" thickBot="1">
      <c r="A112" s="257"/>
      <c r="B112" s="216"/>
      <c r="C112" s="255" t="s">
        <v>8</v>
      </c>
      <c r="D112" s="256" t="s">
        <v>8</v>
      </c>
      <c r="E112" s="37"/>
      <c r="F112" s="199"/>
      <c r="G112" s="199"/>
      <c r="H112" s="200"/>
      <c r="I112" s="201"/>
      <c r="J112" s="201"/>
      <c r="K112" s="201"/>
      <c r="L112" s="201"/>
      <c r="M112" s="201"/>
      <c r="N112" s="202"/>
      <c r="O112" s="202"/>
      <c r="P112" s="202"/>
      <c r="Q112" s="202"/>
      <c r="R112" s="202"/>
      <c r="S112" s="202"/>
      <c r="T112" s="202"/>
      <c r="U112" s="202"/>
      <c r="V112" s="202"/>
      <c r="W112" s="202"/>
      <c r="X112" s="202"/>
      <c r="Y112" s="202"/>
      <c r="Z112" s="202"/>
      <c r="AA112" s="202"/>
      <c r="AB112" s="202"/>
      <c r="AC112" s="202"/>
      <c r="AD112" s="202"/>
    </row>
    <row r="113" spans="1:30" s="203" customFormat="1" ht="15.75" hidden="1" customHeight="1" thickBot="1">
      <c r="A113" s="257"/>
      <c r="B113" s="216"/>
      <c r="C113" s="255" t="s">
        <v>8</v>
      </c>
      <c r="D113" s="256" t="s">
        <v>8</v>
      </c>
      <c r="E113" s="37"/>
      <c r="F113" s="199"/>
      <c r="G113" s="199"/>
      <c r="H113" s="200"/>
      <c r="I113" s="201"/>
      <c r="J113" s="201"/>
      <c r="K113" s="201"/>
      <c r="L113" s="201"/>
      <c r="M113" s="201"/>
      <c r="N113" s="202"/>
      <c r="O113" s="202"/>
      <c r="P113" s="202"/>
      <c r="Q113" s="202"/>
      <c r="R113" s="202"/>
      <c r="S113" s="202"/>
      <c r="T113" s="202"/>
      <c r="U113" s="202"/>
      <c r="V113" s="202"/>
      <c r="W113" s="202"/>
      <c r="X113" s="202"/>
      <c r="Y113" s="202"/>
      <c r="Z113" s="202"/>
      <c r="AA113" s="202"/>
      <c r="AB113" s="202"/>
      <c r="AC113" s="202"/>
      <c r="AD113" s="202"/>
    </row>
    <row r="114" spans="1:30" s="208" customFormat="1" ht="15.75" hidden="1" customHeight="1" thickBot="1">
      <c r="A114" s="257"/>
      <c r="B114" s="216"/>
      <c r="C114" s="255" t="s">
        <v>8</v>
      </c>
      <c r="D114" s="256" t="s">
        <v>8</v>
      </c>
      <c r="E114" s="37"/>
      <c r="F114" s="204"/>
      <c r="G114" s="204"/>
      <c r="H114" s="205"/>
      <c r="I114" s="206"/>
      <c r="J114" s="206"/>
      <c r="K114" s="206"/>
      <c r="L114" s="206"/>
      <c r="M114" s="206"/>
      <c r="N114" s="207"/>
      <c r="O114" s="207"/>
      <c r="P114" s="207"/>
      <c r="Q114" s="207"/>
      <c r="R114" s="207"/>
      <c r="S114" s="207"/>
      <c r="T114" s="207"/>
      <c r="U114" s="207"/>
      <c r="V114" s="207"/>
      <c r="W114" s="207"/>
      <c r="X114" s="207"/>
      <c r="Y114" s="207"/>
      <c r="Z114" s="207"/>
      <c r="AA114" s="207"/>
      <c r="AB114" s="207"/>
      <c r="AC114" s="207"/>
      <c r="AD114" s="207"/>
    </row>
    <row r="115" spans="1:30" s="208" customFormat="1" ht="15.75" hidden="1" customHeight="1" thickBot="1">
      <c r="A115" s="257"/>
      <c r="B115" s="216"/>
      <c r="C115" s="255" t="s">
        <v>8</v>
      </c>
      <c r="D115" s="256" t="s">
        <v>8</v>
      </c>
      <c r="E115" s="37"/>
      <c r="F115" s="204"/>
      <c r="G115" s="204"/>
      <c r="H115" s="205"/>
      <c r="I115" s="206"/>
      <c r="J115" s="206"/>
      <c r="K115" s="206"/>
      <c r="L115" s="206"/>
      <c r="M115" s="206"/>
      <c r="N115" s="207"/>
      <c r="O115" s="207"/>
      <c r="P115" s="207"/>
      <c r="Q115" s="207"/>
      <c r="R115" s="207"/>
      <c r="S115" s="207"/>
      <c r="T115" s="207"/>
      <c r="U115" s="207"/>
      <c r="V115" s="207"/>
      <c r="W115" s="207"/>
      <c r="X115" s="207"/>
      <c r="Y115" s="207"/>
      <c r="Z115" s="207"/>
      <c r="AA115" s="207"/>
      <c r="AB115" s="207"/>
      <c r="AC115" s="207"/>
      <c r="AD115" s="207"/>
    </row>
    <row r="116" spans="1:30" s="208" customFormat="1" ht="15.75" hidden="1" customHeight="1" thickBot="1">
      <c r="A116" s="257"/>
      <c r="B116" s="216"/>
      <c r="C116" s="255" t="s">
        <v>8</v>
      </c>
      <c r="D116" s="256" t="s">
        <v>8</v>
      </c>
      <c r="E116" s="37"/>
      <c r="F116" s="204"/>
      <c r="G116" s="204"/>
      <c r="H116" s="205"/>
      <c r="I116" s="206"/>
      <c r="J116" s="206"/>
      <c r="K116" s="206"/>
      <c r="L116" s="206"/>
      <c r="M116" s="206"/>
      <c r="N116" s="207"/>
      <c r="O116" s="207"/>
      <c r="P116" s="207"/>
      <c r="Q116" s="207"/>
      <c r="R116" s="207"/>
      <c r="S116" s="207"/>
      <c r="T116" s="207"/>
      <c r="U116" s="207"/>
      <c r="V116" s="207"/>
      <c r="W116" s="207"/>
      <c r="X116" s="207"/>
      <c r="Y116" s="207"/>
      <c r="Z116" s="207"/>
      <c r="AA116" s="207"/>
      <c r="AB116" s="207"/>
      <c r="AC116" s="207"/>
      <c r="AD116" s="207"/>
    </row>
    <row r="117" spans="1:30" s="208" customFormat="1" ht="15.75" hidden="1" customHeight="1" thickBot="1">
      <c r="A117" s="257"/>
      <c r="B117" s="216"/>
      <c r="C117" s="255" t="s">
        <v>8</v>
      </c>
      <c r="D117" s="256" t="s">
        <v>8</v>
      </c>
      <c r="E117" s="37"/>
      <c r="F117" s="204"/>
      <c r="G117" s="204"/>
      <c r="H117" s="205"/>
      <c r="I117" s="206"/>
      <c r="J117" s="206"/>
      <c r="K117" s="206"/>
      <c r="L117" s="206"/>
      <c r="M117" s="206"/>
      <c r="N117" s="207"/>
      <c r="O117" s="207"/>
      <c r="P117" s="207"/>
      <c r="Q117" s="207"/>
      <c r="R117" s="207"/>
      <c r="S117" s="207"/>
      <c r="T117" s="207"/>
      <c r="U117" s="207"/>
      <c r="V117" s="207"/>
      <c r="W117" s="207"/>
      <c r="X117" s="207"/>
      <c r="Y117" s="207"/>
      <c r="Z117" s="207"/>
      <c r="AA117" s="207"/>
      <c r="AB117" s="207"/>
      <c r="AC117" s="207"/>
      <c r="AD117" s="207"/>
    </row>
    <row r="118" spans="1:30" s="208" customFormat="1" ht="15.75" hidden="1" customHeight="1" thickBot="1">
      <c r="A118" s="257"/>
      <c r="B118" s="216"/>
      <c r="C118" s="255" t="s">
        <v>8</v>
      </c>
      <c r="D118" s="256" t="s">
        <v>8</v>
      </c>
      <c r="E118" s="37"/>
      <c r="F118" s="204"/>
      <c r="G118" s="204"/>
      <c r="H118" s="205"/>
      <c r="I118" s="206"/>
      <c r="J118" s="206"/>
      <c r="K118" s="206"/>
      <c r="L118" s="206"/>
      <c r="M118" s="206"/>
      <c r="N118" s="207"/>
      <c r="O118" s="207"/>
      <c r="P118" s="207"/>
      <c r="Q118" s="207"/>
      <c r="R118" s="207"/>
      <c r="S118" s="207"/>
      <c r="T118" s="207"/>
      <c r="U118" s="207"/>
      <c r="V118" s="207"/>
      <c r="W118" s="207"/>
      <c r="X118" s="207"/>
      <c r="Y118" s="207"/>
      <c r="Z118" s="207"/>
      <c r="AA118" s="207"/>
      <c r="AB118" s="207"/>
      <c r="AC118" s="207"/>
      <c r="AD118" s="207"/>
    </row>
    <row r="119" spans="1:30" s="196" customFormat="1" ht="15.75" hidden="1" customHeight="1" thickBot="1">
      <c r="A119" s="257"/>
      <c r="B119" s="216"/>
      <c r="C119" s="255" t="s">
        <v>8</v>
      </c>
      <c r="D119" s="256" t="s">
        <v>8</v>
      </c>
      <c r="E119" s="37"/>
      <c r="F119" s="192"/>
      <c r="G119" s="192"/>
      <c r="H119" s="193"/>
      <c r="I119" s="194"/>
      <c r="J119" s="194"/>
      <c r="K119" s="194"/>
      <c r="L119" s="194"/>
      <c r="M119" s="194"/>
      <c r="N119" s="195"/>
      <c r="O119" s="195"/>
      <c r="P119" s="195"/>
      <c r="Q119" s="195"/>
      <c r="R119" s="195"/>
      <c r="S119" s="195"/>
      <c r="T119" s="195"/>
      <c r="U119" s="195"/>
      <c r="V119" s="195"/>
      <c r="W119" s="195"/>
      <c r="X119" s="195"/>
      <c r="Y119" s="195"/>
      <c r="Z119" s="195"/>
      <c r="AA119" s="195"/>
      <c r="AB119" s="195"/>
      <c r="AC119" s="195"/>
      <c r="AD119" s="195"/>
    </row>
    <row r="120" spans="1:30" s="196" customFormat="1" ht="15.75" hidden="1" customHeight="1" thickBot="1">
      <c r="A120" s="257"/>
      <c r="B120" s="216"/>
      <c r="C120" s="255" t="s">
        <v>8</v>
      </c>
      <c r="D120" s="256" t="s">
        <v>8</v>
      </c>
      <c r="E120" s="37"/>
      <c r="F120" s="192"/>
      <c r="G120" s="192"/>
      <c r="H120" s="193"/>
      <c r="I120" s="194"/>
      <c r="J120" s="194"/>
      <c r="K120" s="194"/>
      <c r="L120" s="194"/>
      <c r="M120" s="194"/>
      <c r="N120" s="195"/>
      <c r="O120" s="195"/>
      <c r="P120" s="195"/>
      <c r="Q120" s="195"/>
      <c r="R120" s="195"/>
      <c r="S120" s="195"/>
      <c r="T120" s="195"/>
      <c r="U120" s="195"/>
      <c r="V120" s="195"/>
      <c r="W120" s="195"/>
      <c r="X120" s="195"/>
      <c r="Y120" s="195"/>
      <c r="Z120" s="195"/>
      <c r="AA120" s="195"/>
      <c r="AB120" s="195"/>
      <c r="AC120" s="195"/>
      <c r="AD120" s="195"/>
    </row>
    <row r="121" spans="1:30" s="196" customFormat="1" ht="15.75" hidden="1" customHeight="1" thickBot="1">
      <c r="A121" s="257"/>
      <c r="B121" s="216"/>
      <c r="C121" s="255" t="s">
        <v>8</v>
      </c>
      <c r="D121" s="256" t="s">
        <v>8</v>
      </c>
      <c r="E121" s="37"/>
      <c r="F121" s="192"/>
      <c r="G121" s="192"/>
      <c r="H121" s="193"/>
      <c r="I121" s="194"/>
      <c r="J121" s="194"/>
      <c r="K121" s="194"/>
      <c r="L121" s="194"/>
      <c r="M121" s="194"/>
      <c r="N121" s="195"/>
      <c r="O121" s="195"/>
      <c r="P121" s="195"/>
      <c r="Q121" s="195"/>
      <c r="R121" s="195"/>
      <c r="S121" s="195"/>
      <c r="T121" s="195"/>
      <c r="U121" s="195"/>
      <c r="V121" s="195"/>
      <c r="W121" s="195"/>
      <c r="X121" s="195"/>
      <c r="Y121" s="195"/>
      <c r="Z121" s="195"/>
      <c r="AA121" s="195"/>
      <c r="AB121" s="195"/>
      <c r="AC121" s="195"/>
      <c r="AD121" s="195"/>
    </row>
    <row r="122" spans="1:30" s="196" customFormat="1" ht="15.75" hidden="1" customHeight="1" thickBot="1">
      <c r="A122" s="257"/>
      <c r="B122" s="216"/>
      <c r="C122" s="255" t="s">
        <v>8</v>
      </c>
      <c r="D122" s="256" t="s">
        <v>8</v>
      </c>
      <c r="E122" s="37"/>
      <c r="F122" s="192"/>
      <c r="G122" s="192"/>
      <c r="H122" s="193"/>
      <c r="I122" s="194"/>
      <c r="J122" s="194"/>
      <c r="K122" s="194"/>
      <c r="L122" s="194"/>
      <c r="M122" s="194"/>
      <c r="N122" s="195"/>
      <c r="O122" s="195"/>
      <c r="P122" s="195"/>
      <c r="Q122" s="195"/>
      <c r="R122" s="195"/>
      <c r="S122" s="195"/>
      <c r="T122" s="195"/>
      <c r="U122" s="195"/>
      <c r="V122" s="195"/>
      <c r="W122" s="195"/>
      <c r="X122" s="195"/>
      <c r="Y122" s="195"/>
      <c r="Z122" s="195"/>
      <c r="AA122" s="195"/>
      <c r="AB122" s="195"/>
      <c r="AC122" s="195"/>
      <c r="AD122" s="195"/>
    </row>
    <row r="123" spans="1:30" s="203" customFormat="1" ht="15.75" hidden="1" customHeight="1" thickBot="1">
      <c r="A123" s="257"/>
      <c r="B123" s="216"/>
      <c r="C123" s="255" t="s">
        <v>8</v>
      </c>
      <c r="D123" s="256" t="s">
        <v>8</v>
      </c>
      <c r="E123" s="37"/>
      <c r="F123" s="199"/>
      <c r="G123" s="199"/>
      <c r="H123" s="200"/>
      <c r="I123" s="201"/>
      <c r="J123" s="201"/>
      <c r="K123" s="201"/>
      <c r="L123" s="201"/>
      <c r="M123" s="201"/>
      <c r="N123" s="202"/>
      <c r="O123" s="202"/>
      <c r="P123" s="202"/>
      <c r="Q123" s="202"/>
      <c r="R123" s="202"/>
      <c r="S123" s="202"/>
      <c r="T123" s="202"/>
      <c r="U123" s="202"/>
      <c r="V123" s="202"/>
      <c r="W123" s="202"/>
      <c r="X123" s="202"/>
      <c r="Y123" s="202"/>
      <c r="Z123" s="202"/>
      <c r="AA123" s="202"/>
      <c r="AB123" s="202"/>
      <c r="AC123" s="202"/>
      <c r="AD123" s="202"/>
    </row>
    <row r="124" spans="1:30" s="203" customFormat="1" ht="15.75" hidden="1" customHeight="1" thickBot="1">
      <c r="A124" s="257"/>
      <c r="B124" s="216"/>
      <c r="C124" s="255" t="s">
        <v>8</v>
      </c>
      <c r="D124" s="256" t="s">
        <v>8</v>
      </c>
      <c r="E124" s="37"/>
      <c r="F124" s="199"/>
      <c r="G124" s="199"/>
      <c r="H124" s="200"/>
      <c r="I124" s="201"/>
      <c r="J124" s="201"/>
      <c r="K124" s="201"/>
      <c r="L124" s="201"/>
      <c r="M124" s="201"/>
      <c r="N124" s="202"/>
      <c r="O124" s="202"/>
      <c r="P124" s="202"/>
      <c r="Q124" s="202"/>
      <c r="R124" s="202"/>
      <c r="S124" s="202"/>
      <c r="T124" s="202"/>
      <c r="U124" s="202"/>
      <c r="V124" s="202"/>
      <c r="W124" s="202"/>
      <c r="X124" s="202"/>
      <c r="Y124" s="202"/>
      <c r="Z124" s="202"/>
      <c r="AA124" s="202"/>
      <c r="AB124" s="202"/>
      <c r="AC124" s="202"/>
      <c r="AD124" s="202"/>
    </row>
    <row r="125" spans="1:30" s="203" customFormat="1" ht="15.75" hidden="1" customHeight="1" thickBot="1">
      <c r="A125" s="257"/>
      <c r="B125" s="216"/>
      <c r="C125" s="255" t="s">
        <v>8</v>
      </c>
      <c r="D125" s="256" t="s">
        <v>8</v>
      </c>
      <c r="E125" s="37"/>
      <c r="F125" s="199"/>
      <c r="G125" s="199"/>
      <c r="H125" s="200"/>
      <c r="I125" s="201"/>
      <c r="J125" s="201"/>
      <c r="K125" s="201"/>
      <c r="L125" s="201"/>
      <c r="M125" s="201"/>
      <c r="N125" s="202"/>
      <c r="O125" s="202"/>
      <c r="P125" s="202"/>
      <c r="Q125" s="202"/>
      <c r="R125" s="202"/>
      <c r="S125" s="202"/>
      <c r="T125" s="202"/>
      <c r="U125" s="202"/>
      <c r="V125" s="202"/>
      <c r="W125" s="202"/>
      <c r="X125" s="202"/>
      <c r="Y125" s="202"/>
      <c r="Z125" s="202"/>
      <c r="AA125" s="202"/>
      <c r="AB125" s="202"/>
      <c r="AC125" s="202"/>
      <c r="AD125" s="202"/>
    </row>
    <row r="126" spans="1:30" s="203" customFormat="1" ht="15.75" hidden="1" customHeight="1" thickBot="1">
      <c r="A126" s="257"/>
      <c r="B126" s="216"/>
      <c r="C126" s="255" t="s">
        <v>8</v>
      </c>
      <c r="D126" s="256" t="s">
        <v>8</v>
      </c>
      <c r="E126" s="37"/>
      <c r="F126" s="199"/>
      <c r="G126" s="199"/>
      <c r="H126" s="200"/>
      <c r="I126" s="201"/>
      <c r="J126" s="201"/>
      <c r="K126" s="201"/>
      <c r="L126" s="201"/>
      <c r="M126" s="201"/>
      <c r="N126" s="202"/>
      <c r="O126" s="202"/>
      <c r="P126" s="202"/>
      <c r="Q126" s="202"/>
      <c r="R126" s="202"/>
      <c r="S126" s="202"/>
      <c r="T126" s="202"/>
      <c r="U126" s="202"/>
      <c r="V126" s="202"/>
      <c r="W126" s="202"/>
      <c r="X126" s="202"/>
      <c r="Y126" s="202"/>
      <c r="Z126" s="202"/>
      <c r="AA126" s="202"/>
      <c r="AB126" s="202"/>
      <c r="AC126" s="202"/>
      <c r="AD126" s="202"/>
    </row>
    <row r="127" spans="1:30" s="208" customFormat="1" ht="15.75" hidden="1" customHeight="1" thickBot="1">
      <c r="A127" s="257"/>
      <c r="B127" s="216"/>
      <c r="C127" s="255" t="s">
        <v>8</v>
      </c>
      <c r="D127" s="256" t="s">
        <v>8</v>
      </c>
      <c r="E127" s="37"/>
      <c r="F127" s="204"/>
      <c r="G127" s="204"/>
      <c r="H127" s="205"/>
      <c r="I127" s="206"/>
      <c r="J127" s="206"/>
      <c r="K127" s="206"/>
      <c r="L127" s="206"/>
      <c r="M127" s="206"/>
      <c r="N127" s="207"/>
      <c r="O127" s="207"/>
      <c r="P127" s="207"/>
      <c r="Q127" s="207"/>
      <c r="R127" s="207"/>
      <c r="S127" s="207"/>
      <c r="T127" s="207"/>
      <c r="U127" s="207"/>
      <c r="V127" s="207"/>
      <c r="W127" s="207"/>
      <c r="X127" s="207"/>
      <c r="Y127" s="207"/>
      <c r="Z127" s="207"/>
      <c r="AA127" s="207"/>
      <c r="AB127" s="207"/>
      <c r="AC127" s="207"/>
      <c r="AD127" s="207"/>
    </row>
    <row r="128" spans="1:30" s="208" customFormat="1" ht="15.75" hidden="1" customHeight="1" thickBot="1">
      <c r="A128" s="257"/>
      <c r="B128" s="216"/>
      <c r="C128" s="255" t="s">
        <v>8</v>
      </c>
      <c r="D128" s="256" t="s">
        <v>8</v>
      </c>
      <c r="E128" s="37"/>
      <c r="F128" s="204"/>
      <c r="G128" s="204"/>
      <c r="H128" s="205"/>
      <c r="I128" s="206"/>
      <c r="J128" s="206"/>
      <c r="K128" s="206"/>
      <c r="L128" s="206"/>
      <c r="M128" s="206"/>
      <c r="N128" s="207"/>
      <c r="O128" s="207"/>
      <c r="P128" s="207"/>
      <c r="Q128" s="207"/>
      <c r="R128" s="207"/>
      <c r="S128" s="207"/>
      <c r="T128" s="207"/>
      <c r="U128" s="207"/>
      <c r="V128" s="207"/>
      <c r="W128" s="207"/>
      <c r="X128" s="207"/>
      <c r="Y128" s="207"/>
      <c r="Z128" s="207"/>
      <c r="AA128" s="207"/>
      <c r="AB128" s="207"/>
      <c r="AC128" s="207"/>
      <c r="AD128" s="207"/>
    </row>
    <row r="129" spans="1:30" s="208" customFormat="1" ht="15.75" hidden="1" customHeight="1" thickBot="1">
      <c r="A129" s="257"/>
      <c r="B129" s="216"/>
      <c r="C129" s="255" t="s">
        <v>8</v>
      </c>
      <c r="D129" s="256" t="s">
        <v>8</v>
      </c>
      <c r="E129" s="37"/>
      <c r="F129" s="204"/>
      <c r="G129" s="204"/>
      <c r="H129" s="205"/>
      <c r="I129" s="206"/>
      <c r="J129" s="206"/>
      <c r="K129" s="206"/>
      <c r="L129" s="206"/>
      <c r="M129" s="206"/>
      <c r="N129" s="207"/>
      <c r="O129" s="207"/>
      <c r="P129" s="207"/>
      <c r="Q129" s="207"/>
      <c r="R129" s="207"/>
      <c r="S129" s="207"/>
      <c r="T129" s="207"/>
      <c r="U129" s="207"/>
      <c r="V129" s="207"/>
      <c r="W129" s="207"/>
      <c r="X129" s="207"/>
      <c r="Y129" s="207"/>
      <c r="Z129" s="207"/>
      <c r="AA129" s="207"/>
      <c r="AB129" s="207"/>
      <c r="AC129" s="207"/>
      <c r="AD129" s="207"/>
    </row>
    <row r="130" spans="1:30" s="208" customFormat="1" ht="15.75" hidden="1" customHeight="1" thickBot="1">
      <c r="A130" s="257"/>
      <c r="B130" s="216"/>
      <c r="C130" s="255" t="s">
        <v>8</v>
      </c>
      <c r="D130" s="256" t="s">
        <v>8</v>
      </c>
      <c r="E130" s="37"/>
      <c r="F130" s="204"/>
      <c r="G130" s="204"/>
      <c r="H130" s="205"/>
      <c r="I130" s="206"/>
      <c r="J130" s="206"/>
      <c r="K130" s="206"/>
      <c r="L130" s="206"/>
      <c r="M130" s="206"/>
      <c r="N130" s="207"/>
      <c r="O130" s="207"/>
      <c r="P130" s="207"/>
      <c r="Q130" s="207"/>
      <c r="R130" s="207"/>
      <c r="S130" s="207"/>
      <c r="T130" s="207"/>
      <c r="U130" s="207"/>
      <c r="V130" s="207"/>
      <c r="W130" s="207"/>
      <c r="X130" s="207"/>
      <c r="Y130" s="207"/>
      <c r="Z130" s="207"/>
      <c r="AA130" s="207"/>
      <c r="AB130" s="207"/>
      <c r="AC130" s="207"/>
      <c r="AD130" s="207"/>
    </row>
    <row r="131" spans="1:30" s="208" customFormat="1" ht="15.75" hidden="1" customHeight="1" thickBot="1">
      <c r="A131" s="257"/>
      <c r="B131" s="216"/>
      <c r="C131" s="255" t="s">
        <v>8</v>
      </c>
      <c r="D131" s="256" t="s">
        <v>8</v>
      </c>
      <c r="E131" s="37"/>
      <c r="F131" s="204"/>
      <c r="G131" s="204"/>
      <c r="H131" s="205"/>
      <c r="I131" s="206"/>
      <c r="J131" s="206"/>
      <c r="K131" s="206"/>
      <c r="L131" s="206"/>
      <c r="M131" s="206"/>
      <c r="N131" s="207"/>
      <c r="O131" s="207"/>
      <c r="P131" s="207"/>
      <c r="Q131" s="207"/>
      <c r="R131" s="207"/>
      <c r="S131" s="207"/>
      <c r="T131" s="207"/>
      <c r="U131" s="207"/>
      <c r="V131" s="207"/>
      <c r="W131" s="207"/>
      <c r="X131" s="207"/>
      <c r="Y131" s="207"/>
      <c r="Z131" s="207"/>
      <c r="AA131" s="207"/>
      <c r="AB131" s="207"/>
      <c r="AC131" s="207"/>
      <c r="AD131" s="207"/>
    </row>
    <row r="132" spans="1:30" s="208" customFormat="1" ht="15.75" hidden="1" customHeight="1" thickBot="1">
      <c r="A132" s="257"/>
      <c r="B132" s="216"/>
      <c r="C132" s="255" t="s">
        <v>8</v>
      </c>
      <c r="D132" s="256" t="s">
        <v>8</v>
      </c>
      <c r="E132" s="37"/>
      <c r="F132" s="204"/>
      <c r="G132" s="204"/>
      <c r="H132" s="205"/>
      <c r="I132" s="206"/>
      <c r="J132" s="206"/>
      <c r="K132" s="206"/>
      <c r="L132" s="206"/>
      <c r="M132" s="206"/>
      <c r="N132" s="207"/>
      <c r="O132" s="207"/>
      <c r="P132" s="207"/>
      <c r="Q132" s="207"/>
      <c r="R132" s="207"/>
      <c r="S132" s="207"/>
      <c r="T132" s="207"/>
      <c r="U132" s="207"/>
      <c r="V132" s="207"/>
      <c r="W132" s="207"/>
      <c r="X132" s="207"/>
      <c r="Y132" s="207"/>
      <c r="Z132" s="207"/>
      <c r="AA132" s="207"/>
      <c r="AB132" s="207"/>
      <c r="AC132" s="207"/>
      <c r="AD132" s="207"/>
    </row>
    <row r="133" spans="1:30" s="208" customFormat="1" ht="15.75" hidden="1" customHeight="1" thickBot="1">
      <c r="A133" s="257"/>
      <c r="B133" s="216"/>
      <c r="C133" s="255" t="s">
        <v>8</v>
      </c>
      <c r="D133" s="256" t="s">
        <v>8</v>
      </c>
      <c r="E133" s="37"/>
      <c r="F133" s="204"/>
      <c r="G133" s="204"/>
      <c r="H133" s="205"/>
      <c r="I133" s="206"/>
      <c r="J133" s="206"/>
      <c r="K133" s="206"/>
      <c r="L133" s="206"/>
      <c r="M133" s="206"/>
      <c r="N133" s="207"/>
      <c r="O133" s="207"/>
      <c r="P133" s="207"/>
      <c r="Q133" s="207"/>
      <c r="R133" s="207"/>
      <c r="S133" s="207"/>
      <c r="T133" s="207"/>
      <c r="U133" s="207"/>
      <c r="V133" s="207"/>
      <c r="W133" s="207"/>
      <c r="X133" s="207"/>
      <c r="Y133" s="207"/>
      <c r="Z133" s="207"/>
      <c r="AA133" s="207"/>
      <c r="AB133" s="207"/>
      <c r="AC133" s="207"/>
      <c r="AD133" s="207"/>
    </row>
    <row r="134" spans="1:30" s="208" customFormat="1" ht="15.75" hidden="1" customHeight="1" thickBot="1">
      <c r="A134" s="257"/>
      <c r="B134" s="216"/>
      <c r="C134" s="255" t="s">
        <v>8</v>
      </c>
      <c r="D134" s="256" t="s">
        <v>8</v>
      </c>
      <c r="E134" s="37"/>
      <c r="F134" s="204"/>
      <c r="G134" s="204"/>
      <c r="H134" s="205"/>
      <c r="I134" s="206"/>
      <c r="J134" s="206"/>
      <c r="K134" s="206"/>
      <c r="L134" s="206"/>
      <c r="M134" s="206"/>
      <c r="N134" s="207"/>
      <c r="O134" s="207"/>
      <c r="P134" s="207"/>
      <c r="Q134" s="207"/>
      <c r="R134" s="207"/>
      <c r="S134" s="207"/>
      <c r="T134" s="207"/>
      <c r="U134" s="207"/>
      <c r="V134" s="207"/>
      <c r="W134" s="207"/>
      <c r="X134" s="207"/>
      <c r="Y134" s="207"/>
      <c r="Z134" s="207"/>
      <c r="AA134" s="207"/>
      <c r="AB134" s="207"/>
      <c r="AC134" s="207"/>
      <c r="AD134" s="207"/>
    </row>
    <row r="135" spans="1:30" s="208" customFormat="1" ht="15.75" hidden="1" customHeight="1" thickBot="1">
      <c r="A135" s="257"/>
      <c r="B135" s="216"/>
      <c r="C135" s="255" t="s">
        <v>8</v>
      </c>
      <c r="D135" s="256" t="s">
        <v>8</v>
      </c>
      <c r="E135" s="37"/>
      <c r="F135" s="204"/>
      <c r="G135" s="204"/>
      <c r="H135" s="205"/>
      <c r="I135" s="206"/>
      <c r="J135" s="206"/>
      <c r="K135" s="206"/>
      <c r="L135" s="206"/>
      <c r="M135" s="206"/>
      <c r="N135" s="207"/>
      <c r="O135" s="207"/>
      <c r="P135" s="207"/>
      <c r="Q135" s="207"/>
      <c r="R135" s="207"/>
      <c r="S135" s="207"/>
      <c r="T135" s="207"/>
      <c r="U135" s="207"/>
      <c r="V135" s="207"/>
      <c r="W135" s="207"/>
      <c r="X135" s="207"/>
      <c r="Y135" s="207"/>
      <c r="Z135" s="207"/>
      <c r="AA135" s="207"/>
      <c r="AB135" s="207"/>
      <c r="AC135" s="207"/>
      <c r="AD135" s="207"/>
    </row>
    <row r="136" spans="1:30" s="196" customFormat="1" ht="15.75" hidden="1" customHeight="1" thickBot="1">
      <c r="A136" s="257"/>
      <c r="B136" s="216"/>
      <c r="C136" s="255" t="s">
        <v>8</v>
      </c>
      <c r="D136" s="256" t="s">
        <v>8</v>
      </c>
      <c r="E136" s="37"/>
      <c r="F136" s="192"/>
      <c r="G136" s="192"/>
      <c r="H136" s="193"/>
      <c r="I136" s="194"/>
      <c r="J136" s="194"/>
      <c r="K136" s="194"/>
      <c r="L136" s="194"/>
      <c r="M136" s="194"/>
      <c r="N136" s="195"/>
      <c r="O136" s="195"/>
      <c r="P136" s="195"/>
      <c r="Q136" s="195"/>
      <c r="R136" s="195"/>
      <c r="S136" s="195"/>
      <c r="T136" s="195"/>
      <c r="U136" s="195"/>
      <c r="V136" s="195"/>
      <c r="W136" s="195"/>
      <c r="X136" s="195"/>
      <c r="Y136" s="195"/>
      <c r="Z136" s="195"/>
      <c r="AA136" s="195"/>
      <c r="AB136" s="195"/>
      <c r="AC136" s="195"/>
      <c r="AD136" s="195"/>
    </row>
    <row r="137" spans="1:30" s="196" customFormat="1" ht="15.75" hidden="1" customHeight="1" thickBot="1">
      <c r="A137" s="257"/>
      <c r="B137" s="216"/>
      <c r="C137" s="255" t="s">
        <v>8</v>
      </c>
      <c r="D137" s="256" t="s">
        <v>8</v>
      </c>
      <c r="E137" s="37"/>
      <c r="F137" s="192"/>
      <c r="G137" s="192"/>
      <c r="H137" s="193"/>
      <c r="I137" s="194"/>
      <c r="J137" s="194"/>
      <c r="K137" s="194"/>
      <c r="L137" s="194"/>
      <c r="M137" s="194"/>
      <c r="N137" s="195"/>
      <c r="O137" s="195"/>
      <c r="P137" s="195"/>
      <c r="Q137" s="195"/>
      <c r="R137" s="195"/>
      <c r="S137" s="195"/>
      <c r="T137" s="195"/>
      <c r="U137" s="195"/>
      <c r="V137" s="195"/>
      <c r="W137" s="195"/>
      <c r="X137" s="195"/>
      <c r="Y137" s="195"/>
      <c r="Z137" s="195"/>
      <c r="AA137" s="195"/>
      <c r="AB137" s="195"/>
      <c r="AC137" s="195"/>
      <c r="AD137" s="195"/>
    </row>
    <row r="138" spans="1:30" s="196" customFormat="1" ht="15.75" hidden="1" customHeight="1" thickBot="1">
      <c r="A138" s="257"/>
      <c r="B138" s="216"/>
      <c r="C138" s="255" t="s">
        <v>8</v>
      </c>
      <c r="D138" s="256" t="s">
        <v>8</v>
      </c>
      <c r="E138" s="37"/>
      <c r="F138" s="192"/>
      <c r="G138" s="192"/>
      <c r="H138" s="193"/>
      <c r="I138" s="194"/>
      <c r="J138" s="194"/>
      <c r="K138" s="194"/>
      <c r="L138" s="194"/>
      <c r="M138" s="194"/>
      <c r="N138" s="195"/>
      <c r="O138" s="195"/>
      <c r="P138" s="195"/>
      <c r="Q138" s="195"/>
      <c r="R138" s="195"/>
      <c r="S138" s="195"/>
      <c r="T138" s="195"/>
      <c r="U138" s="195"/>
      <c r="V138" s="195"/>
      <c r="W138" s="195"/>
      <c r="X138" s="195"/>
      <c r="Y138" s="195"/>
      <c r="Z138" s="195"/>
      <c r="AA138" s="195"/>
      <c r="AB138" s="195"/>
      <c r="AC138" s="195"/>
      <c r="AD138" s="195"/>
    </row>
    <row r="139" spans="1:30" s="196" customFormat="1" ht="15.75" hidden="1" customHeight="1" thickBot="1">
      <c r="A139" s="257"/>
      <c r="B139" s="216"/>
      <c r="C139" s="255" t="s">
        <v>8</v>
      </c>
      <c r="D139" s="256" t="s">
        <v>8</v>
      </c>
      <c r="E139" s="37"/>
      <c r="F139" s="192"/>
      <c r="G139" s="192"/>
      <c r="H139" s="193"/>
      <c r="I139" s="194"/>
      <c r="J139" s="194"/>
      <c r="K139" s="194"/>
      <c r="L139" s="194"/>
      <c r="M139" s="194"/>
      <c r="N139" s="195"/>
      <c r="O139" s="195"/>
      <c r="P139" s="195"/>
      <c r="Q139" s="195"/>
      <c r="R139" s="195"/>
      <c r="S139" s="195"/>
      <c r="T139" s="195"/>
      <c r="U139" s="195"/>
      <c r="V139" s="195"/>
      <c r="W139" s="195"/>
      <c r="X139" s="195"/>
      <c r="Y139" s="195"/>
      <c r="Z139" s="195"/>
      <c r="AA139" s="195"/>
      <c r="AB139" s="195"/>
      <c r="AC139" s="195"/>
      <c r="AD139" s="195"/>
    </row>
    <row r="140" spans="1:30" s="196" customFormat="1" ht="15.75" hidden="1" customHeight="1" thickBot="1">
      <c r="A140" s="257"/>
      <c r="B140" s="216"/>
      <c r="C140" s="255" t="s">
        <v>8</v>
      </c>
      <c r="D140" s="256" t="s">
        <v>8</v>
      </c>
      <c r="E140" s="37"/>
      <c r="F140" s="192"/>
      <c r="G140" s="192"/>
      <c r="H140" s="193"/>
      <c r="I140" s="194"/>
      <c r="J140" s="194"/>
      <c r="K140" s="194"/>
      <c r="L140" s="194"/>
      <c r="M140" s="194"/>
      <c r="N140" s="195"/>
      <c r="O140" s="195"/>
      <c r="P140" s="195"/>
      <c r="Q140" s="195"/>
      <c r="R140" s="195"/>
      <c r="S140" s="195"/>
      <c r="T140" s="195"/>
      <c r="U140" s="195"/>
      <c r="V140" s="195"/>
      <c r="W140" s="195"/>
      <c r="X140" s="195"/>
      <c r="Y140" s="195"/>
      <c r="Z140" s="195"/>
      <c r="AA140" s="195"/>
      <c r="AB140" s="195"/>
      <c r="AC140" s="195"/>
      <c r="AD140" s="195"/>
    </row>
    <row r="141" spans="1:30" s="196" customFormat="1" ht="15.75" hidden="1" customHeight="1" thickBot="1">
      <c r="A141" s="257"/>
      <c r="B141" s="216"/>
      <c r="C141" s="255" t="s">
        <v>8</v>
      </c>
      <c r="D141" s="256" t="s">
        <v>8</v>
      </c>
      <c r="E141" s="37"/>
      <c r="F141" s="192"/>
      <c r="G141" s="192"/>
      <c r="H141" s="193"/>
      <c r="I141" s="194"/>
      <c r="J141" s="194"/>
      <c r="K141" s="194"/>
      <c r="L141" s="194"/>
      <c r="M141" s="194"/>
      <c r="N141" s="195"/>
      <c r="O141" s="195"/>
      <c r="P141" s="195"/>
      <c r="Q141" s="195"/>
      <c r="R141" s="195"/>
      <c r="S141" s="195"/>
      <c r="T141" s="195"/>
      <c r="U141" s="195"/>
      <c r="V141" s="195"/>
      <c r="W141" s="195"/>
      <c r="X141" s="195"/>
      <c r="Y141" s="195"/>
      <c r="Z141" s="195"/>
      <c r="AA141" s="195"/>
      <c r="AB141" s="195"/>
      <c r="AC141" s="195"/>
      <c r="AD141" s="195"/>
    </row>
    <row r="142" spans="1:30" s="203" customFormat="1" ht="15.75" hidden="1" customHeight="1" thickBot="1">
      <c r="A142" s="257"/>
      <c r="B142" s="216"/>
      <c r="C142" s="255" t="s">
        <v>8</v>
      </c>
      <c r="D142" s="256" t="s">
        <v>8</v>
      </c>
      <c r="E142" s="37"/>
      <c r="F142" s="199"/>
      <c r="G142" s="199"/>
      <c r="H142" s="200"/>
      <c r="I142" s="201"/>
      <c r="J142" s="201"/>
      <c r="K142" s="201"/>
      <c r="L142" s="201"/>
      <c r="M142" s="201"/>
      <c r="N142" s="202"/>
      <c r="O142" s="202"/>
      <c r="P142" s="202"/>
      <c r="Q142" s="202"/>
      <c r="R142" s="202"/>
      <c r="S142" s="202"/>
      <c r="T142" s="202"/>
      <c r="U142" s="202"/>
      <c r="V142" s="202"/>
      <c r="W142" s="202"/>
      <c r="X142" s="202"/>
      <c r="Y142" s="202"/>
      <c r="Z142" s="202"/>
      <c r="AA142" s="202"/>
      <c r="AB142" s="202"/>
      <c r="AC142" s="202"/>
      <c r="AD142" s="202"/>
    </row>
    <row r="143" spans="1:30" s="203" customFormat="1" ht="15.75" hidden="1" customHeight="1" thickBot="1">
      <c r="A143" s="257"/>
      <c r="B143" s="216"/>
      <c r="C143" s="255" t="s">
        <v>8</v>
      </c>
      <c r="D143" s="256" t="s">
        <v>8</v>
      </c>
      <c r="E143" s="37"/>
      <c r="F143" s="199"/>
      <c r="G143" s="199"/>
      <c r="H143" s="200"/>
      <c r="I143" s="201"/>
      <c r="J143" s="201"/>
      <c r="K143" s="201"/>
      <c r="L143" s="201"/>
      <c r="M143" s="201"/>
      <c r="N143" s="202"/>
      <c r="O143" s="202"/>
      <c r="P143" s="202"/>
      <c r="Q143" s="202"/>
      <c r="R143" s="202"/>
      <c r="S143" s="202"/>
      <c r="T143" s="202"/>
      <c r="U143" s="202"/>
      <c r="V143" s="202"/>
      <c r="W143" s="202"/>
      <c r="X143" s="202"/>
      <c r="Y143" s="202"/>
      <c r="Z143" s="202"/>
      <c r="AA143" s="202"/>
      <c r="AB143" s="202"/>
      <c r="AC143" s="202"/>
      <c r="AD143" s="202"/>
    </row>
    <row r="144" spans="1:30" s="203" customFormat="1" ht="15.75" hidden="1" customHeight="1" thickBot="1">
      <c r="A144" s="257"/>
      <c r="B144" s="216"/>
      <c r="C144" s="255" t="s">
        <v>8</v>
      </c>
      <c r="D144" s="256" t="s">
        <v>8</v>
      </c>
      <c r="E144" s="37"/>
      <c r="F144" s="199"/>
      <c r="G144" s="199"/>
      <c r="H144" s="200"/>
      <c r="I144" s="201"/>
      <c r="J144" s="201"/>
      <c r="K144" s="201"/>
      <c r="L144" s="201"/>
      <c r="M144" s="201"/>
      <c r="N144" s="202"/>
      <c r="O144" s="202"/>
      <c r="P144" s="202"/>
      <c r="Q144" s="202"/>
      <c r="R144" s="202"/>
      <c r="S144" s="202"/>
      <c r="T144" s="202"/>
      <c r="U144" s="202"/>
      <c r="V144" s="202"/>
      <c r="W144" s="202"/>
      <c r="X144" s="202"/>
      <c r="Y144" s="202"/>
      <c r="Z144" s="202"/>
      <c r="AA144" s="202"/>
      <c r="AB144" s="202"/>
      <c r="AC144" s="202"/>
      <c r="AD144" s="202"/>
    </row>
    <row r="145" spans="1:30" s="203" customFormat="1" ht="15.75" hidden="1" customHeight="1" thickBot="1">
      <c r="A145" s="257"/>
      <c r="B145" s="216"/>
      <c r="C145" s="255" t="s">
        <v>8</v>
      </c>
      <c r="D145" s="256" t="s">
        <v>8</v>
      </c>
      <c r="E145" s="37"/>
      <c r="F145" s="199"/>
      <c r="G145" s="199"/>
      <c r="H145" s="200"/>
      <c r="I145" s="201"/>
      <c r="J145" s="201"/>
      <c r="K145" s="201"/>
      <c r="L145" s="201"/>
      <c r="M145" s="201"/>
      <c r="N145" s="202"/>
      <c r="O145" s="202"/>
      <c r="P145" s="202"/>
      <c r="Q145" s="202"/>
      <c r="R145" s="202"/>
      <c r="S145" s="202"/>
      <c r="T145" s="202"/>
      <c r="U145" s="202"/>
      <c r="V145" s="202"/>
      <c r="W145" s="202"/>
      <c r="X145" s="202"/>
      <c r="Y145" s="202"/>
      <c r="Z145" s="202"/>
      <c r="AA145" s="202"/>
      <c r="AB145" s="202"/>
      <c r="AC145" s="202"/>
      <c r="AD145" s="202"/>
    </row>
    <row r="146" spans="1:30" s="208" customFormat="1" ht="15.75" hidden="1" customHeight="1" thickBot="1">
      <c r="A146" s="257"/>
      <c r="B146" s="216"/>
      <c r="C146" s="255" t="s">
        <v>8</v>
      </c>
      <c r="D146" s="256" t="s">
        <v>8</v>
      </c>
      <c r="E146" s="37"/>
      <c r="F146" s="204"/>
      <c r="G146" s="204"/>
      <c r="H146" s="205"/>
      <c r="I146" s="206"/>
      <c r="J146" s="206"/>
      <c r="K146" s="206"/>
      <c r="L146" s="206"/>
      <c r="M146" s="206"/>
      <c r="N146" s="207"/>
      <c r="O146" s="207"/>
      <c r="P146" s="207"/>
      <c r="Q146" s="207"/>
      <c r="R146" s="207"/>
      <c r="S146" s="207"/>
      <c r="T146" s="207"/>
      <c r="U146" s="207"/>
      <c r="V146" s="207"/>
      <c r="W146" s="207"/>
      <c r="X146" s="207"/>
      <c r="Y146" s="207"/>
      <c r="Z146" s="207"/>
      <c r="AA146" s="207"/>
      <c r="AB146" s="207"/>
      <c r="AC146" s="207"/>
      <c r="AD146" s="207"/>
    </row>
    <row r="147" spans="1:30" s="208" customFormat="1" ht="15.75" hidden="1" customHeight="1" thickBot="1">
      <c r="A147" s="257"/>
      <c r="B147" s="216"/>
      <c r="C147" s="255" t="s">
        <v>8</v>
      </c>
      <c r="D147" s="256" t="s">
        <v>8</v>
      </c>
      <c r="E147" s="37"/>
      <c r="F147" s="204"/>
      <c r="G147" s="204"/>
      <c r="H147" s="205"/>
      <c r="I147" s="206"/>
      <c r="J147" s="206"/>
      <c r="K147" s="206"/>
      <c r="L147" s="206"/>
      <c r="M147" s="206"/>
      <c r="N147" s="207"/>
      <c r="O147" s="207"/>
      <c r="P147" s="207"/>
      <c r="Q147" s="207"/>
      <c r="R147" s="207"/>
      <c r="S147" s="207"/>
      <c r="T147" s="207"/>
      <c r="U147" s="207"/>
      <c r="V147" s="207"/>
      <c r="W147" s="207"/>
      <c r="X147" s="207"/>
      <c r="Y147" s="207"/>
      <c r="Z147" s="207"/>
      <c r="AA147" s="207"/>
      <c r="AB147" s="207"/>
      <c r="AC147" s="207"/>
      <c r="AD147" s="207"/>
    </row>
    <row r="148" spans="1:30" s="208" customFormat="1" ht="15.75" hidden="1" customHeight="1" thickBot="1">
      <c r="A148" s="257"/>
      <c r="B148" s="216"/>
      <c r="C148" s="255" t="s">
        <v>8</v>
      </c>
      <c r="D148" s="256" t="s">
        <v>8</v>
      </c>
      <c r="E148" s="37"/>
      <c r="F148" s="204"/>
      <c r="G148" s="204"/>
      <c r="H148" s="205"/>
      <c r="I148" s="206"/>
      <c r="J148" s="206"/>
      <c r="K148" s="206"/>
      <c r="L148" s="206"/>
      <c r="M148" s="206"/>
      <c r="N148" s="207"/>
      <c r="O148" s="207"/>
      <c r="P148" s="207"/>
      <c r="Q148" s="207"/>
      <c r="R148" s="207"/>
      <c r="S148" s="207"/>
      <c r="T148" s="207"/>
      <c r="U148" s="207"/>
      <c r="V148" s="207"/>
      <c r="W148" s="207"/>
      <c r="X148" s="207"/>
      <c r="Y148" s="207"/>
      <c r="Z148" s="207"/>
      <c r="AA148" s="207"/>
      <c r="AB148" s="207"/>
      <c r="AC148" s="207"/>
      <c r="AD148" s="207"/>
    </row>
    <row r="149" spans="1:30" s="208" customFormat="1" ht="15.75" hidden="1" customHeight="1" thickBot="1">
      <c r="A149" s="257"/>
      <c r="B149" s="216"/>
      <c r="C149" s="255" t="s">
        <v>8</v>
      </c>
      <c r="D149" s="256" t="s">
        <v>8</v>
      </c>
      <c r="E149" s="37"/>
      <c r="F149" s="204"/>
      <c r="G149" s="204"/>
      <c r="H149" s="205"/>
      <c r="I149" s="206"/>
      <c r="J149" s="206"/>
      <c r="K149" s="206"/>
      <c r="L149" s="206"/>
      <c r="M149" s="206"/>
      <c r="N149" s="207"/>
      <c r="O149" s="207"/>
      <c r="P149" s="207"/>
      <c r="Q149" s="207"/>
      <c r="R149" s="207"/>
      <c r="S149" s="207"/>
      <c r="T149" s="207"/>
      <c r="U149" s="207"/>
      <c r="V149" s="207"/>
      <c r="W149" s="207"/>
      <c r="X149" s="207"/>
      <c r="Y149" s="207"/>
      <c r="Z149" s="207"/>
      <c r="AA149" s="207"/>
      <c r="AB149" s="207"/>
      <c r="AC149" s="207"/>
      <c r="AD149" s="207"/>
    </row>
    <row r="150" spans="1:30" s="208" customFormat="1" ht="15.75" hidden="1" customHeight="1" thickBot="1">
      <c r="A150" s="257"/>
      <c r="B150" s="216"/>
      <c r="C150" s="255" t="s">
        <v>8</v>
      </c>
      <c r="D150" s="256" t="s">
        <v>8</v>
      </c>
      <c r="E150" s="37"/>
      <c r="F150" s="204"/>
      <c r="G150" s="204"/>
      <c r="H150" s="205"/>
      <c r="I150" s="206"/>
      <c r="J150" s="206"/>
      <c r="K150" s="206"/>
      <c r="L150" s="206"/>
      <c r="M150" s="206"/>
      <c r="N150" s="207"/>
      <c r="O150" s="207"/>
      <c r="P150" s="207"/>
      <c r="Q150" s="207"/>
      <c r="R150" s="207"/>
      <c r="S150" s="207"/>
      <c r="T150" s="207"/>
      <c r="U150" s="207"/>
      <c r="V150" s="207"/>
      <c r="W150" s="207"/>
      <c r="X150" s="207"/>
      <c r="Y150" s="207"/>
      <c r="Z150" s="207"/>
      <c r="AA150" s="207"/>
      <c r="AB150" s="207"/>
      <c r="AC150" s="207"/>
      <c r="AD150" s="207"/>
    </row>
    <row r="151" spans="1:30" s="208" customFormat="1" ht="15.75" hidden="1" customHeight="1" thickBot="1">
      <c r="A151" s="257"/>
      <c r="B151" s="216"/>
      <c r="C151" s="255" t="s">
        <v>8</v>
      </c>
      <c r="D151" s="256" t="s">
        <v>8</v>
      </c>
      <c r="E151" s="37"/>
      <c r="F151" s="204"/>
      <c r="G151" s="204"/>
      <c r="H151" s="205"/>
      <c r="I151" s="206"/>
      <c r="J151" s="206"/>
      <c r="K151" s="206"/>
      <c r="L151" s="206"/>
      <c r="M151" s="206"/>
      <c r="N151" s="207"/>
      <c r="O151" s="207"/>
      <c r="P151" s="207"/>
      <c r="Q151" s="207"/>
      <c r="R151" s="207"/>
      <c r="S151" s="207"/>
      <c r="T151" s="207"/>
      <c r="U151" s="207"/>
      <c r="V151" s="207"/>
      <c r="W151" s="207"/>
      <c r="X151" s="207"/>
      <c r="Y151" s="207"/>
      <c r="Z151" s="207"/>
      <c r="AA151" s="207"/>
      <c r="AB151" s="207"/>
      <c r="AC151" s="207"/>
      <c r="AD151" s="207"/>
    </row>
    <row r="152" spans="1:30" s="208" customFormat="1" ht="15.75" hidden="1" customHeight="1" thickBot="1">
      <c r="A152" s="257"/>
      <c r="B152" s="216"/>
      <c r="C152" s="255" t="s">
        <v>8</v>
      </c>
      <c r="D152" s="256" t="s">
        <v>8</v>
      </c>
      <c r="E152" s="37"/>
      <c r="F152" s="204"/>
      <c r="G152" s="204"/>
      <c r="H152" s="205"/>
      <c r="I152" s="206"/>
      <c r="J152" s="206"/>
      <c r="K152" s="206"/>
      <c r="L152" s="206"/>
      <c r="M152" s="206"/>
      <c r="N152" s="207"/>
      <c r="O152" s="207"/>
      <c r="P152" s="207"/>
      <c r="Q152" s="207"/>
      <c r="R152" s="207"/>
      <c r="S152" s="207"/>
      <c r="T152" s="207"/>
      <c r="U152" s="207"/>
      <c r="V152" s="207"/>
      <c r="W152" s="207"/>
      <c r="X152" s="207"/>
      <c r="Y152" s="207"/>
      <c r="Z152" s="207"/>
      <c r="AA152" s="207"/>
      <c r="AB152" s="207"/>
      <c r="AC152" s="207"/>
      <c r="AD152" s="207"/>
    </row>
    <row r="153" spans="1:30" s="208" customFormat="1" ht="15.75" hidden="1" customHeight="1" thickBot="1">
      <c r="A153" s="257"/>
      <c r="B153" s="216"/>
      <c r="C153" s="255" t="s">
        <v>8</v>
      </c>
      <c r="D153" s="256" t="s">
        <v>8</v>
      </c>
      <c r="E153" s="37"/>
      <c r="F153" s="204"/>
      <c r="G153" s="204"/>
      <c r="H153" s="205"/>
      <c r="I153" s="206"/>
      <c r="J153" s="206"/>
      <c r="K153" s="206"/>
      <c r="L153" s="206"/>
      <c r="M153" s="206"/>
      <c r="N153" s="207"/>
      <c r="O153" s="207"/>
      <c r="P153" s="207"/>
      <c r="Q153" s="207"/>
      <c r="R153" s="207"/>
      <c r="S153" s="207"/>
      <c r="T153" s="207"/>
      <c r="U153" s="207"/>
      <c r="V153" s="207"/>
      <c r="W153" s="207"/>
      <c r="X153" s="207"/>
      <c r="Y153" s="207"/>
      <c r="Z153" s="207"/>
      <c r="AA153" s="207"/>
      <c r="AB153" s="207"/>
      <c r="AC153" s="207"/>
      <c r="AD153" s="207"/>
    </row>
    <row r="154" spans="1:30" s="196" customFormat="1" ht="15.75" hidden="1" customHeight="1" thickBot="1">
      <c r="A154" s="257"/>
      <c r="B154" s="216"/>
      <c r="C154" s="255" t="s">
        <v>8</v>
      </c>
      <c r="D154" s="256" t="s">
        <v>8</v>
      </c>
      <c r="E154" s="37"/>
      <c r="F154" s="192"/>
      <c r="G154" s="192"/>
      <c r="H154" s="193"/>
      <c r="I154" s="194"/>
      <c r="J154" s="194"/>
      <c r="K154" s="194"/>
      <c r="L154" s="194"/>
      <c r="M154" s="194"/>
      <c r="N154" s="195"/>
      <c r="O154" s="195"/>
      <c r="P154" s="195"/>
      <c r="Q154" s="195"/>
      <c r="R154" s="195"/>
      <c r="S154" s="195"/>
      <c r="T154" s="195"/>
      <c r="U154" s="195"/>
      <c r="V154" s="195"/>
      <c r="W154" s="195"/>
      <c r="X154" s="195"/>
      <c r="Y154" s="195"/>
      <c r="Z154" s="195"/>
      <c r="AA154" s="195"/>
      <c r="AB154" s="195"/>
      <c r="AC154" s="195"/>
      <c r="AD154" s="195"/>
    </row>
    <row r="155" spans="1:30" s="196" customFormat="1" ht="15.75" hidden="1" customHeight="1" thickBot="1">
      <c r="A155" s="257"/>
      <c r="B155" s="216"/>
      <c r="C155" s="255" t="s">
        <v>8</v>
      </c>
      <c r="D155" s="256" t="s">
        <v>8</v>
      </c>
      <c r="E155" s="37"/>
      <c r="F155" s="192"/>
      <c r="G155" s="192"/>
      <c r="H155" s="193"/>
      <c r="I155" s="194"/>
      <c r="J155" s="194"/>
      <c r="K155" s="194"/>
      <c r="L155" s="194"/>
      <c r="M155" s="194"/>
      <c r="N155" s="195"/>
      <c r="O155" s="195"/>
      <c r="P155" s="195"/>
      <c r="Q155" s="195"/>
      <c r="R155" s="195"/>
      <c r="S155" s="195"/>
      <c r="T155" s="195"/>
      <c r="U155" s="195"/>
      <c r="V155" s="195"/>
      <c r="W155" s="195"/>
      <c r="X155" s="195"/>
      <c r="Y155" s="195"/>
      <c r="Z155" s="195"/>
      <c r="AA155" s="195"/>
      <c r="AB155" s="195"/>
      <c r="AC155" s="195"/>
      <c r="AD155" s="195"/>
    </row>
    <row r="156" spans="1:30" s="196" customFormat="1" ht="15.75" hidden="1" customHeight="1" thickBot="1">
      <c r="A156" s="257"/>
      <c r="B156" s="216"/>
      <c r="C156" s="255" t="s">
        <v>8</v>
      </c>
      <c r="D156" s="256" t="s">
        <v>8</v>
      </c>
      <c r="E156" s="37"/>
      <c r="F156" s="192"/>
      <c r="G156" s="192"/>
      <c r="H156" s="193"/>
      <c r="I156" s="194"/>
      <c r="J156" s="194"/>
      <c r="K156" s="194"/>
      <c r="L156" s="194"/>
      <c r="M156" s="194"/>
      <c r="N156" s="195"/>
      <c r="O156" s="195"/>
      <c r="P156" s="195"/>
      <c r="Q156" s="195"/>
      <c r="R156" s="195"/>
      <c r="S156" s="195"/>
      <c r="T156" s="195"/>
      <c r="U156" s="195"/>
      <c r="V156" s="195"/>
      <c r="W156" s="195"/>
      <c r="X156" s="195"/>
      <c r="Y156" s="195"/>
      <c r="Z156" s="195"/>
      <c r="AA156" s="195"/>
      <c r="AB156" s="195"/>
      <c r="AC156" s="195"/>
      <c r="AD156" s="195"/>
    </row>
    <row r="157" spans="1:30" s="196" customFormat="1" ht="15.75" hidden="1" customHeight="1" thickBot="1">
      <c r="A157" s="257"/>
      <c r="B157" s="216"/>
      <c r="C157" s="255" t="s">
        <v>8</v>
      </c>
      <c r="D157" s="256" t="s">
        <v>8</v>
      </c>
      <c r="E157" s="37"/>
      <c r="F157" s="192"/>
      <c r="G157" s="192"/>
      <c r="H157" s="193"/>
      <c r="I157" s="194"/>
      <c r="J157" s="194"/>
      <c r="K157" s="194"/>
      <c r="L157" s="194"/>
      <c r="M157" s="194"/>
      <c r="N157" s="195"/>
      <c r="O157" s="195"/>
      <c r="P157" s="195"/>
      <c r="Q157" s="195"/>
      <c r="R157" s="195"/>
      <c r="S157" s="195"/>
      <c r="T157" s="195"/>
      <c r="U157" s="195"/>
      <c r="V157" s="195"/>
      <c r="W157" s="195"/>
      <c r="X157" s="195"/>
      <c r="Y157" s="195"/>
      <c r="Z157" s="195"/>
      <c r="AA157" s="195"/>
      <c r="AB157" s="195"/>
      <c r="AC157" s="195"/>
      <c r="AD157" s="195"/>
    </row>
    <row r="158" spans="1:30" s="196" customFormat="1" ht="15.75" hidden="1" customHeight="1" thickBot="1">
      <c r="A158" s="257"/>
      <c r="B158" s="216"/>
      <c r="C158" s="255" t="s">
        <v>8</v>
      </c>
      <c r="D158" s="256" t="s">
        <v>8</v>
      </c>
      <c r="E158" s="37"/>
      <c r="F158" s="192"/>
      <c r="G158" s="192"/>
      <c r="H158" s="193"/>
      <c r="I158" s="194"/>
      <c r="J158" s="194"/>
      <c r="K158" s="194"/>
      <c r="L158" s="194"/>
      <c r="M158" s="194"/>
      <c r="N158" s="195"/>
      <c r="O158" s="195"/>
      <c r="P158" s="195"/>
      <c r="Q158" s="195"/>
      <c r="R158" s="195"/>
      <c r="S158" s="195"/>
      <c r="T158" s="195"/>
      <c r="U158" s="195"/>
      <c r="V158" s="195"/>
      <c r="W158" s="195"/>
      <c r="X158" s="195"/>
      <c r="Y158" s="195"/>
      <c r="Z158" s="195"/>
      <c r="AA158" s="195"/>
      <c r="AB158" s="195"/>
      <c r="AC158" s="195"/>
      <c r="AD158" s="195"/>
    </row>
    <row r="159" spans="1:30" s="203" customFormat="1" ht="15.75" hidden="1" customHeight="1" thickBot="1">
      <c r="A159" s="257"/>
      <c r="B159" s="216"/>
      <c r="C159" s="255" t="s">
        <v>8</v>
      </c>
      <c r="D159" s="256" t="s">
        <v>8</v>
      </c>
      <c r="E159" s="37"/>
      <c r="F159" s="199"/>
      <c r="G159" s="199"/>
      <c r="H159" s="200"/>
      <c r="I159" s="201"/>
      <c r="J159" s="201"/>
      <c r="K159" s="201"/>
      <c r="L159" s="201"/>
      <c r="M159" s="201"/>
      <c r="N159" s="202"/>
      <c r="O159" s="202"/>
      <c r="P159" s="202"/>
      <c r="Q159" s="202"/>
      <c r="R159" s="202"/>
      <c r="S159" s="202"/>
      <c r="T159" s="202"/>
      <c r="U159" s="202"/>
      <c r="V159" s="202"/>
      <c r="W159" s="202"/>
      <c r="X159" s="202"/>
      <c r="Y159" s="202"/>
      <c r="Z159" s="202"/>
      <c r="AA159" s="202"/>
      <c r="AB159" s="202"/>
      <c r="AC159" s="202"/>
      <c r="AD159" s="202"/>
    </row>
    <row r="160" spans="1:30" s="203" customFormat="1" ht="15.75" hidden="1" customHeight="1" thickBot="1">
      <c r="A160" s="284"/>
      <c r="B160" s="216"/>
      <c r="C160" s="110" t="s">
        <v>8</v>
      </c>
      <c r="D160" s="189" t="s">
        <v>8</v>
      </c>
      <c r="E160" s="37"/>
      <c r="F160" s="199"/>
      <c r="G160" s="199"/>
      <c r="H160" s="200"/>
      <c r="I160" s="201"/>
      <c r="J160" s="201"/>
      <c r="K160" s="201"/>
      <c r="L160" s="201"/>
      <c r="M160" s="201"/>
      <c r="N160" s="202"/>
      <c r="O160" s="202"/>
      <c r="P160" s="202"/>
      <c r="Q160" s="202"/>
      <c r="R160" s="202"/>
      <c r="S160" s="202"/>
      <c r="T160" s="202"/>
      <c r="U160" s="202"/>
      <c r="V160" s="202"/>
      <c r="W160" s="202"/>
      <c r="X160" s="202"/>
      <c r="Y160" s="202"/>
      <c r="Z160" s="202"/>
      <c r="AA160" s="202"/>
      <c r="AB160" s="202"/>
      <c r="AC160" s="202"/>
      <c r="AD160" s="202"/>
    </row>
    <row r="161" spans="1:30" s="203" customFormat="1" ht="15.75" hidden="1" customHeight="1" thickBot="1">
      <c r="A161" s="284"/>
      <c r="B161" s="216"/>
      <c r="C161" s="110" t="s">
        <v>8</v>
      </c>
      <c r="D161" s="189" t="s">
        <v>8</v>
      </c>
      <c r="E161" s="37"/>
      <c r="F161" s="199"/>
      <c r="G161" s="199"/>
      <c r="H161" s="200"/>
      <c r="I161" s="201"/>
      <c r="J161" s="201"/>
      <c r="K161" s="201"/>
      <c r="L161" s="201"/>
      <c r="M161" s="201"/>
      <c r="N161" s="202"/>
      <c r="O161" s="202"/>
      <c r="P161" s="202"/>
      <c r="Q161" s="202"/>
      <c r="R161" s="202"/>
      <c r="S161" s="202"/>
      <c r="T161" s="202"/>
      <c r="U161" s="202"/>
      <c r="V161" s="202"/>
      <c r="W161" s="202"/>
      <c r="X161" s="202"/>
      <c r="Y161" s="202"/>
      <c r="Z161" s="202"/>
      <c r="AA161" s="202"/>
      <c r="AB161" s="202"/>
      <c r="AC161" s="202"/>
      <c r="AD161" s="202"/>
    </row>
    <row r="162" spans="1:30" s="203" customFormat="1" ht="15.75" hidden="1" customHeight="1" thickBot="1">
      <c r="A162" s="284"/>
      <c r="B162" s="216"/>
      <c r="C162" s="110" t="s">
        <v>8</v>
      </c>
      <c r="D162" s="189" t="s">
        <v>8</v>
      </c>
      <c r="E162" s="37"/>
      <c r="F162" s="199"/>
      <c r="G162" s="199"/>
      <c r="H162" s="200"/>
      <c r="I162" s="201"/>
      <c r="J162" s="201"/>
      <c r="K162" s="201"/>
      <c r="L162" s="201"/>
      <c r="M162" s="201"/>
      <c r="N162" s="202"/>
      <c r="O162" s="202"/>
      <c r="P162" s="202"/>
      <c r="Q162" s="202"/>
      <c r="R162" s="202"/>
      <c r="S162" s="202"/>
      <c r="T162" s="202"/>
      <c r="U162" s="202"/>
      <c r="V162" s="202"/>
      <c r="W162" s="202"/>
      <c r="X162" s="202"/>
      <c r="Y162" s="202"/>
      <c r="Z162" s="202"/>
      <c r="AA162" s="202"/>
      <c r="AB162" s="202"/>
      <c r="AC162" s="202"/>
      <c r="AD162" s="202"/>
    </row>
    <row r="163" spans="1:30" s="208" customFormat="1" ht="15.75" hidden="1" customHeight="1" thickBot="1">
      <c r="A163" s="284"/>
      <c r="B163" s="216"/>
      <c r="C163" s="110" t="s">
        <v>8</v>
      </c>
      <c r="D163" s="189" t="s">
        <v>8</v>
      </c>
      <c r="E163" s="37"/>
      <c r="F163" s="204"/>
      <c r="G163" s="204"/>
      <c r="H163" s="205"/>
      <c r="I163" s="206"/>
      <c r="J163" s="206"/>
      <c r="K163" s="206"/>
      <c r="L163" s="206"/>
      <c r="M163" s="206"/>
      <c r="N163" s="207"/>
      <c r="O163" s="207"/>
      <c r="P163" s="207"/>
      <c r="Q163" s="207"/>
      <c r="R163" s="207"/>
      <c r="S163" s="207"/>
      <c r="T163" s="207"/>
      <c r="U163" s="207"/>
      <c r="V163" s="207"/>
      <c r="W163" s="207"/>
      <c r="X163" s="207"/>
      <c r="Y163" s="207"/>
      <c r="Z163" s="207"/>
      <c r="AA163" s="207"/>
      <c r="AB163" s="207"/>
      <c r="AC163" s="207"/>
      <c r="AD163" s="207"/>
    </row>
    <row r="164" spans="1:30" s="208" customFormat="1" ht="15.75" hidden="1" customHeight="1" thickBot="1">
      <c r="A164" s="284"/>
      <c r="B164" s="216"/>
      <c r="C164" s="110" t="s">
        <v>8</v>
      </c>
      <c r="D164" s="189" t="s">
        <v>8</v>
      </c>
      <c r="E164" s="37"/>
      <c r="F164" s="204"/>
      <c r="G164" s="204"/>
      <c r="H164" s="205"/>
      <c r="I164" s="206"/>
      <c r="J164" s="206"/>
      <c r="K164" s="206"/>
      <c r="L164" s="206"/>
      <c r="M164" s="206"/>
      <c r="N164" s="207"/>
      <c r="O164" s="207"/>
      <c r="P164" s="207"/>
      <c r="Q164" s="207"/>
      <c r="R164" s="207"/>
      <c r="S164" s="207"/>
      <c r="T164" s="207"/>
      <c r="U164" s="207"/>
      <c r="V164" s="207"/>
      <c r="W164" s="207"/>
      <c r="X164" s="207"/>
      <c r="Y164" s="207"/>
      <c r="Z164" s="207"/>
      <c r="AA164" s="207"/>
      <c r="AB164" s="207"/>
      <c r="AC164" s="207"/>
      <c r="AD164" s="207"/>
    </row>
    <row r="165" spans="1:30" s="208" customFormat="1" ht="15.75" hidden="1" customHeight="1" thickBot="1">
      <c r="A165" s="284"/>
      <c r="B165" s="216"/>
      <c r="C165" s="110" t="s">
        <v>8</v>
      </c>
      <c r="D165" s="189" t="s">
        <v>8</v>
      </c>
      <c r="E165" s="37"/>
      <c r="F165" s="204"/>
      <c r="G165" s="204"/>
      <c r="H165" s="205"/>
      <c r="I165" s="206"/>
      <c r="J165" s="206"/>
      <c r="K165" s="206"/>
      <c r="L165" s="206"/>
      <c r="M165" s="206"/>
      <c r="N165" s="207"/>
      <c r="O165" s="207"/>
      <c r="P165" s="207"/>
      <c r="Q165" s="207"/>
      <c r="R165" s="207"/>
      <c r="S165" s="207"/>
      <c r="T165" s="207"/>
      <c r="U165" s="207"/>
      <c r="V165" s="207"/>
      <c r="W165" s="207"/>
      <c r="X165" s="207"/>
      <c r="Y165" s="207"/>
      <c r="Z165" s="207"/>
      <c r="AA165" s="207"/>
      <c r="AB165" s="207"/>
      <c r="AC165" s="207"/>
      <c r="AD165" s="207"/>
    </row>
    <row r="166" spans="1:30" s="208" customFormat="1" ht="15.75" hidden="1" customHeight="1" thickBot="1">
      <c r="A166" s="284"/>
      <c r="B166" s="216"/>
      <c r="C166" s="110" t="s">
        <v>8</v>
      </c>
      <c r="D166" s="189" t="s">
        <v>8</v>
      </c>
      <c r="E166" s="37"/>
      <c r="F166" s="204"/>
      <c r="G166" s="204"/>
      <c r="H166" s="205"/>
      <c r="I166" s="206"/>
      <c r="J166" s="206"/>
      <c r="K166" s="206"/>
      <c r="L166" s="206"/>
      <c r="M166" s="206"/>
      <c r="N166" s="207"/>
      <c r="O166" s="207"/>
      <c r="P166" s="207"/>
      <c r="Q166" s="207"/>
      <c r="R166" s="207"/>
      <c r="S166" s="207"/>
      <c r="T166" s="207"/>
      <c r="U166" s="207"/>
      <c r="V166" s="207"/>
      <c r="W166" s="207"/>
      <c r="X166" s="207"/>
      <c r="Y166" s="207"/>
      <c r="Z166" s="207"/>
      <c r="AA166" s="207"/>
      <c r="AB166" s="207"/>
      <c r="AC166" s="207"/>
      <c r="AD166" s="207"/>
    </row>
    <row r="167" spans="1:30" s="208" customFormat="1" ht="15.75" hidden="1" customHeight="1" thickBot="1">
      <c r="A167" s="284"/>
      <c r="B167" s="216"/>
      <c r="C167" s="110" t="s">
        <v>8</v>
      </c>
      <c r="D167" s="189" t="s">
        <v>8</v>
      </c>
      <c r="E167" s="37"/>
      <c r="F167" s="204"/>
      <c r="G167" s="204"/>
      <c r="H167" s="205"/>
      <c r="I167" s="206"/>
      <c r="J167" s="206"/>
      <c r="K167" s="206"/>
      <c r="L167" s="206"/>
      <c r="M167" s="206"/>
      <c r="N167" s="207"/>
      <c r="O167" s="207"/>
      <c r="P167" s="207"/>
      <c r="Q167" s="207"/>
      <c r="R167" s="207"/>
      <c r="S167" s="207"/>
      <c r="T167" s="207"/>
      <c r="U167" s="207"/>
      <c r="V167" s="207"/>
      <c r="W167" s="207"/>
      <c r="X167" s="207"/>
      <c r="Y167" s="207"/>
      <c r="Z167" s="207"/>
      <c r="AA167" s="207"/>
      <c r="AB167" s="207"/>
      <c r="AC167" s="207"/>
      <c r="AD167" s="207"/>
    </row>
    <row r="168" spans="1:30" s="208" customFormat="1" ht="15.75" hidden="1" customHeight="1" thickBot="1">
      <c r="A168" s="284"/>
      <c r="B168" s="216"/>
      <c r="C168" s="110" t="s">
        <v>8</v>
      </c>
      <c r="D168" s="189" t="s">
        <v>8</v>
      </c>
      <c r="E168" s="37"/>
      <c r="F168" s="204"/>
      <c r="G168" s="204"/>
      <c r="H168" s="205"/>
      <c r="I168" s="206"/>
      <c r="J168" s="206"/>
      <c r="K168" s="206"/>
      <c r="L168" s="206"/>
      <c r="M168" s="206"/>
      <c r="N168" s="207"/>
      <c r="O168" s="207"/>
      <c r="P168" s="207"/>
      <c r="Q168" s="207"/>
      <c r="R168" s="207"/>
      <c r="S168" s="207"/>
      <c r="T168" s="207"/>
      <c r="U168" s="207"/>
      <c r="V168" s="207"/>
      <c r="W168" s="207"/>
      <c r="X168" s="207"/>
      <c r="Y168" s="207"/>
      <c r="Z168" s="207"/>
      <c r="AA168" s="207"/>
      <c r="AB168" s="207"/>
      <c r="AC168" s="207"/>
      <c r="AD168" s="207"/>
    </row>
    <row r="169" spans="1:30" s="208" customFormat="1" ht="15.75" hidden="1" customHeight="1" thickBot="1">
      <c r="A169" s="284"/>
      <c r="B169" s="216"/>
      <c r="C169" s="110" t="s">
        <v>8</v>
      </c>
      <c r="D169" s="189" t="s">
        <v>8</v>
      </c>
      <c r="E169" s="37"/>
      <c r="F169" s="204"/>
      <c r="G169" s="204"/>
      <c r="H169" s="205"/>
      <c r="I169" s="206"/>
      <c r="J169" s="206"/>
      <c r="K169" s="206"/>
      <c r="L169" s="206"/>
      <c r="M169" s="206"/>
      <c r="N169" s="207"/>
      <c r="O169" s="207"/>
      <c r="P169" s="207"/>
      <c r="Q169" s="207"/>
      <c r="R169" s="207"/>
      <c r="S169" s="207"/>
      <c r="T169" s="207"/>
      <c r="U169" s="207"/>
      <c r="V169" s="207"/>
      <c r="W169" s="207"/>
      <c r="X169" s="207"/>
      <c r="Y169" s="207"/>
      <c r="Z169" s="207"/>
      <c r="AA169" s="207"/>
      <c r="AB169" s="207"/>
      <c r="AC169" s="207"/>
      <c r="AD169" s="207"/>
    </row>
    <row r="170" spans="1:30" s="208" customFormat="1" ht="15.75" hidden="1" customHeight="1" thickBot="1">
      <c r="A170" s="284"/>
      <c r="B170" s="216"/>
      <c r="C170" s="110" t="s">
        <v>8</v>
      </c>
      <c r="D170" s="189" t="s">
        <v>8</v>
      </c>
      <c r="E170" s="37"/>
      <c r="F170" s="204"/>
      <c r="G170" s="204"/>
      <c r="H170" s="205"/>
      <c r="I170" s="206"/>
      <c r="J170" s="206"/>
      <c r="K170" s="206"/>
      <c r="L170" s="206"/>
      <c r="M170" s="206"/>
      <c r="N170" s="207"/>
      <c r="O170" s="207"/>
      <c r="P170" s="207"/>
      <c r="Q170" s="207"/>
      <c r="R170" s="207"/>
      <c r="S170" s="207"/>
      <c r="T170" s="207"/>
      <c r="U170" s="207"/>
      <c r="V170" s="207"/>
      <c r="W170" s="207"/>
      <c r="X170" s="207"/>
      <c r="Y170" s="207"/>
      <c r="Z170" s="207"/>
      <c r="AA170" s="207"/>
      <c r="AB170" s="207"/>
      <c r="AC170" s="207"/>
      <c r="AD170" s="207"/>
    </row>
    <row r="171" spans="1:30" s="208" customFormat="1" ht="15.75" hidden="1" customHeight="1" thickBot="1">
      <c r="A171" s="284"/>
      <c r="B171" s="216"/>
      <c r="C171" s="110" t="s">
        <v>8</v>
      </c>
      <c r="D171" s="189" t="s">
        <v>8</v>
      </c>
      <c r="E171" s="37"/>
      <c r="F171" s="204"/>
      <c r="G171" s="204"/>
      <c r="H171" s="205"/>
      <c r="I171" s="206"/>
      <c r="J171" s="206"/>
      <c r="K171" s="206"/>
      <c r="L171" s="206"/>
      <c r="M171" s="206"/>
      <c r="N171" s="207"/>
      <c r="O171" s="207"/>
      <c r="P171" s="207"/>
      <c r="Q171" s="207"/>
      <c r="R171" s="207"/>
      <c r="S171" s="207"/>
      <c r="T171" s="207"/>
      <c r="U171" s="207"/>
      <c r="V171" s="207"/>
      <c r="W171" s="207"/>
      <c r="X171" s="207"/>
      <c r="Y171" s="207"/>
      <c r="Z171" s="207"/>
      <c r="AA171" s="207"/>
      <c r="AB171" s="207"/>
      <c r="AC171" s="207"/>
      <c r="AD171" s="207"/>
    </row>
    <row r="172" spans="1:30" s="196" customFormat="1" ht="15.75" hidden="1" customHeight="1" thickBot="1">
      <c r="A172" s="284"/>
      <c r="B172" s="216"/>
      <c r="C172" s="110" t="s">
        <v>8</v>
      </c>
      <c r="D172" s="189" t="s">
        <v>8</v>
      </c>
      <c r="E172" s="37"/>
      <c r="F172" s="192"/>
      <c r="G172" s="192"/>
      <c r="H172" s="193"/>
      <c r="I172" s="194"/>
      <c r="J172" s="194"/>
      <c r="K172" s="194"/>
      <c r="L172" s="194"/>
      <c r="M172" s="194"/>
      <c r="N172" s="195"/>
      <c r="O172" s="195"/>
      <c r="P172" s="195"/>
      <c r="Q172" s="195"/>
      <c r="R172" s="195"/>
      <c r="S172" s="195"/>
      <c r="T172" s="195"/>
      <c r="U172" s="195"/>
      <c r="V172" s="195"/>
      <c r="W172" s="195"/>
      <c r="X172" s="195"/>
      <c r="Y172" s="195"/>
      <c r="Z172" s="195"/>
      <c r="AA172" s="195"/>
      <c r="AB172" s="195"/>
      <c r="AC172" s="195"/>
      <c r="AD172" s="195"/>
    </row>
    <row r="173" spans="1:30" s="196" customFormat="1" ht="15.75" hidden="1" customHeight="1" thickBot="1">
      <c r="A173" s="284"/>
      <c r="B173" s="216"/>
      <c r="C173" s="110" t="s">
        <v>8</v>
      </c>
      <c r="D173" s="189" t="s">
        <v>8</v>
      </c>
      <c r="E173" s="37"/>
      <c r="F173" s="192"/>
      <c r="G173" s="192"/>
      <c r="H173" s="193"/>
      <c r="I173" s="194"/>
      <c r="J173" s="194"/>
      <c r="K173" s="194"/>
      <c r="L173" s="194"/>
      <c r="M173" s="194"/>
      <c r="N173" s="195"/>
      <c r="O173" s="195"/>
      <c r="P173" s="195"/>
      <c r="Q173" s="195"/>
      <c r="R173" s="195"/>
      <c r="S173" s="195"/>
      <c r="T173" s="195"/>
      <c r="U173" s="195"/>
      <c r="V173" s="195"/>
      <c r="W173" s="195"/>
      <c r="X173" s="195"/>
      <c r="Y173" s="195"/>
      <c r="Z173" s="195"/>
      <c r="AA173" s="195"/>
      <c r="AB173" s="195"/>
      <c r="AC173" s="195"/>
      <c r="AD173" s="195"/>
    </row>
    <row r="174" spans="1:30" s="196" customFormat="1" ht="15.75" hidden="1" customHeight="1" thickBot="1">
      <c r="A174" s="284"/>
      <c r="B174" s="216"/>
      <c r="C174" s="110" t="s">
        <v>8</v>
      </c>
      <c r="D174" s="189" t="s">
        <v>8</v>
      </c>
      <c r="E174" s="37"/>
      <c r="F174" s="192"/>
      <c r="G174" s="192"/>
      <c r="H174" s="193"/>
      <c r="I174" s="194"/>
      <c r="J174" s="194"/>
      <c r="K174" s="194"/>
      <c r="L174" s="194"/>
      <c r="M174" s="194"/>
      <c r="N174" s="195"/>
      <c r="O174" s="195"/>
      <c r="P174" s="195"/>
      <c r="Q174" s="195"/>
      <c r="R174" s="195"/>
      <c r="S174" s="195"/>
      <c r="T174" s="195"/>
      <c r="U174" s="195"/>
      <c r="V174" s="195"/>
      <c r="W174" s="195"/>
      <c r="X174" s="195"/>
      <c r="Y174" s="195"/>
      <c r="Z174" s="195"/>
      <c r="AA174" s="195"/>
      <c r="AB174" s="195"/>
      <c r="AC174" s="195"/>
      <c r="AD174" s="195"/>
    </row>
    <row r="175" spans="1:30" s="196" customFormat="1" ht="15.75" hidden="1" customHeight="1" thickBot="1">
      <c r="A175" s="284"/>
      <c r="B175" s="216"/>
      <c r="C175" s="110" t="s">
        <v>8</v>
      </c>
      <c r="D175" s="189" t="s">
        <v>8</v>
      </c>
      <c r="E175" s="37"/>
      <c r="F175" s="192"/>
      <c r="G175" s="192"/>
      <c r="H175" s="193"/>
      <c r="I175" s="194"/>
      <c r="J175" s="194"/>
      <c r="K175" s="194"/>
      <c r="L175" s="194"/>
      <c r="M175" s="194"/>
      <c r="N175" s="195"/>
      <c r="O175" s="195"/>
      <c r="P175" s="195"/>
      <c r="Q175" s="195"/>
      <c r="R175" s="195"/>
      <c r="S175" s="195"/>
      <c r="T175" s="195"/>
      <c r="U175" s="195"/>
      <c r="V175" s="195"/>
      <c r="W175" s="195"/>
      <c r="X175" s="195"/>
      <c r="Y175" s="195"/>
      <c r="Z175" s="195"/>
      <c r="AA175" s="195"/>
      <c r="AB175" s="195"/>
      <c r="AC175" s="195"/>
      <c r="AD175" s="195"/>
    </row>
    <row r="176" spans="1:30" s="196" customFormat="1" ht="15.75" hidden="1" customHeight="1" thickBot="1">
      <c r="A176" s="284"/>
      <c r="B176" s="216"/>
      <c r="C176" s="110" t="s">
        <v>8</v>
      </c>
      <c r="D176" s="189" t="s">
        <v>8</v>
      </c>
      <c r="E176" s="37"/>
      <c r="F176" s="192"/>
      <c r="G176" s="192"/>
      <c r="H176" s="193"/>
      <c r="I176" s="194"/>
      <c r="J176" s="194"/>
      <c r="K176" s="194"/>
      <c r="L176" s="194"/>
      <c r="M176" s="194"/>
      <c r="N176" s="195"/>
      <c r="O176" s="195"/>
      <c r="P176" s="195"/>
      <c r="Q176" s="195"/>
      <c r="R176" s="195"/>
      <c r="S176" s="195"/>
      <c r="T176" s="195"/>
      <c r="U176" s="195"/>
      <c r="V176" s="195"/>
      <c r="W176" s="195"/>
      <c r="X176" s="195"/>
      <c r="Y176" s="195"/>
      <c r="Z176" s="195"/>
      <c r="AA176" s="195"/>
      <c r="AB176" s="195"/>
      <c r="AC176" s="195"/>
      <c r="AD176" s="195"/>
    </row>
    <row r="177" spans="1:30" s="196" customFormat="1" ht="15.75" hidden="1" customHeight="1" thickBot="1">
      <c r="A177" s="284"/>
      <c r="B177" s="216"/>
      <c r="C177" s="110" t="s">
        <v>8</v>
      </c>
      <c r="D177" s="189" t="s">
        <v>8</v>
      </c>
      <c r="E177" s="37"/>
      <c r="F177" s="192"/>
      <c r="G177" s="192"/>
      <c r="H177" s="193"/>
      <c r="I177" s="194"/>
      <c r="J177" s="194"/>
      <c r="K177" s="194"/>
      <c r="L177" s="194"/>
      <c r="M177" s="194"/>
      <c r="N177" s="195"/>
      <c r="O177" s="195"/>
      <c r="P177" s="195"/>
      <c r="Q177" s="195"/>
      <c r="R177" s="195"/>
      <c r="S177" s="195"/>
      <c r="T177" s="195"/>
      <c r="U177" s="195"/>
      <c r="V177" s="195"/>
      <c r="W177" s="195"/>
      <c r="X177" s="195"/>
      <c r="Y177" s="195"/>
      <c r="Z177" s="195"/>
      <c r="AA177" s="195"/>
      <c r="AB177" s="195"/>
      <c r="AC177" s="195"/>
      <c r="AD177" s="195"/>
    </row>
    <row r="178" spans="1:30" s="203" customFormat="1" ht="15.75" hidden="1" customHeight="1" thickBot="1">
      <c r="A178" s="284"/>
      <c r="B178" s="216"/>
      <c r="C178" s="110" t="s">
        <v>8</v>
      </c>
      <c r="D178" s="189" t="s">
        <v>8</v>
      </c>
      <c r="E178" s="37"/>
      <c r="F178" s="199"/>
      <c r="G178" s="199"/>
      <c r="H178" s="200"/>
      <c r="I178" s="201"/>
      <c r="J178" s="201"/>
      <c r="K178" s="201"/>
      <c r="L178" s="201"/>
      <c r="M178" s="201"/>
      <c r="N178" s="202"/>
      <c r="O178" s="202"/>
      <c r="P178" s="202"/>
      <c r="Q178" s="202"/>
      <c r="R178" s="202"/>
      <c r="S178" s="202"/>
      <c r="T178" s="202"/>
      <c r="U178" s="202"/>
      <c r="V178" s="202"/>
      <c r="W178" s="202"/>
      <c r="X178" s="202"/>
      <c r="Y178" s="202"/>
      <c r="Z178" s="202"/>
      <c r="AA178" s="202"/>
      <c r="AB178" s="202"/>
      <c r="AC178" s="202"/>
      <c r="AD178" s="202"/>
    </row>
    <row r="179" spans="1:30" s="203" customFormat="1" ht="15.75" hidden="1" customHeight="1" thickBot="1">
      <c r="A179" s="284"/>
      <c r="B179" s="216"/>
      <c r="C179" s="110" t="s">
        <v>8</v>
      </c>
      <c r="D179" s="189" t="s">
        <v>8</v>
      </c>
      <c r="E179" s="37"/>
      <c r="F179" s="199"/>
      <c r="G179" s="199"/>
      <c r="H179" s="200"/>
      <c r="I179" s="201"/>
      <c r="J179" s="201"/>
      <c r="K179" s="201"/>
      <c r="L179" s="201"/>
      <c r="M179" s="201"/>
      <c r="N179" s="202"/>
      <c r="O179" s="202"/>
      <c r="P179" s="202"/>
      <c r="Q179" s="202"/>
      <c r="R179" s="202"/>
      <c r="S179" s="202"/>
      <c r="T179" s="202"/>
      <c r="U179" s="202"/>
      <c r="V179" s="202"/>
      <c r="W179" s="202"/>
      <c r="X179" s="202"/>
      <c r="Y179" s="202"/>
      <c r="Z179" s="202"/>
      <c r="AA179" s="202"/>
      <c r="AB179" s="202"/>
      <c r="AC179" s="202"/>
      <c r="AD179" s="202"/>
    </row>
    <row r="180" spans="1:30" s="203" customFormat="1" ht="15.75" hidden="1" customHeight="1" thickBot="1">
      <c r="A180" s="284"/>
      <c r="B180" s="216"/>
      <c r="C180" s="110" t="s">
        <v>8</v>
      </c>
      <c r="D180" s="189" t="s">
        <v>8</v>
      </c>
      <c r="E180" s="37"/>
      <c r="F180" s="199"/>
      <c r="G180" s="199"/>
      <c r="H180" s="200"/>
      <c r="I180" s="201"/>
      <c r="J180" s="201"/>
      <c r="K180" s="201"/>
      <c r="L180" s="201"/>
      <c r="M180" s="201"/>
      <c r="N180" s="202"/>
      <c r="O180" s="202"/>
      <c r="P180" s="202"/>
      <c r="Q180" s="202"/>
      <c r="R180" s="202"/>
      <c r="S180" s="202"/>
      <c r="T180" s="202"/>
      <c r="U180" s="202"/>
      <c r="V180" s="202"/>
      <c r="W180" s="202"/>
      <c r="X180" s="202"/>
      <c r="Y180" s="202"/>
      <c r="Z180" s="202"/>
      <c r="AA180" s="202"/>
      <c r="AB180" s="202"/>
      <c r="AC180" s="202"/>
      <c r="AD180" s="202"/>
    </row>
    <row r="181" spans="1:30" s="203" customFormat="1" ht="15.75" hidden="1" customHeight="1" thickBot="1">
      <c r="A181" s="284"/>
      <c r="B181" s="216"/>
      <c r="C181" s="110" t="s">
        <v>8</v>
      </c>
      <c r="D181" s="189" t="s">
        <v>8</v>
      </c>
      <c r="E181" s="37"/>
      <c r="F181" s="199"/>
      <c r="G181" s="199"/>
      <c r="H181" s="200"/>
      <c r="I181" s="201"/>
      <c r="J181" s="201"/>
      <c r="K181" s="201"/>
      <c r="L181" s="201"/>
      <c r="M181" s="201"/>
      <c r="N181" s="202"/>
      <c r="O181" s="202"/>
      <c r="P181" s="202"/>
      <c r="Q181" s="202"/>
      <c r="R181" s="202"/>
      <c r="S181" s="202"/>
      <c r="T181" s="202"/>
      <c r="U181" s="202"/>
      <c r="V181" s="202"/>
      <c r="W181" s="202"/>
      <c r="X181" s="202"/>
      <c r="Y181" s="202"/>
      <c r="Z181" s="202"/>
      <c r="AA181" s="202"/>
      <c r="AB181" s="202"/>
      <c r="AC181" s="202"/>
      <c r="AD181" s="202"/>
    </row>
    <row r="182" spans="1:30" s="208" customFormat="1" ht="15.75" hidden="1" customHeight="1" thickBot="1">
      <c r="A182" s="284"/>
      <c r="B182" s="216"/>
      <c r="C182" s="110" t="s">
        <v>8</v>
      </c>
      <c r="D182" s="189" t="s">
        <v>8</v>
      </c>
      <c r="E182" s="37"/>
      <c r="F182" s="204"/>
      <c r="G182" s="204"/>
      <c r="H182" s="205"/>
      <c r="I182" s="206"/>
      <c r="J182" s="206"/>
      <c r="K182" s="206"/>
      <c r="L182" s="206"/>
      <c r="M182" s="206"/>
      <c r="N182" s="207"/>
      <c r="O182" s="207"/>
      <c r="P182" s="207"/>
      <c r="Q182" s="207"/>
      <c r="R182" s="207"/>
      <c r="S182" s="207"/>
      <c r="T182" s="207"/>
      <c r="U182" s="207"/>
      <c r="V182" s="207"/>
      <c r="W182" s="207"/>
      <c r="X182" s="207"/>
      <c r="Y182" s="207"/>
      <c r="Z182" s="207"/>
      <c r="AA182" s="207"/>
      <c r="AB182" s="207"/>
      <c r="AC182" s="207"/>
      <c r="AD182" s="207"/>
    </row>
    <row r="183" spans="1:30" s="208" customFormat="1" ht="15.75" hidden="1" customHeight="1" thickBot="1">
      <c r="A183" s="284"/>
      <c r="B183" s="216"/>
      <c r="C183" s="110" t="s">
        <v>8</v>
      </c>
      <c r="D183" s="189" t="s">
        <v>8</v>
      </c>
      <c r="E183" s="37"/>
      <c r="F183" s="204"/>
      <c r="G183" s="204"/>
      <c r="H183" s="205"/>
      <c r="I183" s="206"/>
      <c r="J183" s="206"/>
      <c r="K183" s="206"/>
      <c r="L183" s="206"/>
      <c r="M183" s="206"/>
      <c r="N183" s="207"/>
      <c r="O183" s="207"/>
      <c r="P183" s="207"/>
      <c r="Q183" s="207"/>
      <c r="R183" s="207"/>
      <c r="S183" s="207"/>
      <c r="T183" s="207"/>
      <c r="U183" s="207"/>
      <c r="V183" s="207"/>
      <c r="W183" s="207"/>
      <c r="X183" s="207"/>
      <c r="Y183" s="207"/>
      <c r="Z183" s="207"/>
      <c r="AA183" s="207"/>
      <c r="AB183" s="207"/>
      <c r="AC183" s="207"/>
      <c r="AD183" s="207"/>
    </row>
    <row r="184" spans="1:30" s="208" customFormat="1" ht="15.75" hidden="1" customHeight="1" thickBot="1">
      <c r="A184" s="284"/>
      <c r="B184" s="216"/>
      <c r="C184" s="110" t="s">
        <v>8</v>
      </c>
      <c r="D184" s="189" t="s">
        <v>8</v>
      </c>
      <c r="E184" s="37"/>
      <c r="F184" s="204"/>
      <c r="G184" s="204"/>
      <c r="H184" s="205"/>
      <c r="I184" s="206"/>
      <c r="J184" s="206"/>
      <c r="K184" s="206"/>
      <c r="L184" s="206"/>
      <c r="M184" s="206"/>
      <c r="N184" s="207"/>
      <c r="O184" s="207"/>
      <c r="P184" s="207"/>
      <c r="Q184" s="207"/>
      <c r="R184" s="207"/>
      <c r="S184" s="207"/>
      <c r="T184" s="207"/>
      <c r="U184" s="207"/>
      <c r="V184" s="207"/>
      <c r="W184" s="207"/>
      <c r="X184" s="207"/>
      <c r="Y184" s="207"/>
      <c r="Z184" s="207"/>
      <c r="AA184" s="207"/>
      <c r="AB184" s="207"/>
      <c r="AC184" s="207"/>
      <c r="AD184" s="207"/>
    </row>
    <row r="185" spans="1:30" s="208" customFormat="1" ht="15.75" hidden="1" customHeight="1" thickBot="1">
      <c r="A185" s="284"/>
      <c r="B185" s="216"/>
      <c r="C185" s="110" t="s">
        <v>8</v>
      </c>
      <c r="D185" s="189" t="s">
        <v>8</v>
      </c>
      <c r="E185" s="37"/>
      <c r="F185" s="204"/>
      <c r="G185" s="204"/>
      <c r="H185" s="205"/>
      <c r="I185" s="206"/>
      <c r="J185" s="206"/>
      <c r="K185" s="206"/>
      <c r="L185" s="206"/>
      <c r="M185" s="206"/>
      <c r="N185" s="207"/>
      <c r="O185" s="207"/>
      <c r="P185" s="207"/>
      <c r="Q185" s="207"/>
      <c r="R185" s="207"/>
      <c r="S185" s="207"/>
      <c r="T185" s="207"/>
      <c r="U185" s="207"/>
      <c r="V185" s="207"/>
      <c r="W185" s="207"/>
      <c r="X185" s="207"/>
      <c r="Y185" s="207"/>
      <c r="Z185" s="207"/>
      <c r="AA185" s="207"/>
      <c r="AB185" s="207"/>
      <c r="AC185" s="207"/>
      <c r="AD185" s="207"/>
    </row>
    <row r="186" spans="1:30" s="208" customFormat="1" ht="15.75" hidden="1" customHeight="1" thickBot="1">
      <c r="A186" s="284"/>
      <c r="B186" s="216"/>
      <c r="C186" s="110" t="s">
        <v>8</v>
      </c>
      <c r="D186" s="189" t="s">
        <v>8</v>
      </c>
      <c r="E186" s="37"/>
      <c r="F186" s="204"/>
      <c r="G186" s="204"/>
      <c r="H186" s="205"/>
      <c r="I186" s="206"/>
      <c r="J186" s="206"/>
      <c r="K186" s="206"/>
      <c r="L186" s="206"/>
      <c r="M186" s="206"/>
      <c r="N186" s="207"/>
      <c r="O186" s="207"/>
      <c r="P186" s="207"/>
      <c r="Q186" s="207"/>
      <c r="R186" s="207"/>
      <c r="S186" s="207"/>
      <c r="T186" s="207"/>
      <c r="U186" s="207"/>
      <c r="V186" s="207"/>
      <c r="W186" s="207"/>
      <c r="X186" s="207"/>
      <c r="Y186" s="207"/>
      <c r="Z186" s="207"/>
      <c r="AA186" s="207"/>
      <c r="AB186" s="207"/>
      <c r="AC186" s="207"/>
      <c r="AD186" s="207"/>
    </row>
    <row r="187" spans="1:30" s="208" customFormat="1" ht="15.75" hidden="1" customHeight="1" thickBot="1">
      <c r="A187" s="284"/>
      <c r="B187" s="216"/>
      <c r="C187" s="110" t="s">
        <v>8</v>
      </c>
      <c r="D187" s="189" t="s">
        <v>8</v>
      </c>
      <c r="E187" s="37"/>
      <c r="F187" s="204"/>
      <c r="G187" s="204"/>
      <c r="H187" s="205"/>
      <c r="I187" s="206"/>
      <c r="J187" s="206"/>
      <c r="K187" s="206"/>
      <c r="L187" s="206"/>
      <c r="M187" s="206"/>
      <c r="N187" s="207"/>
      <c r="O187" s="207"/>
      <c r="P187" s="207"/>
      <c r="Q187" s="207"/>
      <c r="R187" s="207"/>
      <c r="S187" s="207"/>
      <c r="T187" s="207"/>
      <c r="U187" s="207"/>
      <c r="V187" s="207"/>
      <c r="W187" s="207"/>
      <c r="X187" s="207"/>
      <c r="Y187" s="207"/>
      <c r="Z187" s="207"/>
      <c r="AA187" s="207"/>
      <c r="AB187" s="207"/>
      <c r="AC187" s="207"/>
      <c r="AD187" s="207"/>
    </row>
    <row r="188" spans="1:30" s="208" customFormat="1" ht="15.75" hidden="1" customHeight="1" thickBot="1">
      <c r="A188" s="284"/>
      <c r="B188" s="216"/>
      <c r="C188" s="110" t="s">
        <v>8</v>
      </c>
      <c r="D188" s="189" t="s">
        <v>8</v>
      </c>
      <c r="E188" s="37"/>
      <c r="F188" s="204"/>
      <c r="G188" s="204"/>
      <c r="H188" s="205"/>
      <c r="I188" s="206"/>
      <c r="J188" s="206"/>
      <c r="K188" s="206"/>
      <c r="L188" s="206"/>
      <c r="M188" s="206"/>
      <c r="N188" s="207"/>
      <c r="O188" s="207"/>
      <c r="P188" s="207"/>
      <c r="Q188" s="207"/>
      <c r="R188" s="207"/>
      <c r="S188" s="207"/>
      <c r="T188" s="207"/>
      <c r="U188" s="207"/>
      <c r="V188" s="207"/>
      <c r="W188" s="207"/>
      <c r="X188" s="207"/>
      <c r="Y188" s="207"/>
      <c r="Z188" s="207"/>
      <c r="AA188" s="207"/>
      <c r="AB188" s="207"/>
      <c r="AC188" s="207"/>
      <c r="AD188" s="207"/>
    </row>
    <row r="189" spans="1:30" s="196" customFormat="1" ht="15.75" hidden="1" customHeight="1" thickBot="1">
      <c r="A189" s="284"/>
      <c r="B189" s="216"/>
      <c r="C189" s="110" t="s">
        <v>8</v>
      </c>
      <c r="D189" s="189" t="s">
        <v>8</v>
      </c>
      <c r="E189" s="37"/>
      <c r="F189" s="192"/>
      <c r="G189" s="192"/>
      <c r="H189" s="193"/>
      <c r="I189" s="194"/>
      <c r="J189" s="194"/>
      <c r="K189" s="194"/>
      <c r="L189" s="194"/>
      <c r="M189" s="194"/>
      <c r="N189" s="195"/>
      <c r="O189" s="195"/>
      <c r="P189" s="195"/>
      <c r="Q189" s="195"/>
      <c r="R189" s="195"/>
      <c r="S189" s="195"/>
      <c r="T189" s="195"/>
      <c r="U189" s="195"/>
      <c r="V189" s="195"/>
      <c r="W189" s="195"/>
      <c r="X189" s="195"/>
      <c r="Y189" s="195"/>
      <c r="Z189" s="195"/>
      <c r="AA189" s="195"/>
      <c r="AB189" s="195"/>
      <c r="AC189" s="195"/>
      <c r="AD189" s="195"/>
    </row>
    <row r="190" spans="1:30" s="196" customFormat="1" ht="15.75" hidden="1" customHeight="1" thickBot="1">
      <c r="A190" s="262"/>
      <c r="B190" s="259"/>
      <c r="C190" s="197" t="s">
        <v>8</v>
      </c>
      <c r="D190" s="198" t="s">
        <v>8</v>
      </c>
      <c r="E190" s="37"/>
      <c r="F190" s="192"/>
      <c r="G190" s="192"/>
      <c r="H190" s="193"/>
      <c r="I190" s="194"/>
      <c r="J190" s="194"/>
      <c r="K190" s="194"/>
      <c r="L190" s="194"/>
      <c r="M190" s="194"/>
      <c r="N190" s="195"/>
      <c r="O190" s="195"/>
      <c r="P190" s="195"/>
      <c r="Q190" s="195"/>
      <c r="R190" s="195"/>
      <c r="S190" s="195"/>
      <c r="T190" s="195"/>
      <c r="U190" s="195"/>
      <c r="V190" s="195"/>
      <c r="W190" s="195"/>
      <c r="X190" s="195"/>
      <c r="Y190" s="195"/>
      <c r="Z190" s="195"/>
      <c r="AA190" s="195"/>
      <c r="AB190" s="195"/>
      <c r="AC190" s="195"/>
      <c r="AD190" s="195"/>
    </row>
    <row r="191" spans="1:30" s="196" customFormat="1" ht="15.75" hidden="1" customHeight="1" thickBot="1">
      <c r="A191" s="262"/>
      <c r="B191" s="260"/>
      <c r="C191" s="197" t="s">
        <v>8</v>
      </c>
      <c r="D191" s="198" t="s">
        <v>8</v>
      </c>
      <c r="E191" s="37"/>
      <c r="F191" s="192"/>
      <c r="G191" s="192"/>
      <c r="H191" s="193"/>
      <c r="I191" s="194"/>
      <c r="J191" s="194"/>
      <c r="K191" s="194"/>
      <c r="L191" s="194"/>
      <c r="M191" s="194"/>
      <c r="N191" s="195"/>
      <c r="O191" s="195"/>
      <c r="P191" s="195"/>
      <c r="Q191" s="195"/>
      <c r="R191" s="195"/>
      <c r="S191" s="195"/>
      <c r="T191" s="195"/>
      <c r="U191" s="195"/>
      <c r="V191" s="195"/>
      <c r="W191" s="195"/>
      <c r="X191" s="195"/>
      <c r="Y191" s="195"/>
      <c r="Z191" s="195"/>
      <c r="AA191" s="195"/>
      <c r="AB191" s="195"/>
      <c r="AC191" s="195"/>
      <c r="AD191" s="195"/>
    </row>
    <row r="192" spans="1:30" s="203" customFormat="1" ht="15.75" hidden="1" customHeight="1" thickBot="1">
      <c r="A192" s="262"/>
      <c r="B192" s="259"/>
      <c r="C192" s="197" t="s">
        <v>8</v>
      </c>
      <c r="D192" s="198" t="s">
        <v>8</v>
      </c>
      <c r="E192" s="37"/>
      <c r="F192" s="199"/>
      <c r="G192" s="199"/>
      <c r="H192" s="200"/>
      <c r="I192" s="201"/>
      <c r="J192" s="201"/>
      <c r="K192" s="201"/>
      <c r="L192" s="201"/>
      <c r="M192" s="201"/>
      <c r="N192" s="202"/>
      <c r="O192" s="202"/>
      <c r="P192" s="202"/>
      <c r="Q192" s="202"/>
      <c r="R192" s="202"/>
      <c r="S192" s="202"/>
      <c r="T192" s="202"/>
      <c r="U192" s="202"/>
      <c r="V192" s="202"/>
      <c r="W192" s="202"/>
      <c r="X192" s="202"/>
      <c r="Y192" s="202"/>
      <c r="Z192" s="202"/>
      <c r="AA192" s="202"/>
      <c r="AB192" s="202"/>
      <c r="AC192" s="202"/>
      <c r="AD192" s="202"/>
    </row>
    <row r="193" spans="1:30" s="203" customFormat="1" ht="15.75" hidden="1" customHeight="1" thickBot="1">
      <c r="A193" s="262"/>
      <c r="B193" s="260"/>
      <c r="C193" s="197" t="s">
        <v>8</v>
      </c>
      <c r="D193" s="198" t="s">
        <v>8</v>
      </c>
      <c r="E193" s="37"/>
      <c r="F193" s="199"/>
      <c r="G193" s="199"/>
      <c r="H193" s="200"/>
      <c r="I193" s="201"/>
      <c r="J193" s="201"/>
      <c r="K193" s="201"/>
      <c r="L193" s="201"/>
      <c r="M193" s="201"/>
      <c r="N193" s="202"/>
      <c r="O193" s="202"/>
      <c r="P193" s="202"/>
      <c r="Q193" s="202"/>
      <c r="R193" s="202"/>
      <c r="S193" s="202"/>
      <c r="T193" s="202"/>
      <c r="U193" s="202"/>
      <c r="V193" s="202"/>
      <c r="W193" s="202"/>
      <c r="X193" s="202"/>
      <c r="Y193" s="202"/>
      <c r="Z193" s="202"/>
      <c r="AA193" s="202"/>
      <c r="AB193" s="202"/>
      <c r="AC193" s="202"/>
      <c r="AD193" s="202"/>
    </row>
    <row r="194" spans="1:30" s="203" customFormat="1" ht="15.75" hidden="1" customHeight="1" thickBot="1">
      <c r="A194" s="262"/>
      <c r="B194" s="259"/>
      <c r="C194" s="197" t="s">
        <v>8</v>
      </c>
      <c r="D194" s="198" t="s">
        <v>8</v>
      </c>
      <c r="E194" s="37"/>
      <c r="F194" s="199"/>
      <c r="G194" s="199"/>
      <c r="H194" s="200"/>
      <c r="I194" s="201"/>
      <c r="J194" s="201"/>
      <c r="K194" s="201"/>
      <c r="L194" s="201"/>
      <c r="M194" s="201"/>
      <c r="N194" s="202"/>
      <c r="O194" s="202"/>
      <c r="P194" s="202"/>
      <c r="Q194" s="202"/>
      <c r="R194" s="202"/>
      <c r="S194" s="202"/>
      <c r="T194" s="202"/>
      <c r="U194" s="202"/>
      <c r="V194" s="202"/>
      <c r="W194" s="202"/>
      <c r="X194" s="202"/>
      <c r="Y194" s="202"/>
      <c r="Z194" s="202"/>
      <c r="AA194" s="202"/>
      <c r="AB194" s="202"/>
      <c r="AC194" s="202"/>
      <c r="AD194" s="202"/>
    </row>
    <row r="195" spans="1:30" s="203" customFormat="1" ht="15.75" hidden="1" customHeight="1" thickBot="1">
      <c r="A195" s="262"/>
      <c r="B195" s="259"/>
      <c r="C195" s="197" t="s">
        <v>8</v>
      </c>
      <c r="D195" s="198" t="s">
        <v>8</v>
      </c>
      <c r="E195" s="37"/>
      <c r="F195" s="199"/>
      <c r="G195" s="199"/>
      <c r="H195" s="200"/>
      <c r="I195" s="201"/>
      <c r="J195" s="201"/>
      <c r="K195" s="201"/>
      <c r="L195" s="201"/>
      <c r="M195" s="201"/>
      <c r="N195" s="202"/>
      <c r="O195" s="202"/>
      <c r="P195" s="202"/>
      <c r="Q195" s="202"/>
      <c r="R195" s="202"/>
      <c r="S195" s="202"/>
      <c r="T195" s="202"/>
      <c r="U195" s="202"/>
      <c r="V195" s="202"/>
      <c r="W195" s="202"/>
      <c r="X195" s="202"/>
      <c r="Y195" s="202"/>
      <c r="Z195" s="202"/>
      <c r="AA195" s="202"/>
      <c r="AB195" s="202"/>
      <c r="AC195" s="202"/>
      <c r="AD195" s="202"/>
    </row>
    <row r="196" spans="1:30" s="208" customFormat="1" ht="15.75" hidden="1" customHeight="1" thickBot="1">
      <c r="A196" s="262"/>
      <c r="B196" s="260"/>
      <c r="C196" s="197" t="s">
        <v>8</v>
      </c>
      <c r="D196" s="198" t="s">
        <v>8</v>
      </c>
      <c r="E196" s="37"/>
      <c r="F196" s="204"/>
      <c r="G196" s="204"/>
      <c r="H196" s="205"/>
      <c r="I196" s="206"/>
      <c r="J196" s="206"/>
      <c r="K196" s="206"/>
      <c r="L196" s="206"/>
      <c r="M196" s="206"/>
      <c r="N196" s="207"/>
      <c r="O196" s="207"/>
      <c r="P196" s="207"/>
      <c r="Q196" s="207"/>
      <c r="R196" s="207"/>
      <c r="S196" s="207"/>
      <c r="T196" s="207"/>
      <c r="U196" s="207"/>
      <c r="V196" s="207"/>
      <c r="W196" s="207"/>
      <c r="X196" s="207"/>
      <c r="Y196" s="207"/>
      <c r="Z196" s="207"/>
      <c r="AA196" s="207"/>
      <c r="AB196" s="207"/>
      <c r="AC196" s="207"/>
      <c r="AD196" s="207"/>
    </row>
    <row r="197" spans="1:30" s="208" customFormat="1" ht="15.75" hidden="1" customHeight="1" thickBot="1">
      <c r="A197" s="262"/>
      <c r="B197" s="260"/>
      <c r="C197" s="197" t="s">
        <v>8</v>
      </c>
      <c r="D197" s="198" t="s">
        <v>8</v>
      </c>
      <c r="E197" s="37"/>
      <c r="F197" s="204"/>
      <c r="G197" s="204"/>
      <c r="H197" s="205"/>
      <c r="I197" s="206"/>
      <c r="J197" s="206"/>
      <c r="K197" s="206"/>
      <c r="L197" s="206"/>
      <c r="M197" s="206"/>
      <c r="N197" s="207"/>
      <c r="O197" s="207"/>
      <c r="P197" s="207"/>
      <c r="Q197" s="207"/>
      <c r="R197" s="207"/>
      <c r="S197" s="207"/>
      <c r="T197" s="207"/>
      <c r="U197" s="207"/>
      <c r="V197" s="207"/>
      <c r="W197" s="207"/>
      <c r="X197" s="207"/>
      <c r="Y197" s="207"/>
      <c r="Z197" s="207"/>
      <c r="AA197" s="207"/>
      <c r="AB197" s="207"/>
      <c r="AC197" s="207"/>
      <c r="AD197" s="207"/>
    </row>
    <row r="198" spans="1:30" s="208" customFormat="1" ht="15.75" hidden="1" customHeight="1" thickBot="1">
      <c r="A198" s="262"/>
      <c r="B198" s="260"/>
      <c r="C198" s="197" t="s">
        <v>8</v>
      </c>
      <c r="D198" s="198" t="s">
        <v>8</v>
      </c>
      <c r="E198" s="37"/>
      <c r="F198" s="204"/>
      <c r="G198" s="204"/>
      <c r="H198" s="205"/>
      <c r="I198" s="206"/>
      <c r="J198" s="206"/>
      <c r="K198" s="206"/>
      <c r="L198" s="206"/>
      <c r="M198" s="206"/>
      <c r="N198" s="207"/>
      <c r="O198" s="207"/>
      <c r="P198" s="207"/>
      <c r="Q198" s="207"/>
      <c r="R198" s="207"/>
      <c r="S198" s="207"/>
      <c r="T198" s="207"/>
      <c r="U198" s="207"/>
      <c r="V198" s="207"/>
      <c r="W198" s="207"/>
      <c r="X198" s="207"/>
      <c r="Y198" s="207"/>
      <c r="Z198" s="207"/>
      <c r="AA198" s="207"/>
      <c r="AB198" s="207"/>
      <c r="AC198" s="207"/>
      <c r="AD198" s="207"/>
    </row>
    <row r="199" spans="1:30" s="208" customFormat="1" ht="15.75" hidden="1" customHeight="1" thickBot="1">
      <c r="A199" s="262"/>
      <c r="B199" s="260"/>
      <c r="C199" s="197" t="s">
        <v>8</v>
      </c>
      <c r="D199" s="198" t="s">
        <v>8</v>
      </c>
      <c r="E199" s="37"/>
      <c r="F199" s="204"/>
      <c r="G199" s="204"/>
      <c r="H199" s="205"/>
      <c r="I199" s="206"/>
      <c r="J199" s="206"/>
      <c r="K199" s="206"/>
      <c r="L199" s="206"/>
      <c r="M199" s="206"/>
      <c r="N199" s="207"/>
      <c r="O199" s="207"/>
      <c r="P199" s="207"/>
      <c r="Q199" s="207"/>
      <c r="R199" s="207"/>
      <c r="S199" s="207"/>
      <c r="T199" s="207"/>
      <c r="U199" s="207"/>
      <c r="V199" s="207"/>
      <c r="W199" s="207"/>
      <c r="X199" s="207"/>
      <c r="Y199" s="207"/>
      <c r="Z199" s="207"/>
      <c r="AA199" s="207"/>
      <c r="AB199" s="207"/>
      <c r="AC199" s="207"/>
      <c r="AD199" s="207"/>
    </row>
    <row r="200" spans="1:30" s="208" customFormat="1" ht="15.75" hidden="1" customHeight="1" thickBot="1">
      <c r="A200" s="262"/>
      <c r="B200" s="260"/>
      <c r="C200" s="197" t="s">
        <v>8</v>
      </c>
      <c r="D200" s="198" t="s">
        <v>8</v>
      </c>
      <c r="E200" s="37"/>
      <c r="F200" s="204"/>
      <c r="G200" s="204"/>
      <c r="H200" s="205"/>
      <c r="I200" s="206"/>
      <c r="J200" s="206"/>
      <c r="K200" s="206"/>
      <c r="L200" s="206"/>
      <c r="M200" s="206"/>
      <c r="N200" s="207"/>
      <c r="O200" s="207"/>
      <c r="P200" s="207"/>
      <c r="Q200" s="207"/>
      <c r="R200" s="207"/>
      <c r="S200" s="207"/>
      <c r="T200" s="207"/>
      <c r="U200" s="207"/>
      <c r="V200" s="207"/>
      <c r="W200" s="207"/>
      <c r="X200" s="207"/>
      <c r="Y200" s="207"/>
      <c r="Z200" s="207"/>
      <c r="AA200" s="207"/>
      <c r="AB200" s="207"/>
      <c r="AC200" s="207"/>
      <c r="AD200" s="207"/>
    </row>
    <row r="201" spans="1:30" s="208" customFormat="1" ht="15.75" hidden="1" customHeight="1" thickBot="1">
      <c r="A201" s="262"/>
      <c r="B201" s="260"/>
      <c r="C201" s="197" t="s">
        <v>8</v>
      </c>
      <c r="D201" s="198" t="s">
        <v>8</v>
      </c>
      <c r="E201" s="37"/>
      <c r="F201" s="204"/>
      <c r="G201" s="204"/>
      <c r="H201" s="205"/>
      <c r="I201" s="206"/>
      <c r="J201" s="206"/>
      <c r="K201" s="206"/>
      <c r="L201" s="206"/>
      <c r="M201" s="206"/>
      <c r="N201" s="207"/>
      <c r="O201" s="207"/>
      <c r="P201" s="207"/>
      <c r="Q201" s="207"/>
      <c r="R201" s="207"/>
      <c r="S201" s="207"/>
      <c r="T201" s="207"/>
      <c r="U201" s="207"/>
      <c r="V201" s="207"/>
      <c r="W201" s="207"/>
      <c r="X201" s="207"/>
      <c r="Y201" s="207"/>
      <c r="Z201" s="207"/>
      <c r="AA201" s="207"/>
      <c r="AB201" s="207"/>
      <c r="AC201" s="207"/>
      <c r="AD201" s="207"/>
    </row>
    <row r="202" spans="1:30" s="208" customFormat="1" ht="15.75" hidden="1" customHeight="1" thickBot="1">
      <c r="A202" s="262"/>
      <c r="B202" s="260"/>
      <c r="C202" s="197" t="s">
        <v>8</v>
      </c>
      <c r="D202" s="198" t="s">
        <v>8</v>
      </c>
      <c r="E202" s="37"/>
      <c r="F202" s="204"/>
      <c r="G202" s="204"/>
      <c r="H202" s="205"/>
      <c r="I202" s="206"/>
      <c r="J202" s="206"/>
      <c r="K202" s="206"/>
      <c r="L202" s="206"/>
      <c r="M202" s="206"/>
      <c r="N202" s="207"/>
      <c r="O202" s="207"/>
      <c r="P202" s="207"/>
      <c r="Q202" s="207"/>
      <c r="R202" s="207"/>
      <c r="S202" s="207"/>
      <c r="T202" s="207"/>
      <c r="U202" s="207"/>
      <c r="V202" s="207"/>
      <c r="W202" s="207"/>
      <c r="X202" s="207"/>
      <c r="Y202" s="207"/>
      <c r="Z202" s="207"/>
      <c r="AA202" s="207"/>
      <c r="AB202" s="207"/>
      <c r="AC202" s="207"/>
      <c r="AD202" s="207"/>
    </row>
    <row r="203" spans="1:30" s="208" customFormat="1" ht="15.75" hidden="1" customHeight="1" thickBot="1">
      <c r="A203" s="262"/>
      <c r="B203" s="260"/>
      <c r="C203" s="197" t="s">
        <v>8</v>
      </c>
      <c r="D203" s="198" t="s">
        <v>8</v>
      </c>
      <c r="E203" s="37"/>
      <c r="F203" s="204"/>
      <c r="G203" s="204"/>
      <c r="H203" s="205"/>
      <c r="I203" s="206"/>
      <c r="J203" s="206"/>
      <c r="K203" s="206"/>
      <c r="L203" s="206"/>
      <c r="M203" s="206"/>
      <c r="N203" s="207"/>
      <c r="O203" s="207"/>
      <c r="P203" s="207"/>
      <c r="Q203" s="207"/>
      <c r="R203" s="207"/>
      <c r="S203" s="207"/>
      <c r="T203" s="207"/>
      <c r="U203" s="207"/>
      <c r="V203" s="207"/>
      <c r="W203" s="207"/>
      <c r="X203" s="207"/>
      <c r="Y203" s="207"/>
      <c r="Z203" s="207"/>
      <c r="AA203" s="207"/>
      <c r="AB203" s="207"/>
      <c r="AC203" s="207"/>
      <c r="AD203" s="207"/>
    </row>
    <row r="204" spans="1:30" s="208" customFormat="1" ht="15.75" hidden="1" customHeight="1" thickBot="1">
      <c r="A204" s="262"/>
      <c r="B204" s="260"/>
      <c r="C204" s="197" t="s">
        <v>8</v>
      </c>
      <c r="D204" s="198" t="s">
        <v>8</v>
      </c>
      <c r="E204" s="37"/>
      <c r="F204" s="204"/>
      <c r="G204" s="204"/>
      <c r="H204" s="205"/>
      <c r="I204" s="206"/>
      <c r="J204" s="206"/>
      <c r="K204" s="206"/>
      <c r="L204" s="206"/>
      <c r="M204" s="206"/>
      <c r="N204" s="207"/>
      <c r="O204" s="207"/>
      <c r="P204" s="207"/>
      <c r="Q204" s="207"/>
      <c r="R204" s="207"/>
      <c r="S204" s="207"/>
      <c r="T204" s="207"/>
      <c r="U204" s="207"/>
      <c r="V204" s="207"/>
      <c r="W204" s="207"/>
      <c r="X204" s="207"/>
      <c r="Y204" s="207"/>
      <c r="Z204" s="207"/>
      <c r="AA204" s="207"/>
      <c r="AB204" s="207"/>
      <c r="AC204" s="207"/>
      <c r="AD204" s="207"/>
    </row>
    <row r="205" spans="1:30" s="196" customFormat="1" ht="15.75" hidden="1" customHeight="1" thickBot="1">
      <c r="A205" s="262"/>
      <c r="B205" s="260"/>
      <c r="C205" s="197" t="s">
        <v>8</v>
      </c>
      <c r="D205" s="198" t="s">
        <v>8</v>
      </c>
      <c r="E205" s="37"/>
      <c r="F205" s="192"/>
      <c r="G205" s="192"/>
      <c r="H205" s="193"/>
      <c r="I205" s="194"/>
      <c r="J205" s="194"/>
      <c r="K205" s="194"/>
      <c r="L205" s="194"/>
      <c r="M205" s="194"/>
      <c r="N205" s="195"/>
      <c r="O205" s="195"/>
      <c r="P205" s="195"/>
      <c r="Q205" s="195"/>
      <c r="R205" s="195"/>
      <c r="S205" s="195"/>
      <c r="T205" s="195"/>
      <c r="U205" s="195"/>
      <c r="V205" s="195"/>
      <c r="W205" s="195"/>
      <c r="X205" s="195"/>
      <c r="Y205" s="195"/>
      <c r="Z205" s="195"/>
      <c r="AA205" s="195"/>
      <c r="AB205" s="195"/>
      <c r="AC205" s="195"/>
      <c r="AD205" s="195"/>
    </row>
    <row r="206" spans="1:30" s="196" customFormat="1" ht="15.75" hidden="1" customHeight="1" thickBot="1">
      <c r="A206" s="262"/>
      <c r="B206" s="260"/>
      <c r="C206" s="197" t="s">
        <v>8</v>
      </c>
      <c r="D206" s="198" t="s">
        <v>8</v>
      </c>
      <c r="E206" s="37"/>
      <c r="F206" s="192"/>
      <c r="G206" s="192"/>
      <c r="H206" s="193"/>
      <c r="I206" s="194"/>
      <c r="J206" s="194"/>
      <c r="K206" s="194"/>
      <c r="L206" s="194"/>
      <c r="M206" s="194"/>
      <c r="N206" s="195"/>
      <c r="O206" s="195"/>
      <c r="P206" s="195"/>
      <c r="Q206" s="195"/>
      <c r="R206" s="195"/>
      <c r="S206" s="195"/>
      <c r="T206" s="195"/>
      <c r="U206" s="195"/>
      <c r="V206" s="195"/>
      <c r="W206" s="195"/>
      <c r="X206" s="195"/>
      <c r="Y206" s="195"/>
      <c r="Z206" s="195"/>
      <c r="AA206" s="195"/>
      <c r="AB206" s="195"/>
      <c r="AC206" s="195"/>
      <c r="AD206" s="195"/>
    </row>
    <row r="207" spans="1:30" s="196" customFormat="1" ht="15.75" hidden="1" customHeight="1" thickBot="1">
      <c r="A207" s="262"/>
      <c r="B207" s="260"/>
      <c r="C207" s="197" t="s">
        <v>8</v>
      </c>
      <c r="D207" s="198" t="s">
        <v>8</v>
      </c>
      <c r="E207" s="37"/>
      <c r="F207" s="192"/>
      <c r="G207" s="192"/>
      <c r="H207" s="193"/>
      <c r="I207" s="194"/>
      <c r="J207" s="194"/>
      <c r="K207" s="194"/>
      <c r="L207" s="194"/>
      <c r="M207" s="194"/>
      <c r="N207" s="195"/>
      <c r="O207" s="195"/>
      <c r="P207" s="195"/>
      <c r="Q207" s="195"/>
      <c r="R207" s="195"/>
      <c r="S207" s="195"/>
      <c r="T207" s="195"/>
      <c r="U207" s="195"/>
      <c r="V207" s="195"/>
      <c r="W207" s="195"/>
      <c r="X207" s="195"/>
      <c r="Y207" s="195"/>
      <c r="Z207" s="195"/>
      <c r="AA207" s="195"/>
      <c r="AB207" s="195"/>
      <c r="AC207" s="195"/>
      <c r="AD207" s="195"/>
    </row>
    <row r="208" spans="1:30" s="196" customFormat="1" ht="15.75" hidden="1" customHeight="1" thickBot="1">
      <c r="A208" s="262"/>
      <c r="B208" s="260"/>
      <c r="C208" s="197" t="s">
        <v>8</v>
      </c>
      <c r="D208" s="198" t="s">
        <v>8</v>
      </c>
      <c r="E208" s="37"/>
      <c r="F208" s="192"/>
      <c r="G208" s="192"/>
      <c r="H208" s="193"/>
      <c r="I208" s="194"/>
      <c r="J208" s="194"/>
      <c r="K208" s="194"/>
      <c r="L208" s="194"/>
      <c r="M208" s="194"/>
      <c r="N208" s="195"/>
      <c r="O208" s="195"/>
      <c r="P208" s="195"/>
      <c r="Q208" s="195"/>
      <c r="R208" s="195"/>
      <c r="S208" s="195"/>
      <c r="T208" s="195"/>
      <c r="U208" s="195"/>
      <c r="V208" s="195"/>
      <c r="W208" s="195"/>
      <c r="X208" s="195"/>
      <c r="Y208" s="195"/>
      <c r="Z208" s="195"/>
      <c r="AA208" s="195"/>
      <c r="AB208" s="195"/>
      <c r="AC208" s="195"/>
      <c r="AD208" s="195"/>
    </row>
    <row r="209" spans="1:30" s="196" customFormat="1" ht="15.75" hidden="1" customHeight="1" thickBot="1">
      <c r="A209" s="262"/>
      <c r="B209" s="260"/>
      <c r="C209" s="197" t="s">
        <v>8</v>
      </c>
      <c r="D209" s="198" t="s">
        <v>8</v>
      </c>
      <c r="E209" s="37"/>
      <c r="F209" s="192"/>
      <c r="G209" s="192"/>
      <c r="H209" s="193"/>
      <c r="I209" s="194"/>
      <c r="J209" s="194"/>
      <c r="K209" s="194"/>
      <c r="L209" s="194"/>
      <c r="M209" s="194"/>
      <c r="N209" s="195"/>
      <c r="O209" s="195"/>
      <c r="P209" s="195"/>
      <c r="Q209" s="195"/>
      <c r="R209" s="195"/>
      <c r="S209" s="195"/>
      <c r="T209" s="195"/>
      <c r="U209" s="195"/>
      <c r="V209" s="195"/>
      <c r="W209" s="195"/>
      <c r="X209" s="195"/>
      <c r="Y209" s="195"/>
      <c r="Z209" s="195"/>
      <c r="AA209" s="195"/>
      <c r="AB209" s="195"/>
      <c r="AC209" s="195"/>
      <c r="AD209" s="195"/>
    </row>
    <row r="210" spans="1:30" s="196" customFormat="1" ht="15.75" hidden="1" customHeight="1" thickBot="1">
      <c r="A210" s="262"/>
      <c r="B210" s="260"/>
      <c r="C210" s="197" t="s">
        <v>8</v>
      </c>
      <c r="D210" s="198" t="s">
        <v>8</v>
      </c>
      <c r="E210" s="37"/>
      <c r="F210" s="192"/>
      <c r="G210" s="192"/>
      <c r="H210" s="193"/>
      <c r="I210" s="194"/>
      <c r="J210" s="194"/>
      <c r="K210" s="194"/>
      <c r="L210" s="194"/>
      <c r="M210" s="194"/>
      <c r="N210" s="195"/>
      <c r="O210" s="195"/>
      <c r="P210" s="195"/>
      <c r="Q210" s="195"/>
      <c r="R210" s="195"/>
      <c r="S210" s="195"/>
      <c r="T210" s="195"/>
      <c r="U210" s="195"/>
      <c r="V210" s="195"/>
      <c r="W210" s="195"/>
      <c r="X210" s="195"/>
      <c r="Y210" s="195"/>
      <c r="Z210" s="195"/>
      <c r="AA210" s="195"/>
      <c r="AB210" s="195"/>
      <c r="AC210" s="195"/>
      <c r="AD210" s="195"/>
    </row>
    <row r="211" spans="1:30" s="203" customFormat="1" ht="15.75" hidden="1" customHeight="1" thickBot="1">
      <c r="A211" s="262"/>
      <c r="B211" s="260"/>
      <c r="C211" s="197" t="s">
        <v>8</v>
      </c>
      <c r="D211" s="198" t="s">
        <v>8</v>
      </c>
      <c r="E211" s="37"/>
      <c r="F211" s="199"/>
      <c r="G211" s="199"/>
      <c r="H211" s="200"/>
      <c r="I211" s="201"/>
      <c r="J211" s="201"/>
      <c r="K211" s="201"/>
      <c r="L211" s="201"/>
      <c r="M211" s="201"/>
      <c r="N211" s="202"/>
      <c r="O211" s="202"/>
      <c r="P211" s="202"/>
      <c r="Q211" s="202"/>
      <c r="R211" s="202"/>
      <c r="S211" s="202"/>
      <c r="T211" s="202"/>
      <c r="U211" s="202"/>
      <c r="V211" s="202"/>
      <c r="W211" s="202"/>
      <c r="X211" s="202"/>
      <c r="Y211" s="202"/>
      <c r="Z211" s="202"/>
      <c r="AA211" s="202"/>
      <c r="AB211" s="202"/>
      <c r="AC211" s="202"/>
      <c r="AD211" s="202"/>
    </row>
    <row r="212" spans="1:30" s="203" customFormat="1" ht="15.75" hidden="1" customHeight="1" thickBot="1">
      <c r="A212" s="262"/>
      <c r="B212" s="260"/>
      <c r="C212" s="197" t="s">
        <v>8</v>
      </c>
      <c r="D212" s="198" t="s">
        <v>8</v>
      </c>
      <c r="E212" s="37"/>
      <c r="F212" s="199"/>
      <c r="G212" s="199"/>
      <c r="H212" s="200"/>
      <c r="I212" s="201"/>
      <c r="J212" s="201"/>
      <c r="K212" s="201"/>
      <c r="L212" s="201"/>
      <c r="M212" s="201"/>
      <c r="N212" s="202"/>
      <c r="O212" s="202"/>
      <c r="P212" s="202"/>
      <c r="Q212" s="202"/>
      <c r="R212" s="202"/>
      <c r="S212" s="202"/>
      <c r="T212" s="202"/>
      <c r="U212" s="202"/>
      <c r="V212" s="202"/>
      <c r="W212" s="202"/>
      <c r="X212" s="202"/>
      <c r="Y212" s="202"/>
      <c r="Z212" s="202"/>
      <c r="AA212" s="202"/>
      <c r="AB212" s="202"/>
      <c r="AC212" s="202"/>
      <c r="AD212" s="202"/>
    </row>
    <row r="213" spans="1:30" s="203" customFormat="1" ht="15.75" hidden="1" customHeight="1" thickBot="1">
      <c r="A213" s="262"/>
      <c r="B213" s="260"/>
      <c r="C213" s="197" t="s">
        <v>8</v>
      </c>
      <c r="D213" s="198" t="s">
        <v>8</v>
      </c>
      <c r="E213" s="37"/>
      <c r="F213" s="199"/>
      <c r="G213" s="199"/>
      <c r="H213" s="200"/>
      <c r="I213" s="201"/>
      <c r="J213" s="201"/>
      <c r="K213" s="201"/>
      <c r="L213" s="201"/>
      <c r="M213" s="201"/>
      <c r="N213" s="202"/>
      <c r="O213" s="202"/>
      <c r="P213" s="202"/>
      <c r="Q213" s="202"/>
      <c r="R213" s="202"/>
      <c r="S213" s="202"/>
      <c r="T213" s="202"/>
      <c r="U213" s="202"/>
      <c r="V213" s="202"/>
      <c r="W213" s="202"/>
      <c r="X213" s="202"/>
      <c r="Y213" s="202"/>
      <c r="Z213" s="202"/>
      <c r="AA213" s="202"/>
      <c r="AB213" s="202"/>
      <c r="AC213" s="202"/>
      <c r="AD213" s="202"/>
    </row>
    <row r="214" spans="1:30" s="203" customFormat="1" ht="15.75" hidden="1" customHeight="1" thickBot="1">
      <c r="A214" s="262"/>
      <c r="B214" s="260"/>
      <c r="C214" s="197" t="s">
        <v>8</v>
      </c>
      <c r="D214" s="198" t="s">
        <v>8</v>
      </c>
      <c r="E214" s="37"/>
      <c r="F214" s="199"/>
      <c r="G214" s="199"/>
      <c r="H214" s="200"/>
      <c r="I214" s="201"/>
      <c r="J214" s="201"/>
      <c r="K214" s="201"/>
      <c r="L214" s="201"/>
      <c r="M214" s="201"/>
      <c r="N214" s="202"/>
      <c r="O214" s="202"/>
      <c r="P214" s="202"/>
      <c r="Q214" s="202"/>
      <c r="R214" s="202"/>
      <c r="S214" s="202"/>
      <c r="T214" s="202"/>
      <c r="U214" s="202"/>
      <c r="V214" s="202"/>
      <c r="W214" s="202"/>
      <c r="X214" s="202"/>
      <c r="Y214" s="202"/>
      <c r="Z214" s="202"/>
      <c r="AA214" s="202"/>
      <c r="AB214" s="202"/>
      <c r="AC214" s="202"/>
      <c r="AD214" s="202"/>
    </row>
    <row r="215" spans="1:30" s="208" customFormat="1" ht="15.75" hidden="1" customHeight="1" thickBot="1">
      <c r="A215" s="262"/>
      <c r="B215" s="260"/>
      <c r="C215" s="197" t="s">
        <v>8</v>
      </c>
      <c r="D215" s="198" t="s">
        <v>8</v>
      </c>
      <c r="E215" s="37"/>
      <c r="F215" s="204"/>
      <c r="G215" s="204"/>
      <c r="H215" s="205"/>
      <c r="I215" s="206"/>
      <c r="J215" s="206"/>
      <c r="K215" s="206"/>
      <c r="L215" s="206"/>
      <c r="M215" s="206"/>
      <c r="N215" s="207"/>
      <c r="O215" s="207"/>
      <c r="P215" s="207"/>
      <c r="Q215" s="207"/>
      <c r="R215" s="207"/>
      <c r="S215" s="207"/>
      <c r="T215" s="207"/>
      <c r="U215" s="207"/>
      <c r="V215" s="207"/>
      <c r="W215" s="207"/>
      <c r="X215" s="207"/>
      <c r="Y215" s="207"/>
      <c r="Z215" s="207"/>
      <c r="AA215" s="207"/>
      <c r="AB215" s="207"/>
      <c r="AC215" s="207"/>
      <c r="AD215" s="207"/>
    </row>
    <row r="216" spans="1:30" s="208" customFormat="1" ht="15.75" hidden="1" customHeight="1" thickBot="1">
      <c r="A216" s="262"/>
      <c r="B216" s="260"/>
      <c r="C216" s="197" t="s">
        <v>8</v>
      </c>
      <c r="D216" s="198" t="s">
        <v>8</v>
      </c>
      <c r="E216" s="37"/>
      <c r="F216" s="204"/>
      <c r="G216" s="204"/>
      <c r="H216" s="205"/>
      <c r="I216" s="206"/>
      <c r="J216" s="206"/>
      <c r="K216" s="206"/>
      <c r="L216" s="206"/>
      <c r="M216" s="206"/>
      <c r="N216" s="207"/>
      <c r="O216" s="207"/>
      <c r="P216" s="207"/>
      <c r="Q216" s="207"/>
      <c r="R216" s="207"/>
      <c r="S216" s="207"/>
      <c r="T216" s="207"/>
      <c r="U216" s="207"/>
      <c r="V216" s="207"/>
      <c r="W216" s="207"/>
      <c r="X216" s="207"/>
      <c r="Y216" s="207"/>
      <c r="Z216" s="207"/>
      <c r="AA216" s="207"/>
      <c r="AB216" s="207"/>
      <c r="AC216" s="207"/>
      <c r="AD216" s="207"/>
    </row>
    <row r="217" spans="1:30" s="208" customFormat="1" ht="15.75" hidden="1" customHeight="1" thickBot="1">
      <c r="A217" s="262"/>
      <c r="B217" s="260"/>
      <c r="C217" s="197" t="s">
        <v>8</v>
      </c>
      <c r="D217" s="198" t="s">
        <v>8</v>
      </c>
      <c r="E217" s="37"/>
      <c r="F217" s="204"/>
      <c r="G217" s="204"/>
      <c r="H217" s="205"/>
      <c r="I217" s="206"/>
      <c r="J217" s="206"/>
      <c r="K217" s="206"/>
      <c r="L217" s="206"/>
      <c r="M217" s="206"/>
      <c r="N217" s="207"/>
      <c r="O217" s="207"/>
      <c r="P217" s="207"/>
      <c r="Q217" s="207"/>
      <c r="R217" s="207"/>
      <c r="S217" s="207"/>
      <c r="T217" s="207"/>
      <c r="U217" s="207"/>
      <c r="V217" s="207"/>
      <c r="W217" s="207"/>
      <c r="X217" s="207"/>
      <c r="Y217" s="207"/>
      <c r="Z217" s="207"/>
      <c r="AA217" s="207"/>
      <c r="AB217" s="207"/>
      <c r="AC217" s="207"/>
      <c r="AD217" s="207"/>
    </row>
    <row r="218" spans="1:30" s="208" customFormat="1" ht="15.75" hidden="1" customHeight="1" thickBot="1">
      <c r="A218" s="262"/>
      <c r="B218" s="260"/>
      <c r="C218" s="197" t="s">
        <v>8</v>
      </c>
      <c r="D218" s="198" t="s">
        <v>8</v>
      </c>
      <c r="E218" s="37"/>
      <c r="F218" s="204"/>
      <c r="G218" s="204"/>
      <c r="H218" s="205"/>
      <c r="I218" s="206"/>
      <c r="J218" s="206"/>
      <c r="K218" s="206"/>
      <c r="L218" s="206"/>
      <c r="M218" s="206"/>
      <c r="N218" s="207"/>
      <c r="O218" s="207"/>
      <c r="P218" s="207"/>
      <c r="Q218" s="207"/>
      <c r="R218" s="207"/>
      <c r="S218" s="207"/>
      <c r="T218" s="207"/>
      <c r="U218" s="207"/>
      <c r="V218" s="207"/>
      <c r="W218" s="207"/>
      <c r="X218" s="207"/>
      <c r="Y218" s="207"/>
      <c r="Z218" s="207"/>
      <c r="AA218" s="207"/>
      <c r="AB218" s="207"/>
      <c r="AC218" s="207"/>
      <c r="AD218" s="207"/>
    </row>
    <row r="219" spans="1:30" s="208" customFormat="1" ht="15.75" hidden="1" customHeight="1" thickBot="1">
      <c r="A219" s="261"/>
      <c r="B219" s="260"/>
      <c r="C219" s="197" t="s">
        <v>8</v>
      </c>
      <c r="D219" s="198" t="s">
        <v>8</v>
      </c>
      <c r="E219" s="37"/>
      <c r="F219" s="204"/>
      <c r="G219" s="204"/>
      <c r="H219" s="205"/>
      <c r="I219" s="206"/>
      <c r="J219" s="206"/>
      <c r="K219" s="206"/>
      <c r="L219" s="206"/>
      <c r="M219" s="206"/>
      <c r="N219" s="207"/>
      <c r="O219" s="207"/>
      <c r="P219" s="207"/>
      <c r="Q219" s="207"/>
      <c r="R219" s="207"/>
      <c r="S219" s="207"/>
      <c r="T219" s="207"/>
      <c r="U219" s="207"/>
      <c r="V219" s="207"/>
      <c r="W219" s="207"/>
      <c r="X219" s="207"/>
      <c r="Y219" s="207"/>
      <c r="Z219" s="207"/>
      <c r="AA219" s="207"/>
      <c r="AB219" s="207"/>
      <c r="AC219" s="207"/>
      <c r="AD219" s="207"/>
    </row>
    <row r="220" spans="1:30" s="208" customFormat="1" ht="15.75" hidden="1" customHeight="1" thickBot="1">
      <c r="A220" s="261"/>
      <c r="B220" s="260"/>
      <c r="C220" s="197" t="s">
        <v>8</v>
      </c>
      <c r="D220" s="198" t="s">
        <v>8</v>
      </c>
      <c r="E220" s="37"/>
      <c r="F220" s="204"/>
      <c r="G220" s="204"/>
      <c r="H220" s="205"/>
      <c r="I220" s="206"/>
      <c r="J220" s="206"/>
      <c r="K220" s="206"/>
      <c r="L220" s="206"/>
      <c r="M220" s="206"/>
      <c r="N220" s="207"/>
      <c r="O220" s="207"/>
      <c r="P220" s="207"/>
      <c r="Q220" s="207"/>
      <c r="R220" s="207"/>
      <c r="S220" s="207"/>
      <c r="T220" s="207"/>
      <c r="U220" s="207"/>
      <c r="V220" s="207"/>
      <c r="W220" s="207"/>
      <c r="X220" s="207"/>
      <c r="Y220" s="207"/>
      <c r="Z220" s="207"/>
      <c r="AA220" s="207"/>
      <c r="AB220" s="207"/>
      <c r="AC220" s="207"/>
      <c r="AD220" s="207"/>
    </row>
    <row r="221" spans="1:30" s="208" customFormat="1" ht="15.75" hidden="1" customHeight="1" thickBot="1">
      <c r="A221" s="261"/>
      <c r="B221" s="260"/>
      <c r="C221" s="197" t="s">
        <v>8</v>
      </c>
      <c r="D221" s="198" t="s">
        <v>8</v>
      </c>
      <c r="E221" s="37"/>
      <c r="F221" s="204"/>
      <c r="G221" s="204"/>
      <c r="H221" s="205"/>
      <c r="I221" s="206"/>
      <c r="J221" s="206"/>
      <c r="K221" s="206"/>
      <c r="L221" s="206"/>
      <c r="M221" s="206"/>
      <c r="N221" s="207"/>
      <c r="O221" s="207"/>
      <c r="P221" s="207"/>
      <c r="Q221" s="207"/>
      <c r="R221" s="207"/>
      <c r="S221" s="207"/>
      <c r="T221" s="207"/>
      <c r="U221" s="207"/>
      <c r="V221" s="207"/>
      <c r="W221" s="207"/>
      <c r="X221" s="207"/>
      <c r="Y221" s="207"/>
      <c r="Z221" s="207"/>
      <c r="AA221" s="207"/>
      <c r="AB221" s="207"/>
      <c r="AC221" s="207"/>
      <c r="AD221" s="207"/>
    </row>
    <row r="222" spans="1:30" s="208" customFormat="1" ht="15.75" hidden="1" customHeight="1" thickBot="1">
      <c r="A222" s="261"/>
      <c r="B222" s="259"/>
      <c r="C222" s="197" t="s">
        <v>8</v>
      </c>
      <c r="D222" s="198" t="s">
        <v>8</v>
      </c>
      <c r="E222" s="37"/>
      <c r="F222" s="204"/>
      <c r="G222" s="204"/>
      <c r="H222" s="205"/>
      <c r="I222" s="206"/>
      <c r="J222" s="206"/>
      <c r="K222" s="206"/>
      <c r="L222" s="206"/>
      <c r="M222" s="206"/>
      <c r="N222" s="207"/>
      <c r="O222" s="207"/>
      <c r="P222" s="207"/>
      <c r="Q222" s="207"/>
      <c r="R222" s="207"/>
      <c r="S222" s="207"/>
      <c r="T222" s="207"/>
      <c r="U222" s="207"/>
      <c r="V222" s="207"/>
      <c r="W222" s="207"/>
      <c r="X222" s="207"/>
      <c r="Y222" s="207"/>
      <c r="Z222" s="207"/>
      <c r="AA222" s="207"/>
      <c r="AB222" s="207"/>
      <c r="AC222" s="207"/>
      <c r="AD222" s="207"/>
    </row>
    <row r="223" spans="1:30" s="196" customFormat="1" ht="15.75" hidden="1" customHeight="1" thickBot="1">
      <c r="A223" s="261"/>
      <c r="B223" s="260"/>
      <c r="C223" s="197" t="s">
        <v>8</v>
      </c>
      <c r="D223" s="198" t="s">
        <v>8</v>
      </c>
      <c r="E223" s="37"/>
      <c r="F223" s="192"/>
      <c r="G223" s="192"/>
      <c r="H223" s="193"/>
      <c r="I223" s="194"/>
      <c r="J223" s="194"/>
      <c r="K223" s="194"/>
      <c r="L223" s="194"/>
      <c r="M223" s="194"/>
      <c r="N223" s="195"/>
      <c r="O223" s="195"/>
      <c r="P223" s="195"/>
      <c r="Q223" s="195"/>
      <c r="R223" s="195"/>
      <c r="S223" s="195"/>
      <c r="T223" s="195"/>
      <c r="U223" s="195"/>
      <c r="V223" s="195"/>
      <c r="W223" s="195"/>
      <c r="X223" s="195"/>
      <c r="Y223" s="195"/>
      <c r="Z223" s="195"/>
      <c r="AA223" s="195"/>
      <c r="AB223" s="195"/>
      <c r="AC223" s="195"/>
      <c r="AD223" s="195"/>
    </row>
    <row r="224" spans="1:30" s="196" customFormat="1" ht="15.75" hidden="1" customHeight="1" thickBot="1">
      <c r="A224" s="261"/>
      <c r="B224" s="260"/>
      <c r="C224" s="197" t="s">
        <v>8</v>
      </c>
      <c r="D224" s="198" t="s">
        <v>8</v>
      </c>
      <c r="E224" s="37"/>
      <c r="F224" s="192"/>
      <c r="G224" s="192"/>
      <c r="H224" s="193"/>
      <c r="I224" s="194"/>
      <c r="J224" s="194"/>
      <c r="K224" s="194"/>
      <c r="L224" s="194"/>
      <c r="M224" s="194"/>
      <c r="N224" s="195"/>
      <c r="O224" s="195"/>
      <c r="P224" s="195"/>
      <c r="Q224" s="195"/>
      <c r="R224" s="195"/>
      <c r="S224" s="195"/>
      <c r="T224" s="195"/>
      <c r="U224" s="195"/>
      <c r="V224" s="195"/>
      <c r="W224" s="195"/>
      <c r="X224" s="195"/>
      <c r="Y224" s="195"/>
      <c r="Z224" s="195"/>
      <c r="AA224" s="195"/>
      <c r="AB224" s="195"/>
      <c r="AC224" s="195"/>
      <c r="AD224" s="195"/>
    </row>
    <row r="225" spans="1:30" s="196" customFormat="1" ht="15.75" hidden="1" customHeight="1" thickBot="1">
      <c r="A225" s="261"/>
      <c r="B225" s="260"/>
      <c r="C225" s="197" t="s">
        <v>8</v>
      </c>
      <c r="D225" s="198" t="s">
        <v>8</v>
      </c>
      <c r="E225" s="37"/>
      <c r="F225" s="192"/>
      <c r="G225" s="192"/>
      <c r="H225" s="193"/>
      <c r="I225" s="194"/>
      <c r="J225" s="194"/>
      <c r="K225" s="194"/>
      <c r="L225" s="194"/>
      <c r="M225" s="194"/>
      <c r="N225" s="195"/>
      <c r="O225" s="195"/>
      <c r="P225" s="195"/>
      <c r="Q225" s="195"/>
      <c r="R225" s="195"/>
      <c r="S225" s="195"/>
      <c r="T225" s="195"/>
      <c r="U225" s="195"/>
      <c r="V225" s="195"/>
      <c r="W225" s="195"/>
      <c r="X225" s="195"/>
      <c r="Y225" s="195"/>
      <c r="Z225" s="195"/>
      <c r="AA225" s="195"/>
      <c r="AB225" s="195"/>
      <c r="AC225" s="195"/>
      <c r="AD225" s="195"/>
    </row>
    <row r="226" spans="1:30" s="196" customFormat="1" ht="15.75" hidden="1" customHeight="1" thickBot="1">
      <c r="A226" s="262"/>
      <c r="B226" s="260"/>
      <c r="C226" s="197" t="s">
        <v>8</v>
      </c>
      <c r="D226" s="198" t="s">
        <v>8</v>
      </c>
      <c r="E226" s="37"/>
      <c r="F226" s="192"/>
      <c r="G226" s="192"/>
      <c r="H226" s="193"/>
      <c r="I226" s="194"/>
      <c r="J226" s="194"/>
      <c r="K226" s="194"/>
      <c r="L226" s="194"/>
      <c r="M226" s="194"/>
      <c r="N226" s="195"/>
      <c r="O226" s="195"/>
      <c r="P226" s="195"/>
      <c r="Q226" s="195"/>
      <c r="R226" s="195"/>
      <c r="S226" s="195"/>
      <c r="T226" s="195"/>
      <c r="U226" s="195"/>
      <c r="V226" s="195"/>
      <c r="W226" s="195"/>
      <c r="X226" s="195"/>
      <c r="Y226" s="195"/>
      <c r="Z226" s="195"/>
      <c r="AA226" s="195"/>
      <c r="AB226" s="195"/>
      <c r="AC226" s="195"/>
      <c r="AD226" s="195"/>
    </row>
    <row r="227" spans="1:30" s="196" customFormat="1" ht="15.75" hidden="1" customHeight="1" thickBot="1">
      <c r="A227" s="262"/>
      <c r="B227" s="260"/>
      <c r="C227" s="197" t="s">
        <v>8</v>
      </c>
      <c r="D227" s="198" t="s">
        <v>8</v>
      </c>
      <c r="E227" s="37"/>
      <c r="F227" s="192"/>
      <c r="G227" s="192"/>
      <c r="H227" s="193"/>
      <c r="I227" s="194"/>
      <c r="J227" s="194"/>
      <c r="K227" s="194"/>
      <c r="L227" s="194"/>
      <c r="M227" s="194"/>
      <c r="N227" s="195"/>
      <c r="O227" s="195"/>
      <c r="P227" s="195"/>
      <c r="Q227" s="195"/>
      <c r="R227" s="195"/>
      <c r="S227" s="195"/>
      <c r="T227" s="195"/>
      <c r="U227" s="195"/>
      <c r="V227" s="195"/>
      <c r="W227" s="195"/>
      <c r="X227" s="195"/>
      <c r="Y227" s="195"/>
      <c r="Z227" s="195"/>
      <c r="AA227" s="195"/>
      <c r="AB227" s="195"/>
      <c r="AC227" s="195"/>
      <c r="AD227" s="195"/>
    </row>
    <row r="228" spans="1:30" s="203" customFormat="1" ht="15.75" hidden="1" customHeight="1" thickBot="1">
      <c r="A228" s="262"/>
      <c r="B228" s="260"/>
      <c r="C228" s="197" t="s">
        <v>8</v>
      </c>
      <c r="D228" s="198" t="s">
        <v>8</v>
      </c>
      <c r="E228" s="37"/>
      <c r="F228" s="199"/>
      <c r="G228" s="199"/>
      <c r="H228" s="200"/>
      <c r="I228" s="201"/>
      <c r="J228" s="201"/>
      <c r="K228" s="201"/>
      <c r="L228" s="201"/>
      <c r="M228" s="201"/>
      <c r="N228" s="202"/>
      <c r="O228" s="202"/>
      <c r="P228" s="202"/>
      <c r="Q228" s="202"/>
      <c r="R228" s="202"/>
      <c r="S228" s="202"/>
      <c r="T228" s="202"/>
      <c r="U228" s="202"/>
      <c r="V228" s="202"/>
      <c r="W228" s="202"/>
      <c r="X228" s="202"/>
      <c r="Y228" s="202"/>
      <c r="Z228" s="202"/>
      <c r="AA228" s="202"/>
      <c r="AB228" s="202"/>
      <c r="AC228" s="202"/>
      <c r="AD228" s="202"/>
    </row>
    <row r="229" spans="1:30" s="203" customFormat="1" ht="15.75" hidden="1" customHeight="1" thickBot="1">
      <c r="A229" s="262"/>
      <c r="B229" s="260"/>
      <c r="C229" s="197" t="s">
        <v>8</v>
      </c>
      <c r="D229" s="198" t="s">
        <v>8</v>
      </c>
      <c r="E229" s="37"/>
      <c r="F229" s="199"/>
      <c r="G229" s="199"/>
      <c r="H229" s="200"/>
      <c r="I229" s="201"/>
      <c r="J229" s="201"/>
      <c r="K229" s="201"/>
      <c r="L229" s="201"/>
      <c r="M229" s="201"/>
      <c r="N229" s="202"/>
      <c r="O229" s="202"/>
      <c r="P229" s="202"/>
      <c r="Q229" s="202"/>
      <c r="R229" s="202"/>
      <c r="S229" s="202"/>
      <c r="T229" s="202"/>
      <c r="U229" s="202"/>
      <c r="V229" s="202"/>
      <c r="W229" s="202"/>
      <c r="X229" s="202"/>
      <c r="Y229" s="202"/>
      <c r="Z229" s="202"/>
      <c r="AA229" s="202"/>
      <c r="AB229" s="202"/>
      <c r="AC229" s="202"/>
      <c r="AD229" s="202"/>
    </row>
    <row r="230" spans="1:30" s="203" customFormat="1" ht="15.75" hidden="1" customHeight="1" thickBot="1">
      <c r="A230" s="262"/>
      <c r="B230" s="260"/>
      <c r="C230" s="197" t="s">
        <v>8</v>
      </c>
      <c r="D230" s="198" t="s">
        <v>8</v>
      </c>
      <c r="E230" s="37"/>
      <c r="F230" s="199"/>
      <c r="G230" s="199"/>
      <c r="H230" s="200"/>
      <c r="I230" s="201"/>
      <c r="J230" s="201"/>
      <c r="K230" s="201"/>
      <c r="L230" s="201"/>
      <c r="M230" s="201"/>
      <c r="N230" s="202"/>
      <c r="O230" s="202"/>
      <c r="P230" s="202"/>
      <c r="Q230" s="202"/>
      <c r="R230" s="202"/>
      <c r="S230" s="202"/>
      <c r="T230" s="202"/>
      <c r="U230" s="202"/>
      <c r="V230" s="202"/>
      <c r="W230" s="202"/>
      <c r="X230" s="202"/>
      <c r="Y230" s="202"/>
      <c r="Z230" s="202"/>
      <c r="AA230" s="202"/>
      <c r="AB230" s="202"/>
      <c r="AC230" s="202"/>
      <c r="AD230" s="202"/>
    </row>
    <row r="231" spans="1:30" s="203" customFormat="1" ht="15.75" hidden="1" customHeight="1" thickBot="1">
      <c r="A231" s="262"/>
      <c r="B231" s="260"/>
      <c r="C231" s="197" t="s">
        <v>8</v>
      </c>
      <c r="D231" s="198" t="s">
        <v>8</v>
      </c>
      <c r="E231" s="37"/>
      <c r="F231" s="199"/>
      <c r="G231" s="199"/>
      <c r="H231" s="200"/>
      <c r="I231" s="201"/>
      <c r="J231" s="201"/>
      <c r="K231" s="201"/>
      <c r="L231" s="201"/>
      <c r="M231" s="201"/>
      <c r="N231" s="202"/>
      <c r="O231" s="202"/>
      <c r="P231" s="202"/>
      <c r="Q231" s="202"/>
      <c r="R231" s="202"/>
      <c r="S231" s="202"/>
      <c r="T231" s="202"/>
      <c r="U231" s="202"/>
      <c r="V231" s="202"/>
      <c r="W231" s="202"/>
      <c r="X231" s="202"/>
      <c r="Y231" s="202"/>
      <c r="Z231" s="202"/>
      <c r="AA231" s="202"/>
      <c r="AB231" s="202"/>
      <c r="AC231" s="202"/>
      <c r="AD231" s="202"/>
    </row>
    <row r="232" spans="1:30" s="208" customFormat="1" ht="15.75" hidden="1" customHeight="1" thickBot="1">
      <c r="A232" s="262"/>
      <c r="B232" s="260"/>
      <c r="C232" s="197" t="s">
        <v>8</v>
      </c>
      <c r="D232" s="198" t="s">
        <v>8</v>
      </c>
      <c r="E232" s="37"/>
      <c r="F232" s="204"/>
      <c r="G232" s="204"/>
      <c r="H232" s="205"/>
      <c r="I232" s="206"/>
      <c r="J232" s="206"/>
      <c r="K232" s="206"/>
      <c r="L232" s="206"/>
      <c r="M232" s="206"/>
      <c r="N232" s="207"/>
      <c r="O232" s="207"/>
      <c r="P232" s="207"/>
      <c r="Q232" s="207"/>
      <c r="R232" s="207"/>
      <c r="S232" s="207"/>
      <c r="T232" s="207"/>
      <c r="U232" s="207"/>
      <c r="V232" s="207"/>
      <c r="W232" s="207"/>
      <c r="X232" s="207"/>
      <c r="Y232" s="207"/>
      <c r="Z232" s="207"/>
      <c r="AA232" s="207"/>
      <c r="AB232" s="207"/>
      <c r="AC232" s="207"/>
      <c r="AD232" s="207"/>
    </row>
    <row r="233" spans="1:30" s="208" customFormat="1" ht="15.75" hidden="1" customHeight="1" thickBot="1">
      <c r="A233" s="262"/>
      <c r="B233" s="260"/>
      <c r="C233" s="197" t="s">
        <v>8</v>
      </c>
      <c r="D233" s="198" t="s">
        <v>8</v>
      </c>
      <c r="E233" s="37"/>
      <c r="F233" s="204"/>
      <c r="G233" s="204"/>
      <c r="H233" s="205"/>
      <c r="I233" s="206"/>
      <c r="J233" s="206"/>
      <c r="K233" s="206"/>
      <c r="L233" s="206"/>
      <c r="M233" s="206"/>
      <c r="N233" s="207"/>
      <c r="O233" s="207"/>
      <c r="P233" s="207"/>
      <c r="Q233" s="207"/>
      <c r="R233" s="207"/>
      <c r="S233" s="207"/>
      <c r="T233" s="207"/>
      <c r="U233" s="207"/>
      <c r="V233" s="207"/>
      <c r="W233" s="207"/>
      <c r="X233" s="207"/>
      <c r="Y233" s="207"/>
      <c r="Z233" s="207"/>
      <c r="AA233" s="207"/>
      <c r="AB233" s="207"/>
      <c r="AC233" s="207"/>
      <c r="AD233" s="207"/>
    </row>
    <row r="234" spans="1:30" s="208" customFormat="1" ht="15.75" hidden="1" customHeight="1" thickBot="1">
      <c r="A234" s="262"/>
      <c r="B234" s="260"/>
      <c r="C234" s="197" t="s">
        <v>8</v>
      </c>
      <c r="D234" s="198" t="s">
        <v>8</v>
      </c>
      <c r="E234" s="37"/>
      <c r="F234" s="204"/>
      <c r="G234" s="204"/>
      <c r="H234" s="205"/>
      <c r="I234" s="206"/>
      <c r="J234" s="206"/>
      <c r="K234" s="206"/>
      <c r="L234" s="206"/>
      <c r="M234" s="206"/>
      <c r="N234" s="207"/>
      <c r="O234" s="207"/>
      <c r="P234" s="207"/>
      <c r="Q234" s="207"/>
      <c r="R234" s="207"/>
      <c r="S234" s="207"/>
      <c r="T234" s="207"/>
      <c r="U234" s="207"/>
      <c r="V234" s="207"/>
      <c r="W234" s="207"/>
      <c r="X234" s="207"/>
      <c r="Y234" s="207"/>
      <c r="Z234" s="207"/>
      <c r="AA234" s="207"/>
      <c r="AB234" s="207"/>
      <c r="AC234" s="207"/>
      <c r="AD234" s="207"/>
    </row>
    <row r="235" spans="1:30" s="208" customFormat="1" ht="15.75" hidden="1" customHeight="1" thickBot="1">
      <c r="A235" s="262"/>
      <c r="B235" s="260"/>
      <c r="C235" s="197" t="s">
        <v>8</v>
      </c>
      <c r="D235" s="198" t="s">
        <v>8</v>
      </c>
      <c r="E235" s="37"/>
      <c r="F235" s="204"/>
      <c r="G235" s="204"/>
      <c r="H235" s="205"/>
      <c r="I235" s="206"/>
      <c r="J235" s="206"/>
      <c r="K235" s="206"/>
      <c r="L235" s="206"/>
      <c r="M235" s="206"/>
      <c r="N235" s="207"/>
      <c r="O235" s="207"/>
      <c r="P235" s="207"/>
      <c r="Q235" s="207"/>
      <c r="R235" s="207"/>
      <c r="S235" s="207"/>
      <c r="T235" s="207"/>
      <c r="U235" s="207"/>
      <c r="V235" s="207"/>
      <c r="W235" s="207"/>
      <c r="X235" s="207"/>
      <c r="Y235" s="207"/>
      <c r="Z235" s="207"/>
      <c r="AA235" s="207"/>
      <c r="AB235" s="207"/>
      <c r="AC235" s="207"/>
      <c r="AD235" s="207"/>
    </row>
    <row r="236" spans="1:30" s="208" customFormat="1" ht="15.75" hidden="1" customHeight="1" thickBot="1">
      <c r="A236" s="262"/>
      <c r="B236" s="260"/>
      <c r="C236" s="197" t="s">
        <v>8</v>
      </c>
      <c r="D236" s="198" t="s">
        <v>8</v>
      </c>
      <c r="E236" s="37"/>
      <c r="F236" s="204"/>
      <c r="G236" s="204"/>
      <c r="H236" s="205"/>
      <c r="I236" s="206"/>
      <c r="J236" s="206"/>
      <c r="K236" s="206"/>
      <c r="L236" s="206"/>
      <c r="M236" s="206"/>
      <c r="N236" s="207"/>
      <c r="O236" s="207"/>
      <c r="P236" s="207"/>
      <c r="Q236" s="207"/>
      <c r="R236" s="207"/>
      <c r="S236" s="207"/>
      <c r="T236" s="207"/>
      <c r="U236" s="207"/>
      <c r="V236" s="207"/>
      <c r="W236" s="207"/>
      <c r="X236" s="207"/>
      <c r="Y236" s="207"/>
      <c r="Z236" s="207"/>
      <c r="AA236" s="207"/>
      <c r="AB236" s="207"/>
      <c r="AC236" s="207"/>
      <c r="AD236" s="207"/>
    </row>
    <row r="237" spans="1:30" s="208" customFormat="1" ht="15.75" hidden="1" customHeight="1" thickBot="1">
      <c r="A237" s="262"/>
      <c r="B237" s="260"/>
      <c r="C237" s="197" t="s">
        <v>8</v>
      </c>
      <c r="D237" s="198" t="s">
        <v>8</v>
      </c>
      <c r="E237" s="37"/>
      <c r="F237" s="204"/>
      <c r="G237" s="204"/>
      <c r="H237" s="205"/>
      <c r="I237" s="206"/>
      <c r="J237" s="206"/>
      <c r="K237" s="206"/>
      <c r="L237" s="206"/>
      <c r="M237" s="206"/>
      <c r="N237" s="207"/>
      <c r="O237" s="207"/>
      <c r="P237" s="207"/>
      <c r="Q237" s="207"/>
      <c r="R237" s="207"/>
      <c r="S237" s="207"/>
      <c r="T237" s="207"/>
      <c r="U237" s="207"/>
      <c r="V237" s="207"/>
      <c r="W237" s="207"/>
      <c r="X237" s="207"/>
      <c r="Y237" s="207"/>
      <c r="Z237" s="207"/>
      <c r="AA237" s="207"/>
      <c r="AB237" s="207"/>
      <c r="AC237" s="207"/>
      <c r="AD237" s="207"/>
    </row>
    <row r="238" spans="1:30" s="208" customFormat="1" ht="15.75" hidden="1" customHeight="1" thickBot="1">
      <c r="A238" s="284"/>
      <c r="B238" s="216"/>
      <c r="C238" s="197" t="s">
        <v>8</v>
      </c>
      <c r="D238" s="198" t="s">
        <v>8</v>
      </c>
      <c r="E238" s="37"/>
      <c r="F238" s="204"/>
      <c r="G238" s="204"/>
      <c r="H238" s="205"/>
      <c r="I238" s="206"/>
      <c r="J238" s="206"/>
      <c r="K238" s="206"/>
      <c r="L238" s="206"/>
      <c r="M238" s="206"/>
      <c r="N238" s="207"/>
      <c r="O238" s="207"/>
      <c r="P238" s="207"/>
      <c r="Q238" s="207"/>
      <c r="R238" s="207"/>
      <c r="S238" s="207"/>
      <c r="T238" s="207"/>
      <c r="U238" s="207"/>
      <c r="V238" s="207"/>
      <c r="W238" s="207"/>
      <c r="X238" s="207"/>
      <c r="Y238" s="207"/>
      <c r="Z238" s="207"/>
      <c r="AA238" s="207"/>
      <c r="AB238" s="207"/>
      <c r="AC238" s="207"/>
      <c r="AD238" s="207"/>
    </row>
    <row r="239" spans="1:30" s="208" customFormat="1" ht="15.75" hidden="1" customHeight="1" thickBot="1">
      <c r="A239" s="284"/>
      <c r="B239" s="216"/>
      <c r="C239" s="110" t="s">
        <v>8</v>
      </c>
      <c r="D239" s="189" t="s">
        <v>8</v>
      </c>
      <c r="E239" s="37"/>
      <c r="F239" s="204"/>
      <c r="G239" s="204"/>
      <c r="H239" s="205"/>
      <c r="I239" s="206"/>
      <c r="J239" s="206"/>
      <c r="K239" s="206"/>
      <c r="L239" s="206"/>
      <c r="M239" s="206"/>
      <c r="N239" s="207"/>
      <c r="O239" s="207"/>
      <c r="P239" s="207"/>
      <c r="Q239" s="207"/>
      <c r="R239" s="207"/>
      <c r="S239" s="207"/>
      <c r="T239" s="207"/>
      <c r="U239" s="207"/>
      <c r="V239" s="207"/>
      <c r="W239" s="207"/>
      <c r="X239" s="207"/>
      <c r="Y239" s="207"/>
      <c r="Z239" s="207"/>
      <c r="AA239" s="207"/>
      <c r="AB239" s="207"/>
      <c r="AC239" s="207"/>
      <c r="AD239" s="207"/>
    </row>
    <row r="240" spans="1:30" s="208" customFormat="1" ht="15.75" hidden="1" customHeight="1" thickBot="1">
      <c r="A240" s="284"/>
      <c r="B240" s="216"/>
      <c r="C240" s="110" t="s">
        <v>8</v>
      </c>
      <c r="D240" s="189" t="s">
        <v>8</v>
      </c>
      <c r="E240" s="37"/>
      <c r="F240" s="204"/>
      <c r="G240" s="204"/>
      <c r="H240" s="205"/>
      <c r="I240" s="206"/>
      <c r="J240" s="206"/>
      <c r="K240" s="206"/>
      <c r="L240" s="206"/>
      <c r="M240" s="206"/>
      <c r="N240" s="207"/>
      <c r="O240" s="207"/>
      <c r="P240" s="207"/>
      <c r="Q240" s="207"/>
      <c r="R240" s="207"/>
      <c r="S240" s="207"/>
      <c r="T240" s="207"/>
      <c r="U240" s="207"/>
      <c r="V240" s="207"/>
      <c r="W240" s="207"/>
      <c r="X240" s="207"/>
      <c r="Y240" s="207"/>
      <c r="Z240" s="207"/>
      <c r="AA240" s="207"/>
      <c r="AB240" s="207"/>
      <c r="AC240" s="207"/>
      <c r="AD240" s="207"/>
    </row>
    <row r="241" spans="1:30" s="196" customFormat="1" ht="15.75" hidden="1" customHeight="1" thickBot="1">
      <c r="A241" s="284"/>
      <c r="B241" s="216"/>
      <c r="C241" s="110" t="s">
        <v>8</v>
      </c>
      <c r="D241" s="189" t="s">
        <v>8</v>
      </c>
      <c r="E241" s="37"/>
      <c r="F241" s="192"/>
      <c r="G241" s="192"/>
      <c r="H241" s="193"/>
      <c r="I241" s="194"/>
      <c r="J241" s="194"/>
      <c r="K241" s="194"/>
      <c r="L241" s="194"/>
      <c r="M241" s="194"/>
      <c r="N241" s="195"/>
      <c r="O241" s="195"/>
      <c r="P241" s="195"/>
      <c r="Q241" s="195"/>
      <c r="R241" s="195"/>
      <c r="S241" s="195"/>
      <c r="T241" s="195"/>
      <c r="U241" s="195"/>
      <c r="V241" s="195"/>
      <c r="W241" s="195"/>
      <c r="X241" s="195"/>
      <c r="Y241" s="195"/>
      <c r="Z241" s="195"/>
      <c r="AA241" s="195"/>
      <c r="AB241" s="195"/>
      <c r="AC241" s="195"/>
      <c r="AD241" s="195"/>
    </row>
    <row r="242" spans="1:30" s="196" customFormat="1" ht="15.75" hidden="1" customHeight="1" thickBot="1">
      <c r="A242" s="284"/>
      <c r="B242" s="216"/>
      <c r="C242" s="110" t="s">
        <v>8</v>
      </c>
      <c r="D242" s="189" t="s">
        <v>8</v>
      </c>
      <c r="E242" s="37"/>
      <c r="F242" s="192"/>
      <c r="G242" s="192"/>
      <c r="H242" s="193"/>
      <c r="I242" s="194"/>
      <c r="J242" s="194"/>
      <c r="K242" s="194"/>
      <c r="L242" s="194"/>
      <c r="M242" s="194"/>
      <c r="N242" s="195"/>
      <c r="O242" s="195"/>
      <c r="P242" s="195"/>
      <c r="Q242" s="195"/>
      <c r="R242" s="195"/>
      <c r="S242" s="195"/>
      <c r="T242" s="195"/>
      <c r="U242" s="195"/>
      <c r="V242" s="195"/>
      <c r="W242" s="195"/>
      <c r="X242" s="195"/>
      <c r="Y242" s="195"/>
      <c r="Z242" s="195"/>
      <c r="AA242" s="195"/>
      <c r="AB242" s="195"/>
      <c r="AC242" s="195"/>
      <c r="AD242" s="195"/>
    </row>
    <row r="243" spans="1:30" s="196" customFormat="1" ht="15.75" hidden="1" customHeight="1" thickBot="1">
      <c r="A243" s="284"/>
      <c r="B243" s="216"/>
      <c r="C243" s="110" t="s">
        <v>8</v>
      </c>
      <c r="D243" s="189" t="s">
        <v>8</v>
      </c>
      <c r="E243" s="37"/>
      <c r="F243" s="192"/>
      <c r="G243" s="192"/>
      <c r="H243" s="193"/>
      <c r="I243" s="194"/>
      <c r="J243" s="194"/>
      <c r="K243" s="194"/>
      <c r="L243" s="194"/>
      <c r="M243" s="194"/>
      <c r="N243" s="195"/>
      <c r="O243" s="195"/>
      <c r="P243" s="195"/>
      <c r="Q243" s="195"/>
      <c r="R243" s="195"/>
      <c r="S243" s="195"/>
      <c r="T243" s="195"/>
      <c r="U243" s="195"/>
      <c r="V243" s="195"/>
      <c r="W243" s="195"/>
      <c r="X243" s="195"/>
      <c r="Y243" s="195"/>
      <c r="Z243" s="195"/>
      <c r="AA243" s="195"/>
      <c r="AB243" s="195"/>
      <c r="AC243" s="195"/>
      <c r="AD243" s="195"/>
    </row>
    <row r="244" spans="1:30" s="196" customFormat="1" ht="15.75" hidden="1" customHeight="1" thickBot="1">
      <c r="A244" s="284"/>
      <c r="B244" s="216"/>
      <c r="C244" s="110" t="s">
        <v>8</v>
      </c>
      <c r="D244" s="189" t="s">
        <v>8</v>
      </c>
      <c r="E244" s="37"/>
      <c r="F244" s="192"/>
      <c r="G244" s="192"/>
      <c r="H244" s="193"/>
      <c r="I244" s="194"/>
      <c r="J244" s="194"/>
      <c r="K244" s="194"/>
      <c r="L244" s="194"/>
      <c r="M244" s="194"/>
      <c r="N244" s="195"/>
      <c r="O244" s="195"/>
      <c r="P244" s="195"/>
      <c r="Q244" s="195"/>
      <c r="R244" s="195"/>
      <c r="S244" s="195"/>
      <c r="T244" s="195"/>
      <c r="U244" s="195"/>
      <c r="V244" s="195"/>
      <c r="W244" s="195"/>
      <c r="X244" s="195"/>
      <c r="Y244" s="195"/>
      <c r="Z244" s="195"/>
      <c r="AA244" s="195"/>
      <c r="AB244" s="195"/>
      <c r="AC244" s="195"/>
      <c r="AD244" s="195"/>
    </row>
    <row r="245" spans="1:30" s="196" customFormat="1" ht="15.75" hidden="1" customHeight="1" thickBot="1">
      <c r="A245" s="284"/>
      <c r="B245" s="216"/>
      <c r="C245" s="110" t="s">
        <v>8</v>
      </c>
      <c r="D245" s="189" t="s">
        <v>8</v>
      </c>
      <c r="E245" s="37"/>
      <c r="F245" s="192"/>
      <c r="G245" s="192"/>
      <c r="H245" s="193"/>
      <c r="I245" s="194"/>
      <c r="J245" s="194"/>
      <c r="K245" s="194"/>
      <c r="L245" s="194"/>
      <c r="M245" s="194"/>
      <c r="N245" s="195"/>
      <c r="O245" s="195"/>
      <c r="P245" s="195"/>
      <c r="Q245" s="195"/>
      <c r="R245" s="195"/>
      <c r="S245" s="195"/>
      <c r="T245" s="195"/>
      <c r="U245" s="195"/>
      <c r="V245" s="195"/>
      <c r="W245" s="195"/>
      <c r="X245" s="195"/>
      <c r="Y245" s="195"/>
      <c r="Z245" s="195"/>
      <c r="AA245" s="195"/>
      <c r="AB245" s="195"/>
      <c r="AC245" s="195"/>
      <c r="AD245" s="195"/>
    </row>
    <row r="246" spans="1:30" s="196" customFormat="1" ht="15.75" hidden="1" customHeight="1" thickBot="1">
      <c r="A246" s="284"/>
      <c r="B246" s="216"/>
      <c r="C246" s="110" t="s">
        <v>8</v>
      </c>
      <c r="D246" s="189" t="s">
        <v>8</v>
      </c>
      <c r="E246" s="37"/>
      <c r="F246" s="192"/>
      <c r="G246" s="192"/>
      <c r="H246" s="193"/>
      <c r="I246" s="194"/>
      <c r="J246" s="194"/>
      <c r="K246" s="194"/>
      <c r="L246" s="194"/>
      <c r="M246" s="194"/>
      <c r="N246" s="195"/>
      <c r="O246" s="195"/>
      <c r="P246" s="195"/>
      <c r="Q246" s="195"/>
      <c r="R246" s="195"/>
      <c r="S246" s="195"/>
      <c r="T246" s="195"/>
      <c r="U246" s="195"/>
      <c r="V246" s="195"/>
      <c r="W246" s="195"/>
      <c r="X246" s="195"/>
      <c r="Y246" s="195"/>
      <c r="Z246" s="195"/>
      <c r="AA246" s="195"/>
      <c r="AB246" s="195"/>
      <c r="AC246" s="195"/>
      <c r="AD246" s="195"/>
    </row>
    <row r="247" spans="1:30" s="203" customFormat="1" ht="15.75" hidden="1" customHeight="1" thickBot="1">
      <c r="A247" s="284"/>
      <c r="B247" s="216"/>
      <c r="C247" s="110" t="s">
        <v>8</v>
      </c>
      <c r="D247" s="189" t="s">
        <v>8</v>
      </c>
      <c r="E247" s="37"/>
      <c r="F247" s="199"/>
      <c r="G247" s="199"/>
      <c r="H247" s="200"/>
      <c r="I247" s="201"/>
      <c r="J247" s="201"/>
      <c r="K247" s="201"/>
      <c r="L247" s="201"/>
      <c r="M247" s="201"/>
      <c r="N247" s="202"/>
      <c r="O247" s="202"/>
      <c r="P247" s="202"/>
      <c r="Q247" s="202"/>
      <c r="R247" s="202"/>
      <c r="S247" s="202"/>
      <c r="T247" s="202"/>
      <c r="U247" s="202"/>
      <c r="V247" s="202"/>
      <c r="W247" s="202"/>
      <c r="X247" s="202"/>
      <c r="Y247" s="202"/>
      <c r="Z247" s="202"/>
      <c r="AA247" s="202"/>
      <c r="AB247" s="202"/>
      <c r="AC247" s="202"/>
      <c r="AD247" s="202"/>
    </row>
    <row r="248" spans="1:30" s="203" customFormat="1" ht="15.75" hidden="1" customHeight="1" thickBot="1">
      <c r="A248" s="284"/>
      <c r="B248" s="216"/>
      <c r="C248" s="110" t="s">
        <v>8</v>
      </c>
      <c r="D248" s="189" t="s">
        <v>8</v>
      </c>
      <c r="E248" s="37"/>
      <c r="F248" s="199"/>
      <c r="G248" s="199"/>
      <c r="H248" s="200"/>
      <c r="I248" s="201"/>
      <c r="J248" s="201"/>
      <c r="K248" s="201"/>
      <c r="L248" s="201"/>
      <c r="M248" s="201"/>
      <c r="N248" s="202"/>
      <c r="O248" s="202"/>
      <c r="P248" s="202"/>
      <c r="Q248" s="202"/>
      <c r="R248" s="202"/>
      <c r="S248" s="202"/>
      <c r="T248" s="202"/>
      <c r="U248" s="202"/>
      <c r="V248" s="202"/>
      <c r="W248" s="202"/>
      <c r="X248" s="202"/>
      <c r="Y248" s="202"/>
      <c r="Z248" s="202"/>
      <c r="AA248" s="202"/>
      <c r="AB248" s="202"/>
      <c r="AC248" s="202"/>
      <c r="AD248" s="202"/>
    </row>
    <row r="249" spans="1:30" s="203" customFormat="1" ht="15.75" hidden="1" customHeight="1" thickBot="1">
      <c r="A249" s="284"/>
      <c r="B249" s="216"/>
      <c r="C249" s="110" t="s">
        <v>8</v>
      </c>
      <c r="D249" s="189" t="s">
        <v>8</v>
      </c>
      <c r="E249" s="37"/>
      <c r="F249" s="199"/>
      <c r="G249" s="199"/>
      <c r="H249" s="200"/>
      <c r="I249" s="201"/>
      <c r="J249" s="201"/>
      <c r="K249" s="201"/>
      <c r="L249" s="201"/>
      <c r="M249" s="201"/>
      <c r="N249" s="202"/>
      <c r="O249" s="202"/>
      <c r="P249" s="202"/>
      <c r="Q249" s="202"/>
      <c r="R249" s="202"/>
      <c r="S249" s="202"/>
      <c r="T249" s="202"/>
      <c r="U249" s="202"/>
      <c r="V249" s="202"/>
      <c r="W249" s="202"/>
      <c r="X249" s="202"/>
      <c r="Y249" s="202"/>
      <c r="Z249" s="202"/>
      <c r="AA249" s="202"/>
      <c r="AB249" s="202"/>
      <c r="AC249" s="202"/>
      <c r="AD249" s="202"/>
    </row>
    <row r="250" spans="1:30" s="203" customFormat="1" ht="15.75" hidden="1" customHeight="1" thickBot="1">
      <c r="A250" s="284"/>
      <c r="B250" s="216"/>
      <c r="C250" s="110" t="s">
        <v>8</v>
      </c>
      <c r="D250" s="189" t="s">
        <v>8</v>
      </c>
      <c r="E250" s="37"/>
      <c r="F250" s="199"/>
      <c r="G250" s="199"/>
      <c r="H250" s="200"/>
      <c r="I250" s="201"/>
      <c r="J250" s="201"/>
      <c r="K250" s="201"/>
      <c r="L250" s="201"/>
      <c r="M250" s="201"/>
      <c r="N250" s="202"/>
      <c r="O250" s="202"/>
      <c r="P250" s="202"/>
      <c r="Q250" s="202"/>
      <c r="R250" s="202"/>
      <c r="S250" s="202"/>
      <c r="T250" s="202"/>
      <c r="U250" s="202"/>
      <c r="V250" s="202"/>
      <c r="W250" s="202"/>
      <c r="X250" s="202"/>
      <c r="Y250" s="202"/>
      <c r="Z250" s="202"/>
      <c r="AA250" s="202"/>
      <c r="AB250" s="202"/>
      <c r="AC250" s="202"/>
      <c r="AD250" s="202"/>
    </row>
    <row r="251" spans="1:30" s="208" customFormat="1" ht="15.75" hidden="1" customHeight="1" thickBot="1">
      <c r="A251" s="284"/>
      <c r="B251" s="216"/>
      <c r="C251" s="110" t="s">
        <v>8</v>
      </c>
      <c r="D251" s="189" t="s">
        <v>8</v>
      </c>
      <c r="E251" s="37"/>
      <c r="F251" s="204"/>
      <c r="G251" s="204"/>
      <c r="H251" s="205"/>
      <c r="I251" s="206"/>
      <c r="J251" s="206"/>
      <c r="K251" s="206"/>
      <c r="L251" s="206"/>
      <c r="M251" s="206"/>
      <c r="N251" s="207"/>
      <c r="O251" s="207"/>
      <c r="P251" s="207"/>
      <c r="Q251" s="207"/>
      <c r="R251" s="207"/>
      <c r="S251" s="207"/>
      <c r="T251" s="207"/>
      <c r="U251" s="207"/>
      <c r="V251" s="207"/>
      <c r="W251" s="207"/>
      <c r="X251" s="207"/>
      <c r="Y251" s="207"/>
      <c r="Z251" s="207"/>
      <c r="AA251" s="207"/>
      <c r="AB251" s="207"/>
      <c r="AC251" s="207"/>
      <c r="AD251" s="207"/>
    </row>
    <row r="252" spans="1:30" s="208" customFormat="1" ht="15.75" hidden="1" customHeight="1" thickBot="1">
      <c r="A252" s="284"/>
      <c r="B252" s="216"/>
      <c r="C252" s="110" t="s">
        <v>8</v>
      </c>
      <c r="D252" s="189" t="s">
        <v>8</v>
      </c>
      <c r="E252" s="37"/>
      <c r="F252" s="204"/>
      <c r="G252" s="204"/>
      <c r="H252" s="205"/>
      <c r="I252" s="206"/>
      <c r="J252" s="206"/>
      <c r="K252" s="206"/>
      <c r="L252" s="206"/>
      <c r="M252" s="206"/>
      <c r="N252" s="207"/>
      <c r="O252" s="207"/>
      <c r="P252" s="207"/>
      <c r="Q252" s="207"/>
      <c r="R252" s="207"/>
      <c r="S252" s="207"/>
      <c r="T252" s="207"/>
      <c r="U252" s="207"/>
      <c r="V252" s="207"/>
      <c r="W252" s="207"/>
      <c r="X252" s="207"/>
      <c r="Y252" s="207"/>
      <c r="Z252" s="207"/>
      <c r="AA252" s="207"/>
      <c r="AB252" s="207"/>
      <c r="AC252" s="207"/>
      <c r="AD252" s="207"/>
    </row>
    <row r="253" spans="1:30" s="208" customFormat="1" ht="15.75" hidden="1" customHeight="1" thickBot="1">
      <c r="A253" s="284"/>
      <c r="B253" s="216"/>
      <c r="C253" s="110" t="s">
        <v>8</v>
      </c>
      <c r="D253" s="189" t="s">
        <v>8</v>
      </c>
      <c r="E253" s="37"/>
      <c r="F253" s="204"/>
      <c r="G253" s="204"/>
      <c r="H253" s="205"/>
      <c r="I253" s="206"/>
      <c r="J253" s="206"/>
      <c r="K253" s="206"/>
      <c r="L253" s="206"/>
      <c r="M253" s="206"/>
      <c r="N253" s="207"/>
      <c r="O253" s="207"/>
      <c r="P253" s="207"/>
      <c r="Q253" s="207"/>
      <c r="R253" s="207"/>
      <c r="S253" s="207"/>
      <c r="T253" s="207"/>
      <c r="U253" s="207"/>
      <c r="V253" s="207"/>
      <c r="W253" s="207"/>
      <c r="X253" s="207"/>
      <c r="Y253" s="207"/>
      <c r="Z253" s="207"/>
      <c r="AA253" s="207"/>
      <c r="AB253" s="207"/>
      <c r="AC253" s="207"/>
      <c r="AD253" s="207"/>
    </row>
    <row r="254" spans="1:30" s="208" customFormat="1" ht="15.75" hidden="1" customHeight="1" thickBot="1">
      <c r="A254" s="284"/>
      <c r="B254" s="216"/>
      <c r="C254" s="110" t="s">
        <v>8</v>
      </c>
      <c r="D254" s="189" t="s">
        <v>8</v>
      </c>
      <c r="E254" s="37"/>
      <c r="F254" s="204"/>
      <c r="G254" s="204"/>
      <c r="H254" s="205"/>
      <c r="I254" s="206"/>
      <c r="J254" s="206"/>
      <c r="K254" s="206"/>
      <c r="L254" s="206"/>
      <c r="M254" s="206"/>
      <c r="N254" s="207"/>
      <c r="O254" s="207"/>
      <c r="P254" s="207"/>
      <c r="Q254" s="207"/>
      <c r="R254" s="207"/>
      <c r="S254" s="207"/>
      <c r="T254" s="207"/>
      <c r="U254" s="207"/>
      <c r="V254" s="207"/>
      <c r="W254" s="207"/>
      <c r="X254" s="207"/>
      <c r="Y254" s="207"/>
      <c r="Z254" s="207"/>
      <c r="AA254" s="207"/>
      <c r="AB254" s="207"/>
      <c r="AC254" s="207"/>
      <c r="AD254" s="207"/>
    </row>
    <row r="255" spans="1:30" s="208" customFormat="1" ht="15.75" hidden="1" customHeight="1" thickBot="1">
      <c r="A255" s="284"/>
      <c r="B255" s="216"/>
      <c r="C255" s="110" t="s">
        <v>8</v>
      </c>
      <c r="D255" s="189" t="s">
        <v>8</v>
      </c>
      <c r="E255" s="37"/>
      <c r="F255" s="204"/>
      <c r="G255" s="204"/>
      <c r="H255" s="205"/>
      <c r="I255" s="206"/>
      <c r="J255" s="206"/>
      <c r="K255" s="206"/>
      <c r="L255" s="206"/>
      <c r="M255" s="206"/>
      <c r="N255" s="207"/>
      <c r="O255" s="207"/>
      <c r="P255" s="207"/>
      <c r="Q255" s="207"/>
      <c r="R255" s="207"/>
      <c r="S255" s="207"/>
      <c r="T255" s="207"/>
      <c r="U255" s="207"/>
      <c r="V255" s="207"/>
      <c r="W255" s="207"/>
      <c r="X255" s="207"/>
      <c r="Y255" s="207"/>
      <c r="Z255" s="207"/>
      <c r="AA255" s="207"/>
      <c r="AB255" s="207"/>
      <c r="AC255" s="207"/>
      <c r="AD255" s="207"/>
    </row>
    <row r="256" spans="1:30" s="196" customFormat="1" ht="15.75" hidden="1" customHeight="1" thickBot="1">
      <c r="A256" s="284"/>
      <c r="B256" s="216"/>
      <c r="C256" s="110" t="s">
        <v>8</v>
      </c>
      <c r="D256" s="189" t="s">
        <v>8</v>
      </c>
      <c r="E256" s="37"/>
      <c r="F256" s="192"/>
      <c r="G256" s="192"/>
      <c r="H256" s="193"/>
      <c r="I256" s="194"/>
      <c r="J256" s="194"/>
      <c r="K256" s="194"/>
      <c r="L256" s="194"/>
      <c r="M256" s="194"/>
      <c r="N256" s="195"/>
      <c r="O256" s="195"/>
      <c r="P256" s="195"/>
      <c r="Q256" s="195"/>
      <c r="R256" s="195"/>
      <c r="S256" s="195"/>
      <c r="T256" s="195"/>
      <c r="U256" s="195"/>
      <c r="V256" s="195"/>
      <c r="W256" s="195"/>
      <c r="X256" s="195"/>
      <c r="Y256" s="195"/>
      <c r="Z256" s="195"/>
      <c r="AA256" s="195"/>
      <c r="AB256" s="195"/>
      <c r="AC256" s="195"/>
      <c r="AD256" s="195"/>
    </row>
    <row r="257" spans="1:30" s="196" customFormat="1" ht="15.75" hidden="1" customHeight="1" thickBot="1">
      <c r="A257" s="284"/>
      <c r="B257" s="216"/>
      <c r="C257" s="110" t="s">
        <v>8</v>
      </c>
      <c r="D257" s="189" t="s">
        <v>8</v>
      </c>
      <c r="E257" s="37"/>
      <c r="F257" s="192"/>
      <c r="G257" s="192"/>
      <c r="H257" s="193"/>
      <c r="I257" s="194"/>
      <c r="J257" s="194"/>
      <c r="K257" s="194"/>
      <c r="L257" s="194"/>
      <c r="M257" s="194"/>
      <c r="N257" s="195"/>
      <c r="O257" s="195"/>
      <c r="P257" s="195"/>
      <c r="Q257" s="195"/>
      <c r="R257" s="195"/>
      <c r="S257" s="195"/>
      <c r="T257" s="195"/>
      <c r="U257" s="195"/>
      <c r="V257" s="195"/>
      <c r="W257" s="195"/>
      <c r="X257" s="195"/>
      <c r="Y257" s="195"/>
      <c r="Z257" s="195"/>
      <c r="AA257" s="195"/>
      <c r="AB257" s="195"/>
      <c r="AC257" s="195"/>
      <c r="AD257" s="195"/>
    </row>
    <row r="258" spans="1:30" s="196" customFormat="1" ht="15.75" hidden="1" customHeight="1" thickBot="1">
      <c r="A258" s="284"/>
      <c r="B258" s="216"/>
      <c r="C258" s="110" t="s">
        <v>8</v>
      </c>
      <c r="D258" s="189" t="s">
        <v>8</v>
      </c>
      <c r="E258" s="37"/>
      <c r="F258" s="192"/>
      <c r="G258" s="192"/>
      <c r="H258" s="193"/>
      <c r="I258" s="194"/>
      <c r="J258" s="194"/>
      <c r="K258" s="194"/>
      <c r="L258" s="194"/>
      <c r="M258" s="194"/>
      <c r="N258" s="195"/>
      <c r="O258" s="195"/>
      <c r="P258" s="195"/>
      <c r="Q258" s="195"/>
      <c r="R258" s="195"/>
      <c r="S258" s="195"/>
      <c r="T258" s="195"/>
      <c r="U258" s="195"/>
      <c r="V258" s="195"/>
      <c r="W258" s="195"/>
      <c r="X258" s="195"/>
      <c r="Y258" s="195"/>
      <c r="Z258" s="195"/>
      <c r="AA258" s="195"/>
      <c r="AB258" s="195"/>
      <c r="AC258" s="195"/>
      <c r="AD258" s="195"/>
    </row>
    <row r="259" spans="1:30" s="196" customFormat="1" ht="15.75" hidden="1" customHeight="1" thickBot="1">
      <c r="A259" s="284"/>
      <c r="B259" s="216"/>
      <c r="C259" s="110" t="s">
        <v>8</v>
      </c>
      <c r="D259" s="189" t="s">
        <v>8</v>
      </c>
      <c r="E259" s="37"/>
      <c r="F259" s="192"/>
      <c r="G259" s="192"/>
      <c r="H259" s="193"/>
      <c r="I259" s="194"/>
      <c r="J259" s="194"/>
      <c r="K259" s="194"/>
      <c r="L259" s="194"/>
      <c r="M259" s="194"/>
      <c r="N259" s="195"/>
      <c r="O259" s="195"/>
      <c r="P259" s="195"/>
      <c r="Q259" s="195"/>
      <c r="R259" s="195"/>
      <c r="S259" s="195"/>
      <c r="T259" s="195"/>
      <c r="U259" s="195"/>
      <c r="V259" s="195"/>
      <c r="W259" s="195"/>
      <c r="X259" s="195"/>
      <c r="Y259" s="195"/>
      <c r="Z259" s="195"/>
      <c r="AA259" s="195"/>
      <c r="AB259" s="195"/>
      <c r="AC259" s="195"/>
      <c r="AD259" s="195"/>
    </row>
    <row r="260" spans="1:30" s="203" customFormat="1" ht="15.75" hidden="1" customHeight="1" thickBot="1">
      <c r="A260" s="284"/>
      <c r="B260" s="216"/>
      <c r="C260" s="110" t="s">
        <v>8</v>
      </c>
      <c r="D260" s="189" t="s">
        <v>8</v>
      </c>
      <c r="E260" s="37"/>
      <c r="F260" s="199"/>
      <c r="G260" s="199"/>
      <c r="H260" s="200"/>
      <c r="I260" s="201"/>
      <c r="J260" s="201"/>
      <c r="K260" s="201"/>
      <c r="L260" s="201"/>
      <c r="M260" s="201"/>
      <c r="N260" s="202"/>
      <c r="O260" s="202"/>
      <c r="P260" s="202"/>
      <c r="Q260" s="202"/>
      <c r="R260" s="202"/>
      <c r="S260" s="202"/>
      <c r="T260" s="202"/>
      <c r="U260" s="202"/>
      <c r="V260" s="202"/>
      <c r="W260" s="202"/>
      <c r="X260" s="202"/>
      <c r="Y260" s="202"/>
      <c r="Z260" s="202"/>
      <c r="AA260" s="202"/>
      <c r="AB260" s="202"/>
      <c r="AC260" s="202"/>
      <c r="AD260" s="202"/>
    </row>
    <row r="261" spans="1:30" s="203" customFormat="1" ht="15.75" hidden="1" customHeight="1" thickBot="1">
      <c r="A261" s="284"/>
      <c r="B261" s="216"/>
      <c r="C261" s="110" t="s">
        <v>8</v>
      </c>
      <c r="D261" s="189" t="s">
        <v>8</v>
      </c>
      <c r="E261" s="37"/>
      <c r="F261" s="199"/>
      <c r="G261" s="199"/>
      <c r="H261" s="200"/>
      <c r="I261" s="201"/>
      <c r="J261" s="201"/>
      <c r="K261" s="201"/>
      <c r="L261" s="201"/>
      <c r="M261" s="201"/>
      <c r="N261" s="202"/>
      <c r="O261" s="202"/>
      <c r="P261" s="202"/>
      <c r="Q261" s="202"/>
      <c r="R261" s="202"/>
      <c r="S261" s="202"/>
      <c r="T261" s="202"/>
      <c r="U261" s="202"/>
      <c r="V261" s="202"/>
      <c r="W261" s="202"/>
      <c r="X261" s="202"/>
      <c r="Y261" s="202"/>
      <c r="Z261" s="202"/>
      <c r="AA261" s="202"/>
      <c r="AB261" s="202"/>
      <c r="AC261" s="202"/>
      <c r="AD261" s="202"/>
    </row>
    <row r="262" spans="1:30" s="203" customFormat="1" ht="15.75" hidden="1" customHeight="1" thickBot="1">
      <c r="A262" s="284"/>
      <c r="B262" s="216"/>
      <c r="C262" s="110" t="s">
        <v>8</v>
      </c>
      <c r="D262" s="189" t="s">
        <v>8</v>
      </c>
      <c r="E262" s="37"/>
      <c r="F262" s="199"/>
      <c r="G262" s="199"/>
      <c r="H262" s="200"/>
      <c r="I262" s="201"/>
      <c r="J262" s="201"/>
      <c r="K262" s="201"/>
      <c r="L262" s="201"/>
      <c r="M262" s="201"/>
      <c r="N262" s="202"/>
      <c r="O262" s="202"/>
      <c r="P262" s="202"/>
      <c r="Q262" s="202"/>
      <c r="R262" s="202"/>
      <c r="S262" s="202"/>
      <c r="T262" s="202"/>
      <c r="U262" s="202"/>
      <c r="V262" s="202"/>
      <c r="W262" s="202"/>
      <c r="X262" s="202"/>
      <c r="Y262" s="202"/>
      <c r="Z262" s="202"/>
      <c r="AA262" s="202"/>
      <c r="AB262" s="202"/>
      <c r="AC262" s="202"/>
      <c r="AD262" s="202"/>
    </row>
    <row r="263" spans="1:30" s="203" customFormat="1" ht="15.75" hidden="1" customHeight="1" thickBot="1">
      <c r="A263" s="284"/>
      <c r="B263" s="216"/>
      <c r="C263" s="110" t="s">
        <v>8</v>
      </c>
      <c r="D263" s="189" t="s">
        <v>8</v>
      </c>
      <c r="E263" s="37"/>
      <c r="F263" s="199"/>
      <c r="G263" s="199"/>
      <c r="H263" s="200"/>
      <c r="I263" s="201"/>
      <c r="J263" s="201"/>
      <c r="K263" s="201"/>
      <c r="L263" s="201"/>
      <c r="M263" s="201"/>
      <c r="N263" s="202"/>
      <c r="O263" s="202"/>
      <c r="P263" s="202"/>
      <c r="Q263" s="202"/>
      <c r="R263" s="202"/>
      <c r="S263" s="202"/>
      <c r="T263" s="202"/>
      <c r="U263" s="202"/>
      <c r="V263" s="202"/>
      <c r="W263" s="202"/>
      <c r="X263" s="202"/>
      <c r="Y263" s="202"/>
      <c r="Z263" s="202"/>
      <c r="AA263" s="202"/>
      <c r="AB263" s="202"/>
      <c r="AC263" s="202"/>
      <c r="AD263" s="202"/>
    </row>
    <row r="264" spans="1:30" s="208" customFormat="1" ht="15.75" hidden="1" customHeight="1" thickBot="1">
      <c r="A264" s="284"/>
      <c r="B264" s="216"/>
      <c r="C264" s="110" t="s">
        <v>8</v>
      </c>
      <c r="D264" s="189" t="s">
        <v>8</v>
      </c>
      <c r="E264" s="37"/>
      <c r="F264" s="204"/>
      <c r="G264" s="204"/>
      <c r="H264" s="205"/>
      <c r="I264" s="206"/>
      <c r="J264" s="206"/>
      <c r="K264" s="206"/>
      <c r="L264" s="206"/>
      <c r="M264" s="206"/>
      <c r="N264" s="207"/>
      <c r="O264" s="207"/>
      <c r="P264" s="207"/>
      <c r="Q264" s="207"/>
      <c r="R264" s="207"/>
      <c r="S264" s="207"/>
      <c r="T264" s="207"/>
      <c r="U264" s="207"/>
      <c r="V264" s="207"/>
      <c r="W264" s="207"/>
      <c r="X264" s="207"/>
      <c r="Y264" s="207"/>
      <c r="Z264" s="207"/>
      <c r="AA264" s="207"/>
      <c r="AB264" s="207"/>
      <c r="AC264" s="207"/>
      <c r="AD264" s="207"/>
    </row>
    <row r="265" spans="1:30" s="208" customFormat="1" ht="15.75" hidden="1" customHeight="1" thickBot="1">
      <c r="A265" s="284"/>
      <c r="B265" s="216"/>
      <c r="C265" s="110" t="s">
        <v>8</v>
      </c>
      <c r="D265" s="189" t="s">
        <v>8</v>
      </c>
      <c r="E265" s="37"/>
      <c r="F265" s="204"/>
      <c r="G265" s="204"/>
      <c r="H265" s="205"/>
      <c r="I265" s="206"/>
      <c r="J265" s="206"/>
      <c r="K265" s="206"/>
      <c r="L265" s="206"/>
      <c r="M265" s="206"/>
      <c r="N265" s="207"/>
      <c r="O265" s="207"/>
      <c r="P265" s="207"/>
      <c r="Q265" s="207"/>
      <c r="R265" s="207"/>
      <c r="S265" s="207"/>
      <c r="T265" s="207"/>
      <c r="U265" s="207"/>
      <c r="V265" s="207"/>
      <c r="W265" s="207"/>
      <c r="X265" s="207"/>
      <c r="Y265" s="207"/>
      <c r="Z265" s="207"/>
      <c r="AA265" s="207"/>
      <c r="AB265" s="207"/>
      <c r="AC265" s="207"/>
      <c r="AD265" s="207"/>
    </row>
    <row r="266" spans="1:30" s="208" customFormat="1" ht="15.75" hidden="1" customHeight="1" thickBot="1">
      <c r="A266" s="284"/>
      <c r="B266" s="216"/>
      <c r="C266" s="110" t="s">
        <v>8</v>
      </c>
      <c r="D266" s="189" t="s">
        <v>8</v>
      </c>
      <c r="E266" s="37"/>
      <c r="F266" s="204"/>
      <c r="G266" s="204"/>
      <c r="H266" s="205"/>
      <c r="I266" s="206"/>
      <c r="J266" s="206"/>
      <c r="K266" s="206"/>
      <c r="L266" s="206"/>
      <c r="M266" s="206"/>
      <c r="N266" s="207"/>
      <c r="O266" s="207"/>
      <c r="P266" s="207"/>
      <c r="Q266" s="207"/>
      <c r="R266" s="207"/>
      <c r="S266" s="207"/>
      <c r="T266" s="207"/>
      <c r="U266" s="207"/>
      <c r="V266" s="207"/>
      <c r="W266" s="207"/>
      <c r="X266" s="207"/>
      <c r="Y266" s="207"/>
      <c r="Z266" s="207"/>
      <c r="AA266" s="207"/>
      <c r="AB266" s="207"/>
      <c r="AC266" s="207"/>
      <c r="AD266" s="207"/>
    </row>
    <row r="267" spans="1:30" s="208" customFormat="1" ht="15.75" hidden="1" customHeight="1" thickBot="1">
      <c r="A267" s="284"/>
      <c r="B267" s="216"/>
      <c r="C267" s="110" t="s">
        <v>8</v>
      </c>
      <c r="D267" s="189" t="s">
        <v>8</v>
      </c>
      <c r="E267" s="37"/>
      <c r="F267" s="204"/>
      <c r="G267" s="204"/>
      <c r="H267" s="205"/>
      <c r="I267" s="206"/>
      <c r="J267" s="206"/>
      <c r="K267" s="206"/>
      <c r="L267" s="206"/>
      <c r="M267" s="206"/>
      <c r="N267" s="207"/>
      <c r="O267" s="207"/>
      <c r="P267" s="207"/>
      <c r="Q267" s="207"/>
      <c r="R267" s="207"/>
      <c r="S267" s="207"/>
      <c r="T267" s="207"/>
      <c r="U267" s="207"/>
      <c r="V267" s="207"/>
      <c r="W267" s="207"/>
      <c r="X267" s="207"/>
      <c r="Y267" s="207"/>
      <c r="Z267" s="207"/>
      <c r="AA267" s="207"/>
      <c r="AB267" s="207"/>
      <c r="AC267" s="207"/>
      <c r="AD267" s="207"/>
    </row>
    <row r="268" spans="1:30" s="208" customFormat="1" ht="15.75" hidden="1" customHeight="1" thickBot="1">
      <c r="A268" s="284"/>
      <c r="B268" s="216"/>
      <c r="C268" s="110" t="s">
        <v>8</v>
      </c>
      <c r="D268" s="189" t="s">
        <v>8</v>
      </c>
      <c r="E268" s="37"/>
      <c r="F268" s="204"/>
      <c r="G268" s="204"/>
      <c r="H268" s="205"/>
      <c r="I268" s="206"/>
      <c r="J268" s="206"/>
      <c r="K268" s="206"/>
      <c r="L268" s="206"/>
      <c r="M268" s="206"/>
      <c r="N268" s="207"/>
      <c r="O268" s="207"/>
      <c r="P268" s="207"/>
      <c r="Q268" s="207"/>
      <c r="R268" s="207"/>
      <c r="S268" s="207"/>
      <c r="T268" s="207"/>
      <c r="U268" s="207"/>
      <c r="V268" s="207"/>
      <c r="W268" s="207"/>
      <c r="X268" s="207"/>
      <c r="Y268" s="207"/>
      <c r="Z268" s="207"/>
      <c r="AA268" s="207"/>
      <c r="AB268" s="207"/>
      <c r="AC268" s="207"/>
      <c r="AD268" s="207"/>
    </row>
    <row r="269" spans="1:30" s="208" customFormat="1" ht="15.75" hidden="1" customHeight="1" thickBot="1">
      <c r="A269" s="284"/>
      <c r="B269" s="216"/>
      <c r="C269" s="110" t="s">
        <v>8</v>
      </c>
      <c r="D269" s="189" t="s">
        <v>8</v>
      </c>
      <c r="E269" s="37"/>
      <c r="F269" s="204"/>
      <c r="G269" s="204"/>
      <c r="H269" s="205"/>
      <c r="I269" s="206"/>
      <c r="J269" s="206"/>
      <c r="K269" s="206"/>
      <c r="L269" s="206"/>
      <c r="M269" s="206"/>
      <c r="N269" s="207"/>
      <c r="O269" s="207"/>
      <c r="P269" s="207"/>
      <c r="Q269" s="207"/>
      <c r="R269" s="207"/>
      <c r="S269" s="207"/>
      <c r="T269" s="207"/>
      <c r="U269" s="207"/>
      <c r="V269" s="207"/>
      <c r="W269" s="207"/>
      <c r="X269" s="207"/>
      <c r="Y269" s="207"/>
      <c r="Z269" s="207"/>
      <c r="AA269" s="207"/>
      <c r="AB269" s="207"/>
      <c r="AC269" s="207"/>
      <c r="AD269" s="207"/>
    </row>
    <row r="270" spans="1:30" s="208" customFormat="1" ht="15.75" hidden="1" customHeight="1" thickBot="1">
      <c r="A270" s="284"/>
      <c r="B270" s="216"/>
      <c r="C270" s="110" t="s">
        <v>8</v>
      </c>
      <c r="D270" s="189" t="s">
        <v>8</v>
      </c>
      <c r="E270" s="37"/>
      <c r="F270" s="204"/>
      <c r="G270" s="204"/>
      <c r="H270" s="205"/>
      <c r="I270" s="206"/>
      <c r="J270" s="206"/>
      <c r="K270" s="206"/>
      <c r="L270" s="206"/>
      <c r="M270" s="206"/>
      <c r="N270" s="207"/>
      <c r="O270" s="207"/>
      <c r="P270" s="207"/>
      <c r="Q270" s="207"/>
      <c r="R270" s="207"/>
      <c r="S270" s="207"/>
      <c r="T270" s="207"/>
      <c r="U270" s="207"/>
      <c r="V270" s="207"/>
      <c r="W270" s="207"/>
      <c r="X270" s="207"/>
      <c r="Y270" s="207"/>
      <c r="Z270" s="207"/>
      <c r="AA270" s="207"/>
      <c r="AB270" s="207"/>
      <c r="AC270" s="207"/>
      <c r="AD270" s="207"/>
    </row>
    <row r="271" spans="1:30" s="208" customFormat="1" ht="15.75" hidden="1" customHeight="1" thickBot="1">
      <c r="A271" s="284"/>
      <c r="B271" s="216"/>
      <c r="C271" s="110" t="s">
        <v>8</v>
      </c>
      <c r="D271" s="189" t="s">
        <v>8</v>
      </c>
      <c r="E271" s="37"/>
      <c r="F271" s="204"/>
      <c r="G271" s="204"/>
      <c r="H271" s="205"/>
      <c r="I271" s="206"/>
      <c r="J271" s="206"/>
      <c r="K271" s="206"/>
      <c r="L271" s="206"/>
      <c r="M271" s="206"/>
      <c r="N271" s="207"/>
      <c r="O271" s="207"/>
      <c r="P271" s="207"/>
      <c r="Q271" s="207"/>
      <c r="R271" s="207"/>
      <c r="S271" s="207"/>
      <c r="T271" s="207"/>
      <c r="U271" s="207"/>
      <c r="V271" s="207"/>
      <c r="W271" s="207"/>
      <c r="X271" s="207"/>
      <c r="Y271" s="207"/>
      <c r="Z271" s="207"/>
      <c r="AA271" s="207"/>
      <c r="AB271" s="207"/>
      <c r="AC271" s="207"/>
      <c r="AD271" s="207"/>
    </row>
    <row r="272" spans="1:30" s="208" customFormat="1" ht="15.75" hidden="1" customHeight="1" thickBot="1">
      <c r="A272" s="284"/>
      <c r="B272" s="216"/>
      <c r="C272" s="110" t="s">
        <v>8</v>
      </c>
      <c r="D272" s="189" t="s">
        <v>8</v>
      </c>
      <c r="E272" s="37"/>
      <c r="F272" s="204"/>
      <c r="G272" s="204"/>
      <c r="H272" s="205"/>
      <c r="I272" s="206"/>
      <c r="J272" s="206"/>
      <c r="K272" s="206"/>
      <c r="L272" s="206"/>
      <c r="M272" s="206"/>
      <c r="N272" s="207"/>
      <c r="O272" s="207"/>
      <c r="P272" s="207"/>
      <c r="Q272" s="207"/>
      <c r="R272" s="207"/>
      <c r="S272" s="207"/>
      <c r="T272" s="207"/>
      <c r="U272" s="207"/>
      <c r="V272" s="207"/>
      <c r="W272" s="207"/>
      <c r="X272" s="207"/>
      <c r="Y272" s="207"/>
      <c r="Z272" s="207"/>
      <c r="AA272" s="207"/>
      <c r="AB272" s="207"/>
      <c r="AC272" s="207"/>
      <c r="AD272" s="207"/>
    </row>
    <row r="273" spans="1:30" s="196" customFormat="1" ht="15.75" hidden="1" customHeight="1" thickBot="1">
      <c r="A273" s="284"/>
      <c r="B273" s="216"/>
      <c r="C273" s="110" t="s">
        <v>8</v>
      </c>
      <c r="D273" s="189" t="s">
        <v>8</v>
      </c>
      <c r="E273" s="37"/>
      <c r="F273" s="192"/>
      <c r="G273" s="192"/>
      <c r="H273" s="193"/>
      <c r="I273" s="194"/>
      <c r="J273" s="194"/>
      <c r="K273" s="194"/>
      <c r="L273" s="194"/>
      <c r="M273" s="194"/>
      <c r="N273" s="195"/>
      <c r="O273" s="195"/>
      <c r="P273" s="195"/>
      <c r="Q273" s="195"/>
      <c r="R273" s="195"/>
      <c r="S273" s="195"/>
      <c r="T273" s="195"/>
      <c r="U273" s="195"/>
      <c r="V273" s="195"/>
      <c r="W273" s="195"/>
      <c r="X273" s="195"/>
      <c r="Y273" s="195"/>
      <c r="Z273" s="195"/>
      <c r="AA273" s="195"/>
      <c r="AB273" s="195"/>
      <c r="AC273" s="195"/>
      <c r="AD273" s="195"/>
    </row>
    <row r="274" spans="1:30" s="196" customFormat="1" ht="15.75" hidden="1" customHeight="1" thickBot="1">
      <c r="A274" s="284"/>
      <c r="B274" s="216"/>
      <c r="C274" s="110" t="s">
        <v>8</v>
      </c>
      <c r="D274" s="189" t="s">
        <v>8</v>
      </c>
      <c r="E274" s="37"/>
      <c r="F274" s="192"/>
      <c r="G274" s="192"/>
      <c r="H274" s="193"/>
      <c r="I274" s="194"/>
      <c r="J274" s="194"/>
      <c r="K274" s="194"/>
      <c r="L274" s="194"/>
      <c r="M274" s="194"/>
      <c r="N274" s="195"/>
      <c r="O274" s="195"/>
      <c r="P274" s="195"/>
      <c r="Q274" s="195"/>
      <c r="R274" s="195"/>
      <c r="S274" s="195"/>
      <c r="T274" s="195"/>
      <c r="U274" s="195"/>
      <c r="V274" s="195"/>
      <c r="W274" s="195"/>
      <c r="X274" s="195"/>
      <c r="Y274" s="195"/>
      <c r="Z274" s="195"/>
      <c r="AA274" s="195"/>
      <c r="AB274" s="195"/>
      <c r="AC274" s="195"/>
      <c r="AD274" s="195"/>
    </row>
    <row r="275" spans="1:30" s="196" customFormat="1" ht="15.75" hidden="1" customHeight="1" thickBot="1">
      <c r="A275" s="284"/>
      <c r="B275" s="216"/>
      <c r="C275" s="110" t="s">
        <v>8</v>
      </c>
      <c r="D275" s="189" t="s">
        <v>8</v>
      </c>
      <c r="E275" s="37"/>
      <c r="F275" s="192"/>
      <c r="G275" s="192"/>
      <c r="H275" s="193"/>
      <c r="I275" s="194"/>
      <c r="J275" s="194"/>
      <c r="K275" s="194"/>
      <c r="L275" s="194"/>
      <c r="M275" s="194"/>
      <c r="N275" s="195"/>
      <c r="O275" s="195"/>
      <c r="P275" s="195"/>
      <c r="Q275" s="195"/>
      <c r="R275" s="195"/>
      <c r="S275" s="195"/>
      <c r="T275" s="195"/>
      <c r="U275" s="195"/>
      <c r="V275" s="195"/>
      <c r="W275" s="195"/>
      <c r="X275" s="195"/>
      <c r="Y275" s="195"/>
      <c r="Z275" s="195"/>
      <c r="AA275" s="195"/>
      <c r="AB275" s="195"/>
      <c r="AC275" s="195"/>
      <c r="AD275" s="195"/>
    </row>
    <row r="276" spans="1:30" s="196" customFormat="1" ht="15.75" hidden="1" customHeight="1" thickBot="1">
      <c r="A276" s="284"/>
      <c r="B276" s="216"/>
      <c r="C276" s="110" t="s">
        <v>8</v>
      </c>
      <c r="D276" s="189" t="s">
        <v>8</v>
      </c>
      <c r="E276" s="37"/>
      <c r="F276" s="192"/>
      <c r="G276" s="192"/>
      <c r="H276" s="193"/>
      <c r="I276" s="194"/>
      <c r="J276" s="194"/>
      <c r="K276" s="194"/>
      <c r="L276" s="194"/>
      <c r="M276" s="194"/>
      <c r="N276" s="195"/>
      <c r="O276" s="195"/>
      <c r="P276" s="195"/>
      <c r="Q276" s="195"/>
      <c r="R276" s="195"/>
      <c r="S276" s="195"/>
      <c r="T276" s="195"/>
      <c r="U276" s="195"/>
      <c r="V276" s="195"/>
      <c r="W276" s="195"/>
      <c r="X276" s="195"/>
      <c r="Y276" s="195"/>
      <c r="Z276" s="195"/>
      <c r="AA276" s="195"/>
      <c r="AB276" s="195"/>
      <c r="AC276" s="195"/>
      <c r="AD276" s="195"/>
    </row>
    <row r="277" spans="1:30" s="196" customFormat="1" ht="15.75" hidden="1" customHeight="1" thickBot="1">
      <c r="A277" s="284"/>
      <c r="B277" s="216"/>
      <c r="C277" s="110" t="s">
        <v>8</v>
      </c>
      <c r="D277" s="189" t="s">
        <v>8</v>
      </c>
      <c r="E277" s="37"/>
      <c r="F277" s="192"/>
      <c r="G277" s="192"/>
      <c r="H277" s="193"/>
      <c r="I277" s="194"/>
      <c r="J277" s="194"/>
      <c r="K277" s="194"/>
      <c r="L277" s="194"/>
      <c r="M277" s="194"/>
      <c r="N277" s="195"/>
      <c r="O277" s="195"/>
      <c r="P277" s="195"/>
      <c r="Q277" s="195"/>
      <c r="R277" s="195"/>
      <c r="S277" s="195"/>
      <c r="T277" s="195"/>
      <c r="U277" s="195"/>
      <c r="V277" s="195"/>
      <c r="W277" s="195"/>
      <c r="X277" s="195"/>
      <c r="Y277" s="195"/>
      <c r="Z277" s="195"/>
      <c r="AA277" s="195"/>
      <c r="AB277" s="195"/>
      <c r="AC277" s="195"/>
      <c r="AD277" s="195"/>
    </row>
    <row r="278" spans="1:30" s="196" customFormat="1" ht="15.75" hidden="1" customHeight="1" thickBot="1">
      <c r="A278" s="284"/>
      <c r="B278" s="216"/>
      <c r="C278" s="110" t="s">
        <v>8</v>
      </c>
      <c r="D278" s="189" t="s">
        <v>8</v>
      </c>
      <c r="E278" s="37"/>
      <c r="F278" s="192"/>
      <c r="G278" s="192"/>
      <c r="H278" s="193"/>
      <c r="I278" s="194"/>
      <c r="J278" s="194"/>
      <c r="K278" s="194"/>
      <c r="L278" s="194"/>
      <c r="M278" s="194"/>
      <c r="N278" s="195"/>
      <c r="O278" s="195"/>
      <c r="P278" s="195"/>
      <c r="Q278" s="195"/>
      <c r="R278" s="195"/>
      <c r="S278" s="195"/>
      <c r="T278" s="195"/>
      <c r="U278" s="195"/>
      <c r="V278" s="195"/>
      <c r="W278" s="195"/>
      <c r="X278" s="195"/>
      <c r="Y278" s="195"/>
      <c r="Z278" s="195"/>
      <c r="AA278" s="195"/>
      <c r="AB278" s="195"/>
      <c r="AC278" s="195"/>
      <c r="AD278" s="195"/>
    </row>
    <row r="279" spans="1:30" s="203" customFormat="1" ht="15.75" hidden="1" customHeight="1" thickBot="1">
      <c r="A279" s="284"/>
      <c r="B279" s="216"/>
      <c r="C279" s="110" t="s">
        <v>8</v>
      </c>
      <c r="D279" s="189" t="s">
        <v>8</v>
      </c>
      <c r="E279" s="37"/>
      <c r="F279" s="199"/>
      <c r="G279" s="199"/>
      <c r="H279" s="200"/>
      <c r="I279" s="201"/>
      <c r="J279" s="201"/>
      <c r="K279" s="201"/>
      <c r="L279" s="201"/>
      <c r="M279" s="201"/>
      <c r="N279" s="202"/>
      <c r="O279" s="202"/>
      <c r="P279" s="202"/>
      <c r="Q279" s="202"/>
      <c r="R279" s="202"/>
      <c r="S279" s="202"/>
      <c r="T279" s="202"/>
      <c r="U279" s="202"/>
      <c r="V279" s="202"/>
      <c r="W279" s="202"/>
      <c r="X279" s="202"/>
      <c r="Y279" s="202"/>
      <c r="Z279" s="202"/>
      <c r="AA279" s="202"/>
      <c r="AB279" s="202"/>
      <c r="AC279" s="202"/>
      <c r="AD279" s="202"/>
    </row>
    <row r="280" spans="1:30" s="203" customFormat="1" ht="15.75" hidden="1" customHeight="1" thickBot="1">
      <c r="A280" s="284"/>
      <c r="B280" s="216"/>
      <c r="C280" s="110" t="s">
        <v>8</v>
      </c>
      <c r="D280" s="189" t="s">
        <v>8</v>
      </c>
      <c r="E280" s="37"/>
      <c r="F280" s="199"/>
      <c r="G280" s="199"/>
      <c r="H280" s="200"/>
      <c r="I280" s="201"/>
      <c r="J280" s="201"/>
      <c r="K280" s="201"/>
      <c r="L280" s="201"/>
      <c r="M280" s="201"/>
      <c r="N280" s="202"/>
      <c r="O280" s="202"/>
      <c r="P280" s="202"/>
      <c r="Q280" s="202"/>
      <c r="R280" s="202"/>
      <c r="S280" s="202"/>
      <c r="T280" s="202"/>
      <c r="U280" s="202"/>
      <c r="V280" s="202"/>
      <c r="W280" s="202"/>
      <c r="X280" s="202"/>
      <c r="Y280" s="202"/>
      <c r="Z280" s="202"/>
      <c r="AA280" s="202"/>
      <c r="AB280" s="202"/>
      <c r="AC280" s="202"/>
      <c r="AD280" s="202"/>
    </row>
    <row r="281" spans="1:30" s="203" customFormat="1" ht="15.75" hidden="1" customHeight="1" thickBot="1">
      <c r="A281" s="284"/>
      <c r="B281" s="216"/>
      <c r="C281" s="110" t="s">
        <v>8</v>
      </c>
      <c r="D281" s="189" t="s">
        <v>8</v>
      </c>
      <c r="E281" s="37"/>
      <c r="F281" s="199"/>
      <c r="G281" s="199"/>
      <c r="H281" s="200"/>
      <c r="I281" s="201"/>
      <c r="J281" s="201"/>
      <c r="K281" s="201"/>
      <c r="L281" s="201"/>
      <c r="M281" s="201"/>
      <c r="N281" s="202"/>
      <c r="O281" s="202"/>
      <c r="P281" s="202"/>
      <c r="Q281" s="202"/>
      <c r="R281" s="202"/>
      <c r="S281" s="202"/>
      <c r="T281" s="202"/>
      <c r="U281" s="202"/>
      <c r="V281" s="202"/>
      <c r="W281" s="202"/>
      <c r="X281" s="202"/>
      <c r="Y281" s="202"/>
      <c r="Z281" s="202"/>
      <c r="AA281" s="202"/>
      <c r="AB281" s="202"/>
      <c r="AC281" s="202"/>
      <c r="AD281" s="202"/>
    </row>
    <row r="282" spans="1:30" s="203" customFormat="1" ht="15.75" hidden="1" customHeight="1" thickBot="1">
      <c r="A282" s="284"/>
      <c r="B282" s="216"/>
      <c r="C282" s="110" t="s">
        <v>8</v>
      </c>
      <c r="D282" s="189" t="s">
        <v>8</v>
      </c>
      <c r="E282" s="37"/>
      <c r="F282" s="199"/>
      <c r="G282" s="199"/>
      <c r="H282" s="200"/>
      <c r="I282" s="201"/>
      <c r="J282" s="201"/>
      <c r="K282" s="201"/>
      <c r="L282" s="201"/>
      <c r="M282" s="201"/>
      <c r="N282" s="202"/>
      <c r="O282" s="202"/>
      <c r="P282" s="202"/>
      <c r="Q282" s="202"/>
      <c r="R282" s="202"/>
      <c r="S282" s="202"/>
      <c r="T282" s="202"/>
      <c r="U282" s="202"/>
      <c r="V282" s="202"/>
      <c r="W282" s="202"/>
      <c r="X282" s="202"/>
      <c r="Y282" s="202"/>
      <c r="Z282" s="202"/>
      <c r="AA282" s="202"/>
      <c r="AB282" s="202"/>
      <c r="AC282" s="202"/>
      <c r="AD282" s="202"/>
    </row>
    <row r="283" spans="1:30" s="208" customFormat="1" ht="15.75" hidden="1" customHeight="1" thickBot="1">
      <c r="A283" s="284"/>
      <c r="B283" s="216"/>
      <c r="C283" s="110" t="s">
        <v>8</v>
      </c>
      <c r="D283" s="189" t="s">
        <v>8</v>
      </c>
      <c r="E283" s="37"/>
      <c r="F283" s="204"/>
      <c r="G283" s="204"/>
      <c r="H283" s="205"/>
      <c r="I283" s="206"/>
      <c r="J283" s="206"/>
      <c r="K283" s="206"/>
      <c r="L283" s="206"/>
      <c r="M283" s="206"/>
      <c r="N283" s="207"/>
      <c r="O283" s="207"/>
      <c r="P283" s="207"/>
      <c r="Q283" s="207"/>
      <c r="R283" s="207"/>
      <c r="S283" s="207"/>
      <c r="T283" s="207"/>
      <c r="U283" s="207"/>
      <c r="V283" s="207"/>
      <c r="W283" s="207"/>
      <c r="X283" s="207"/>
      <c r="Y283" s="207"/>
      <c r="Z283" s="207"/>
      <c r="AA283" s="207"/>
      <c r="AB283" s="207"/>
      <c r="AC283" s="207"/>
      <c r="AD283" s="207"/>
    </row>
    <row r="284" spans="1:30" s="208" customFormat="1" ht="15.75" hidden="1" customHeight="1" thickBot="1">
      <c r="A284" s="284"/>
      <c r="B284" s="216"/>
      <c r="C284" s="110" t="s">
        <v>8</v>
      </c>
      <c r="D284" s="189" t="s">
        <v>8</v>
      </c>
      <c r="E284" s="37"/>
      <c r="F284" s="204"/>
      <c r="G284" s="204"/>
      <c r="H284" s="205"/>
      <c r="I284" s="206"/>
      <c r="J284" s="206"/>
      <c r="K284" s="206"/>
      <c r="L284" s="206"/>
      <c r="M284" s="206"/>
      <c r="N284" s="207"/>
      <c r="O284" s="207"/>
      <c r="P284" s="207"/>
      <c r="Q284" s="207"/>
      <c r="R284" s="207"/>
      <c r="S284" s="207"/>
      <c r="T284" s="207"/>
      <c r="U284" s="207"/>
      <c r="V284" s="207"/>
      <c r="W284" s="207"/>
      <c r="X284" s="207"/>
      <c r="Y284" s="207"/>
      <c r="Z284" s="207"/>
      <c r="AA284" s="207"/>
      <c r="AB284" s="207"/>
      <c r="AC284" s="207"/>
      <c r="AD284" s="207"/>
    </row>
    <row r="285" spans="1:30" s="208" customFormat="1" ht="15.75" hidden="1" customHeight="1" thickBot="1">
      <c r="A285" s="284"/>
      <c r="B285" s="216"/>
      <c r="C285" s="110" t="s">
        <v>8</v>
      </c>
      <c r="D285" s="189" t="s">
        <v>8</v>
      </c>
      <c r="E285" s="37"/>
      <c r="F285" s="204"/>
      <c r="G285" s="204"/>
      <c r="H285" s="205"/>
      <c r="I285" s="206"/>
      <c r="J285" s="206"/>
      <c r="K285" s="206"/>
      <c r="L285" s="206"/>
      <c r="M285" s="206"/>
      <c r="N285" s="207"/>
      <c r="O285" s="207"/>
      <c r="P285" s="207"/>
      <c r="Q285" s="207"/>
      <c r="R285" s="207"/>
      <c r="S285" s="207"/>
      <c r="T285" s="207"/>
      <c r="U285" s="207"/>
      <c r="V285" s="207"/>
      <c r="W285" s="207"/>
      <c r="X285" s="207"/>
      <c r="Y285" s="207"/>
      <c r="Z285" s="207"/>
      <c r="AA285" s="207"/>
      <c r="AB285" s="207"/>
      <c r="AC285" s="207"/>
      <c r="AD285" s="207"/>
    </row>
    <row r="286" spans="1:30" s="208" customFormat="1" ht="15.75" hidden="1" customHeight="1" thickBot="1">
      <c r="A286" s="284"/>
      <c r="B286" s="216"/>
      <c r="C286" s="110" t="s">
        <v>8</v>
      </c>
      <c r="D286" s="189" t="s">
        <v>8</v>
      </c>
      <c r="E286" s="37"/>
      <c r="F286" s="204"/>
      <c r="G286" s="204"/>
      <c r="H286" s="205"/>
      <c r="I286" s="206"/>
      <c r="J286" s="206"/>
      <c r="K286" s="206"/>
      <c r="L286" s="206"/>
      <c r="M286" s="206"/>
      <c r="N286" s="207"/>
      <c r="O286" s="207"/>
      <c r="P286" s="207"/>
      <c r="Q286" s="207"/>
      <c r="R286" s="207"/>
      <c r="S286" s="207"/>
      <c r="T286" s="207"/>
      <c r="U286" s="207"/>
      <c r="V286" s="207"/>
      <c r="W286" s="207"/>
      <c r="X286" s="207"/>
      <c r="Y286" s="207"/>
      <c r="Z286" s="207"/>
      <c r="AA286" s="207"/>
      <c r="AB286" s="207"/>
      <c r="AC286" s="207"/>
      <c r="AD286" s="207"/>
    </row>
    <row r="287" spans="1:30" s="208" customFormat="1" ht="15.75" hidden="1" customHeight="1" thickBot="1">
      <c r="A287" s="284"/>
      <c r="B287" s="216"/>
      <c r="C287" s="110" t="s">
        <v>8</v>
      </c>
      <c r="D287" s="189" t="s">
        <v>8</v>
      </c>
      <c r="E287" s="37"/>
      <c r="F287" s="204"/>
      <c r="G287" s="204"/>
      <c r="H287" s="205"/>
      <c r="I287" s="206"/>
      <c r="J287" s="206"/>
      <c r="K287" s="206"/>
      <c r="L287" s="206"/>
      <c r="M287" s="206"/>
      <c r="N287" s="207"/>
      <c r="O287" s="207"/>
      <c r="P287" s="207"/>
      <c r="Q287" s="207"/>
      <c r="R287" s="207"/>
      <c r="S287" s="207"/>
      <c r="T287" s="207"/>
      <c r="U287" s="207"/>
      <c r="V287" s="207"/>
      <c r="W287" s="207"/>
      <c r="X287" s="207"/>
      <c r="Y287" s="207"/>
      <c r="Z287" s="207"/>
      <c r="AA287" s="207"/>
      <c r="AB287" s="207"/>
      <c r="AC287" s="207"/>
      <c r="AD287" s="207"/>
    </row>
    <row r="288" spans="1:30" s="208" customFormat="1" ht="15.75" hidden="1" customHeight="1" thickBot="1">
      <c r="A288" s="284"/>
      <c r="B288" s="216"/>
      <c r="C288" s="110" t="s">
        <v>8</v>
      </c>
      <c r="D288" s="189" t="s">
        <v>8</v>
      </c>
      <c r="E288" s="37"/>
      <c r="F288" s="204"/>
      <c r="G288" s="204"/>
      <c r="H288" s="205"/>
      <c r="I288" s="206"/>
      <c r="J288" s="206"/>
      <c r="K288" s="206"/>
      <c r="L288" s="206"/>
      <c r="M288" s="206"/>
      <c r="N288" s="207"/>
      <c r="O288" s="207"/>
      <c r="P288" s="207"/>
      <c r="Q288" s="207"/>
      <c r="R288" s="207"/>
      <c r="S288" s="207"/>
      <c r="T288" s="207"/>
      <c r="U288" s="207"/>
      <c r="V288" s="207"/>
      <c r="W288" s="207"/>
      <c r="X288" s="207"/>
      <c r="Y288" s="207"/>
      <c r="Z288" s="207"/>
      <c r="AA288" s="207"/>
      <c r="AB288" s="207"/>
      <c r="AC288" s="207"/>
      <c r="AD288" s="207"/>
    </row>
    <row r="289" spans="1:30" s="208" customFormat="1" ht="15.75" hidden="1" customHeight="1" thickBot="1">
      <c r="A289" s="284"/>
      <c r="B289" s="216"/>
      <c r="C289" s="110" t="s">
        <v>8</v>
      </c>
      <c r="D289" s="189" t="s">
        <v>8</v>
      </c>
      <c r="E289" s="37"/>
      <c r="F289" s="204"/>
      <c r="G289" s="204"/>
      <c r="H289" s="205"/>
      <c r="I289" s="206"/>
      <c r="J289" s="206"/>
      <c r="K289" s="206"/>
      <c r="L289" s="206"/>
      <c r="M289" s="206"/>
      <c r="N289" s="207"/>
      <c r="O289" s="207"/>
      <c r="P289" s="207"/>
      <c r="Q289" s="207"/>
      <c r="R289" s="207"/>
      <c r="S289" s="207"/>
      <c r="T289" s="207"/>
      <c r="U289" s="207"/>
      <c r="V289" s="207"/>
      <c r="W289" s="207"/>
      <c r="X289" s="207"/>
      <c r="Y289" s="207"/>
      <c r="Z289" s="207"/>
      <c r="AA289" s="207"/>
      <c r="AB289" s="207"/>
      <c r="AC289" s="207"/>
      <c r="AD289" s="207"/>
    </row>
    <row r="290" spans="1:30" s="208" customFormat="1" ht="15.75" hidden="1" customHeight="1" thickBot="1">
      <c r="A290" s="284"/>
      <c r="B290" s="216"/>
      <c r="C290" s="110" t="s">
        <v>8</v>
      </c>
      <c r="D290" s="189" t="s">
        <v>8</v>
      </c>
      <c r="E290" s="37"/>
      <c r="F290" s="204"/>
      <c r="G290" s="204"/>
      <c r="H290" s="205"/>
      <c r="I290" s="206"/>
      <c r="J290" s="206"/>
      <c r="K290" s="206"/>
      <c r="L290" s="206"/>
      <c r="M290" s="206"/>
      <c r="N290" s="207"/>
      <c r="O290" s="207"/>
      <c r="P290" s="207"/>
      <c r="Q290" s="207"/>
      <c r="R290" s="207"/>
      <c r="S290" s="207"/>
      <c r="T290" s="207"/>
      <c r="U290" s="207"/>
      <c r="V290" s="207"/>
      <c r="W290" s="207"/>
      <c r="X290" s="207"/>
      <c r="Y290" s="207"/>
      <c r="Z290" s="207"/>
      <c r="AA290" s="207"/>
      <c r="AB290" s="207"/>
      <c r="AC290" s="207"/>
      <c r="AD290" s="207"/>
    </row>
    <row r="291" spans="1:30" s="196" customFormat="1" ht="15.75" hidden="1" customHeight="1" thickBot="1">
      <c r="A291" s="284"/>
      <c r="B291" s="216"/>
      <c r="C291" s="110" t="s">
        <v>8</v>
      </c>
      <c r="D291" s="189" t="s">
        <v>8</v>
      </c>
      <c r="E291" s="37"/>
      <c r="F291" s="192"/>
      <c r="G291" s="192"/>
      <c r="H291" s="193"/>
      <c r="I291" s="194"/>
      <c r="J291" s="194"/>
      <c r="K291" s="194"/>
      <c r="L291" s="194"/>
      <c r="M291" s="194"/>
      <c r="N291" s="195"/>
      <c r="O291" s="195"/>
      <c r="P291" s="195"/>
      <c r="Q291" s="195"/>
      <c r="R291" s="195"/>
      <c r="S291" s="195"/>
      <c r="T291" s="195"/>
      <c r="U291" s="195"/>
      <c r="V291" s="195"/>
      <c r="W291" s="195"/>
      <c r="X291" s="195"/>
      <c r="Y291" s="195"/>
      <c r="Z291" s="195"/>
      <c r="AA291" s="195"/>
      <c r="AB291" s="195"/>
      <c r="AC291" s="195"/>
      <c r="AD291" s="195"/>
    </row>
    <row r="292" spans="1:30" s="196" customFormat="1" ht="15.75" hidden="1" customHeight="1" thickBot="1">
      <c r="A292" s="284"/>
      <c r="B292" s="216"/>
      <c r="C292" s="110" t="s">
        <v>8</v>
      </c>
      <c r="D292" s="189" t="s">
        <v>8</v>
      </c>
      <c r="E292" s="37"/>
      <c r="F292" s="192"/>
      <c r="G292" s="192"/>
      <c r="H292" s="193"/>
      <c r="I292" s="194"/>
      <c r="J292" s="194"/>
      <c r="K292" s="194"/>
      <c r="L292" s="194"/>
      <c r="M292" s="194"/>
      <c r="N292" s="195"/>
      <c r="O292" s="195"/>
      <c r="P292" s="195"/>
      <c r="Q292" s="195"/>
      <c r="R292" s="195"/>
      <c r="S292" s="195"/>
      <c r="T292" s="195"/>
      <c r="U292" s="195"/>
      <c r="V292" s="195"/>
      <c r="W292" s="195"/>
      <c r="X292" s="195"/>
      <c r="Y292" s="195"/>
      <c r="Z292" s="195"/>
      <c r="AA292" s="195"/>
      <c r="AB292" s="195"/>
      <c r="AC292" s="195"/>
      <c r="AD292" s="195"/>
    </row>
    <row r="293" spans="1:30" s="196" customFormat="1" ht="15.75" hidden="1" customHeight="1" thickBot="1">
      <c r="A293" s="284"/>
      <c r="B293" s="216"/>
      <c r="C293" s="110" t="s">
        <v>8</v>
      </c>
      <c r="D293" s="189" t="s">
        <v>8</v>
      </c>
      <c r="E293" s="37"/>
      <c r="F293" s="192"/>
      <c r="G293" s="192"/>
      <c r="H293" s="193"/>
      <c r="I293" s="194"/>
      <c r="J293" s="194"/>
      <c r="K293" s="194"/>
      <c r="L293" s="194"/>
      <c r="M293" s="194"/>
      <c r="N293" s="195"/>
      <c r="O293" s="195"/>
      <c r="P293" s="195"/>
      <c r="Q293" s="195"/>
      <c r="R293" s="195"/>
      <c r="S293" s="195"/>
      <c r="T293" s="195"/>
      <c r="U293" s="195"/>
      <c r="V293" s="195"/>
      <c r="W293" s="195"/>
      <c r="X293" s="195"/>
      <c r="Y293" s="195"/>
      <c r="Z293" s="195"/>
      <c r="AA293" s="195"/>
      <c r="AB293" s="195"/>
      <c r="AC293" s="195"/>
      <c r="AD293" s="195"/>
    </row>
    <row r="294" spans="1:30" s="196" customFormat="1" ht="15.75" hidden="1" customHeight="1" thickBot="1">
      <c r="A294" s="284"/>
      <c r="B294" s="216"/>
      <c r="C294" s="110" t="s">
        <v>8</v>
      </c>
      <c r="D294" s="189" t="s">
        <v>8</v>
      </c>
      <c r="E294" s="37"/>
      <c r="F294" s="192"/>
      <c r="G294" s="192"/>
      <c r="H294" s="193"/>
      <c r="I294" s="194"/>
      <c r="J294" s="194"/>
      <c r="K294" s="194"/>
      <c r="L294" s="194"/>
      <c r="M294" s="194"/>
      <c r="N294" s="195"/>
      <c r="O294" s="195"/>
      <c r="P294" s="195"/>
      <c r="Q294" s="195"/>
      <c r="R294" s="195"/>
      <c r="S294" s="195"/>
      <c r="T294" s="195"/>
      <c r="U294" s="195"/>
      <c r="V294" s="195"/>
      <c r="W294" s="195"/>
      <c r="X294" s="195"/>
      <c r="Y294" s="195"/>
      <c r="Z294" s="195"/>
      <c r="AA294" s="195"/>
      <c r="AB294" s="195"/>
      <c r="AC294" s="195"/>
      <c r="AD294" s="195"/>
    </row>
    <row r="295" spans="1:30" s="196" customFormat="1" ht="15.75" hidden="1" customHeight="1" thickBot="1">
      <c r="A295" s="284"/>
      <c r="B295" s="216"/>
      <c r="C295" s="110" t="s">
        <v>8</v>
      </c>
      <c r="D295" s="189" t="s">
        <v>8</v>
      </c>
      <c r="E295" s="37"/>
      <c r="F295" s="192"/>
      <c r="G295" s="192"/>
      <c r="H295" s="193"/>
      <c r="I295" s="194"/>
      <c r="J295" s="194"/>
      <c r="K295" s="194"/>
      <c r="L295" s="194"/>
      <c r="M295" s="194"/>
      <c r="N295" s="195"/>
      <c r="O295" s="195"/>
      <c r="P295" s="195"/>
      <c r="Q295" s="195"/>
      <c r="R295" s="195"/>
      <c r="S295" s="195"/>
      <c r="T295" s="195"/>
      <c r="U295" s="195"/>
      <c r="V295" s="195"/>
      <c r="W295" s="195"/>
      <c r="X295" s="195"/>
      <c r="Y295" s="195"/>
      <c r="Z295" s="195"/>
      <c r="AA295" s="195"/>
      <c r="AB295" s="195"/>
      <c r="AC295" s="195"/>
      <c r="AD295" s="195"/>
    </row>
    <row r="296" spans="1:30" s="203" customFormat="1" ht="15.75" hidden="1" customHeight="1" thickBot="1">
      <c r="A296" s="284"/>
      <c r="B296" s="216"/>
      <c r="C296" s="110" t="s">
        <v>8</v>
      </c>
      <c r="D296" s="189" t="s">
        <v>8</v>
      </c>
      <c r="E296" s="37"/>
      <c r="F296" s="199"/>
      <c r="G296" s="199"/>
      <c r="H296" s="200"/>
      <c r="I296" s="201"/>
      <c r="J296" s="201"/>
      <c r="K296" s="201"/>
      <c r="L296" s="201"/>
      <c r="M296" s="201"/>
      <c r="N296" s="202"/>
      <c r="O296" s="202"/>
      <c r="P296" s="202"/>
      <c r="Q296" s="202"/>
      <c r="R296" s="202"/>
      <c r="S296" s="202"/>
      <c r="T296" s="202"/>
      <c r="U296" s="202"/>
      <c r="V296" s="202"/>
      <c r="W296" s="202"/>
      <c r="X296" s="202"/>
      <c r="Y296" s="202"/>
      <c r="Z296" s="202"/>
      <c r="AA296" s="202"/>
      <c r="AB296" s="202"/>
      <c r="AC296" s="202"/>
      <c r="AD296" s="202"/>
    </row>
    <row r="297" spans="1:30" s="203" customFormat="1" ht="15.75" hidden="1" customHeight="1" thickBot="1">
      <c r="A297" s="284"/>
      <c r="B297" s="216"/>
      <c r="C297" s="110" t="s">
        <v>8</v>
      </c>
      <c r="D297" s="189" t="s">
        <v>8</v>
      </c>
      <c r="E297" s="37"/>
      <c r="F297" s="199"/>
      <c r="G297" s="199"/>
      <c r="H297" s="200"/>
      <c r="I297" s="201"/>
      <c r="J297" s="201"/>
      <c r="K297" s="201"/>
      <c r="L297" s="201"/>
      <c r="M297" s="201"/>
      <c r="N297" s="202"/>
      <c r="O297" s="202"/>
      <c r="P297" s="202"/>
      <c r="Q297" s="202"/>
      <c r="R297" s="202"/>
      <c r="S297" s="202"/>
      <c r="T297" s="202"/>
      <c r="U297" s="202"/>
      <c r="V297" s="202"/>
      <c r="W297" s="202"/>
      <c r="X297" s="202"/>
      <c r="Y297" s="202"/>
      <c r="Z297" s="202"/>
      <c r="AA297" s="202"/>
      <c r="AB297" s="202"/>
      <c r="AC297" s="202"/>
      <c r="AD297" s="202"/>
    </row>
    <row r="298" spans="1:30" s="203" customFormat="1" ht="15.75" hidden="1" customHeight="1" thickBot="1">
      <c r="A298" s="284"/>
      <c r="B298" s="216"/>
      <c r="C298" s="110" t="s">
        <v>8</v>
      </c>
      <c r="D298" s="189" t="s">
        <v>8</v>
      </c>
      <c r="E298" s="37"/>
      <c r="F298" s="199"/>
      <c r="G298" s="199"/>
      <c r="H298" s="200"/>
      <c r="I298" s="201"/>
      <c r="J298" s="201"/>
      <c r="K298" s="201"/>
      <c r="L298" s="201"/>
      <c r="M298" s="201"/>
      <c r="N298" s="202"/>
      <c r="O298" s="202"/>
      <c r="P298" s="202"/>
      <c r="Q298" s="202"/>
      <c r="R298" s="202"/>
      <c r="S298" s="202"/>
      <c r="T298" s="202"/>
      <c r="U298" s="202"/>
      <c r="V298" s="202"/>
      <c r="W298" s="202"/>
      <c r="X298" s="202"/>
      <c r="Y298" s="202"/>
      <c r="Z298" s="202"/>
      <c r="AA298" s="202"/>
      <c r="AB298" s="202"/>
      <c r="AC298" s="202"/>
      <c r="AD298" s="202"/>
    </row>
    <row r="299" spans="1:30" s="203" customFormat="1" ht="15.75" hidden="1" customHeight="1" thickBot="1">
      <c r="A299" s="284"/>
      <c r="B299" s="216"/>
      <c r="C299" s="110" t="s">
        <v>8</v>
      </c>
      <c r="D299" s="189" t="s">
        <v>8</v>
      </c>
      <c r="E299" s="37"/>
      <c r="F299" s="199"/>
      <c r="G299" s="199"/>
      <c r="H299" s="200"/>
      <c r="I299" s="201"/>
      <c r="J299" s="201"/>
      <c r="K299" s="201"/>
      <c r="L299" s="201"/>
      <c r="M299" s="201"/>
      <c r="N299" s="202"/>
      <c r="O299" s="202"/>
      <c r="P299" s="202"/>
      <c r="Q299" s="202"/>
      <c r="R299" s="202"/>
      <c r="S299" s="202"/>
      <c r="T299" s="202"/>
      <c r="U299" s="202"/>
      <c r="V299" s="202"/>
      <c r="W299" s="202"/>
      <c r="X299" s="202"/>
      <c r="Y299" s="202"/>
      <c r="Z299" s="202"/>
      <c r="AA299" s="202"/>
      <c r="AB299" s="202"/>
      <c r="AC299" s="202"/>
      <c r="AD299" s="202"/>
    </row>
    <row r="300" spans="1:30" s="208" customFormat="1" ht="15.75" hidden="1" customHeight="1" thickBot="1">
      <c r="A300" s="284"/>
      <c r="B300" s="216"/>
      <c r="C300" s="110" t="s">
        <v>8</v>
      </c>
      <c r="D300" s="189" t="s">
        <v>8</v>
      </c>
      <c r="E300" s="37"/>
      <c r="F300" s="204"/>
      <c r="G300" s="204"/>
      <c r="H300" s="205"/>
      <c r="I300" s="206"/>
      <c r="J300" s="206"/>
      <c r="K300" s="206"/>
      <c r="L300" s="206"/>
      <c r="M300" s="206"/>
      <c r="N300" s="207"/>
      <c r="O300" s="207"/>
      <c r="P300" s="207"/>
      <c r="Q300" s="207"/>
      <c r="R300" s="207"/>
      <c r="S300" s="207"/>
      <c r="T300" s="207"/>
      <c r="U300" s="207"/>
      <c r="V300" s="207"/>
      <c r="W300" s="207"/>
      <c r="X300" s="207"/>
      <c r="Y300" s="207"/>
      <c r="Z300" s="207"/>
      <c r="AA300" s="207"/>
      <c r="AB300" s="207"/>
      <c r="AC300" s="207"/>
      <c r="AD300" s="207"/>
    </row>
    <row r="301" spans="1:30" s="208" customFormat="1" ht="15.75" hidden="1" customHeight="1" thickBot="1">
      <c r="A301" s="284"/>
      <c r="B301" s="216"/>
      <c r="C301" s="110" t="s">
        <v>8</v>
      </c>
      <c r="D301" s="189" t="s">
        <v>8</v>
      </c>
      <c r="E301" s="37"/>
      <c r="F301" s="204"/>
      <c r="G301" s="204"/>
      <c r="H301" s="205"/>
      <c r="I301" s="206"/>
      <c r="J301" s="206"/>
      <c r="K301" s="206"/>
      <c r="L301" s="206"/>
      <c r="M301" s="206"/>
      <c r="N301" s="207"/>
      <c r="O301" s="207"/>
      <c r="P301" s="207"/>
      <c r="Q301" s="207"/>
      <c r="R301" s="207"/>
      <c r="S301" s="207"/>
      <c r="T301" s="207"/>
      <c r="U301" s="207"/>
      <c r="V301" s="207"/>
      <c r="W301" s="207"/>
      <c r="X301" s="207"/>
      <c r="Y301" s="207"/>
      <c r="Z301" s="207"/>
      <c r="AA301" s="207"/>
      <c r="AB301" s="207"/>
      <c r="AC301" s="207"/>
      <c r="AD301" s="207"/>
    </row>
    <row r="302" spans="1:30" s="208" customFormat="1" ht="15.75" hidden="1" customHeight="1" thickBot="1">
      <c r="A302" s="284"/>
      <c r="B302" s="216"/>
      <c r="C302" s="110" t="s">
        <v>8</v>
      </c>
      <c r="D302" s="189" t="s">
        <v>8</v>
      </c>
      <c r="E302" s="37"/>
      <c r="F302" s="204"/>
      <c r="G302" s="204"/>
      <c r="H302" s="205"/>
      <c r="I302" s="206"/>
      <c r="J302" s="206"/>
      <c r="K302" s="206"/>
      <c r="L302" s="206"/>
      <c r="M302" s="206"/>
      <c r="N302" s="207"/>
      <c r="O302" s="207"/>
      <c r="P302" s="207"/>
      <c r="Q302" s="207"/>
      <c r="R302" s="207"/>
      <c r="S302" s="207"/>
      <c r="T302" s="207"/>
      <c r="U302" s="207"/>
      <c r="V302" s="207"/>
      <c r="W302" s="207"/>
      <c r="X302" s="207"/>
      <c r="Y302" s="207"/>
      <c r="Z302" s="207"/>
      <c r="AA302" s="207"/>
      <c r="AB302" s="207"/>
      <c r="AC302" s="207"/>
      <c r="AD302" s="207"/>
    </row>
    <row r="303" spans="1:30" s="208" customFormat="1" ht="15.75" hidden="1" customHeight="1" thickBot="1">
      <c r="A303" s="284"/>
      <c r="B303" s="216"/>
      <c r="C303" s="110" t="s">
        <v>8</v>
      </c>
      <c r="D303" s="189" t="s">
        <v>8</v>
      </c>
      <c r="E303" s="37"/>
      <c r="F303" s="204"/>
      <c r="G303" s="204"/>
      <c r="H303" s="205"/>
      <c r="I303" s="206"/>
      <c r="J303" s="206"/>
      <c r="K303" s="206"/>
      <c r="L303" s="206"/>
      <c r="M303" s="206"/>
      <c r="N303" s="207"/>
      <c r="O303" s="207"/>
      <c r="P303" s="207"/>
      <c r="Q303" s="207"/>
      <c r="R303" s="207"/>
      <c r="S303" s="207"/>
      <c r="T303" s="207"/>
      <c r="U303" s="207"/>
      <c r="V303" s="207"/>
      <c r="W303" s="207"/>
      <c r="X303" s="207"/>
      <c r="Y303" s="207"/>
      <c r="Z303" s="207"/>
      <c r="AA303" s="207"/>
      <c r="AB303" s="207"/>
      <c r="AC303" s="207"/>
      <c r="AD303" s="207"/>
    </row>
    <row r="304" spans="1:30" s="208" customFormat="1" ht="15.75" hidden="1" customHeight="1" thickBot="1">
      <c r="A304" s="284"/>
      <c r="B304" s="216"/>
      <c r="C304" s="110" t="s">
        <v>8</v>
      </c>
      <c r="D304" s="189" t="s">
        <v>8</v>
      </c>
      <c r="E304" s="37"/>
      <c r="F304" s="204"/>
      <c r="G304" s="204"/>
      <c r="H304" s="205"/>
      <c r="I304" s="206"/>
      <c r="J304" s="206"/>
      <c r="K304" s="206"/>
      <c r="L304" s="206"/>
      <c r="M304" s="206"/>
      <c r="N304" s="207"/>
      <c r="O304" s="207"/>
      <c r="P304" s="207"/>
      <c r="Q304" s="207"/>
      <c r="R304" s="207"/>
      <c r="S304" s="207"/>
      <c r="T304" s="207"/>
      <c r="U304" s="207"/>
      <c r="V304" s="207"/>
      <c r="W304" s="207"/>
      <c r="X304" s="207"/>
      <c r="Y304" s="207"/>
      <c r="Z304" s="207"/>
      <c r="AA304" s="207"/>
      <c r="AB304" s="207"/>
      <c r="AC304" s="207"/>
      <c r="AD304" s="207"/>
    </row>
    <row r="305" spans="1:30" s="208" customFormat="1" ht="15.75" hidden="1" customHeight="1" thickBot="1">
      <c r="A305" s="284"/>
      <c r="B305" s="216"/>
      <c r="C305" s="110" t="s">
        <v>8</v>
      </c>
      <c r="D305" s="189" t="s">
        <v>8</v>
      </c>
      <c r="E305" s="37"/>
      <c r="F305" s="204"/>
      <c r="G305" s="204"/>
      <c r="H305" s="205"/>
      <c r="I305" s="206"/>
      <c r="J305" s="206"/>
      <c r="K305" s="206"/>
      <c r="L305" s="206"/>
      <c r="M305" s="206"/>
      <c r="N305" s="207"/>
      <c r="O305" s="207"/>
      <c r="P305" s="207"/>
      <c r="Q305" s="207"/>
      <c r="R305" s="207"/>
      <c r="S305" s="207"/>
      <c r="T305" s="207"/>
      <c r="U305" s="207"/>
      <c r="V305" s="207"/>
      <c r="W305" s="207"/>
      <c r="X305" s="207"/>
      <c r="Y305" s="207"/>
      <c r="Z305" s="207"/>
      <c r="AA305" s="207"/>
      <c r="AB305" s="207"/>
      <c r="AC305" s="207"/>
      <c r="AD305" s="207"/>
    </row>
    <row r="306" spans="1:30" s="208" customFormat="1" ht="15.75" hidden="1" customHeight="1" thickBot="1">
      <c r="A306" s="284"/>
      <c r="B306" s="216"/>
      <c r="C306" s="110" t="s">
        <v>8</v>
      </c>
      <c r="D306" s="189" t="s">
        <v>8</v>
      </c>
      <c r="E306" s="37"/>
      <c r="F306" s="204"/>
      <c r="G306" s="204"/>
      <c r="H306" s="205"/>
      <c r="I306" s="206"/>
      <c r="J306" s="206"/>
      <c r="K306" s="206"/>
      <c r="L306" s="206"/>
      <c r="M306" s="206"/>
      <c r="N306" s="207"/>
      <c r="O306" s="207"/>
      <c r="P306" s="207"/>
      <c r="Q306" s="207"/>
      <c r="R306" s="207"/>
      <c r="S306" s="207"/>
      <c r="T306" s="207"/>
      <c r="U306" s="207"/>
      <c r="V306" s="207"/>
      <c r="W306" s="207"/>
      <c r="X306" s="207"/>
      <c r="Y306" s="207"/>
      <c r="Z306" s="207"/>
      <c r="AA306" s="207"/>
      <c r="AB306" s="207"/>
      <c r="AC306" s="207"/>
      <c r="AD306" s="207"/>
    </row>
    <row r="307" spans="1:30" s="208" customFormat="1" ht="15.75" hidden="1" customHeight="1" thickBot="1">
      <c r="A307" s="284"/>
      <c r="B307" s="216"/>
      <c r="C307" s="110" t="s">
        <v>8</v>
      </c>
      <c r="D307" s="189" t="s">
        <v>8</v>
      </c>
      <c r="E307" s="37"/>
      <c r="F307" s="204"/>
      <c r="G307" s="204"/>
      <c r="H307" s="205"/>
      <c r="I307" s="206"/>
      <c r="J307" s="206"/>
      <c r="K307" s="206"/>
      <c r="L307" s="206"/>
      <c r="M307" s="206"/>
      <c r="N307" s="207"/>
      <c r="O307" s="207"/>
      <c r="P307" s="207"/>
      <c r="Q307" s="207"/>
      <c r="R307" s="207"/>
      <c r="S307" s="207"/>
      <c r="T307" s="207"/>
      <c r="U307" s="207"/>
      <c r="V307" s="207"/>
      <c r="W307" s="207"/>
      <c r="X307" s="207"/>
      <c r="Y307" s="207"/>
      <c r="Z307" s="207"/>
      <c r="AA307" s="207"/>
      <c r="AB307" s="207"/>
      <c r="AC307" s="207"/>
      <c r="AD307" s="207"/>
    </row>
    <row r="308" spans="1:30" s="208" customFormat="1" ht="15.75" hidden="1" customHeight="1" thickBot="1">
      <c r="A308" s="284"/>
      <c r="B308" s="216"/>
      <c r="C308" s="110" t="s">
        <v>8</v>
      </c>
      <c r="D308" s="189" t="s">
        <v>8</v>
      </c>
      <c r="E308" s="37"/>
      <c r="F308" s="204"/>
      <c r="G308" s="204"/>
      <c r="H308" s="205"/>
      <c r="I308" s="206"/>
      <c r="J308" s="206"/>
      <c r="K308" s="206"/>
      <c r="L308" s="206"/>
      <c r="M308" s="206"/>
      <c r="N308" s="207"/>
      <c r="O308" s="207"/>
      <c r="P308" s="207"/>
      <c r="Q308" s="207"/>
      <c r="R308" s="207"/>
      <c r="S308" s="207"/>
      <c r="T308" s="207"/>
      <c r="U308" s="207"/>
      <c r="V308" s="207"/>
      <c r="W308" s="207"/>
      <c r="X308" s="207"/>
      <c r="Y308" s="207"/>
      <c r="Z308" s="207"/>
      <c r="AA308" s="207"/>
      <c r="AB308" s="207"/>
      <c r="AC308" s="207"/>
      <c r="AD308" s="207"/>
    </row>
    <row r="309" spans="1:30" s="196" customFormat="1" ht="15.75" hidden="1" customHeight="1" thickBot="1">
      <c r="A309" s="284"/>
      <c r="B309" s="216"/>
      <c r="C309" s="110" t="s">
        <v>8</v>
      </c>
      <c r="D309" s="189" t="s">
        <v>8</v>
      </c>
      <c r="E309" s="37"/>
      <c r="F309" s="192"/>
      <c r="G309" s="192"/>
      <c r="H309" s="193"/>
      <c r="I309" s="194"/>
      <c r="J309" s="194"/>
      <c r="K309" s="194"/>
      <c r="L309" s="194"/>
      <c r="M309" s="194"/>
      <c r="N309" s="195"/>
      <c r="O309" s="195"/>
      <c r="P309" s="195"/>
      <c r="Q309" s="195"/>
      <c r="R309" s="195"/>
      <c r="S309" s="195"/>
      <c r="T309" s="195"/>
      <c r="U309" s="195"/>
      <c r="V309" s="195"/>
      <c r="W309" s="195"/>
      <c r="X309" s="195"/>
      <c r="Y309" s="195"/>
      <c r="Z309" s="195"/>
      <c r="AA309" s="195"/>
      <c r="AB309" s="195"/>
      <c r="AC309" s="195"/>
      <c r="AD309" s="195"/>
    </row>
    <row r="310" spans="1:30" s="196" customFormat="1" ht="15.75" hidden="1" customHeight="1" thickBot="1">
      <c r="A310" s="284"/>
      <c r="B310" s="216"/>
      <c r="C310" s="110" t="s">
        <v>8</v>
      </c>
      <c r="D310" s="189" t="s">
        <v>8</v>
      </c>
      <c r="E310" s="37"/>
      <c r="F310" s="192"/>
      <c r="G310" s="192"/>
      <c r="H310" s="193"/>
      <c r="I310" s="194"/>
      <c r="J310" s="194"/>
      <c r="K310" s="194"/>
      <c r="L310" s="194"/>
      <c r="M310" s="194"/>
      <c r="N310" s="195"/>
      <c r="O310" s="195"/>
      <c r="P310" s="195"/>
      <c r="Q310" s="195"/>
      <c r="R310" s="195"/>
      <c r="S310" s="195"/>
      <c r="T310" s="195"/>
      <c r="U310" s="195"/>
      <c r="V310" s="195"/>
      <c r="W310" s="195"/>
      <c r="X310" s="195"/>
      <c r="Y310" s="195"/>
      <c r="Z310" s="195"/>
      <c r="AA310" s="195"/>
      <c r="AB310" s="195"/>
      <c r="AC310" s="195"/>
      <c r="AD310" s="195"/>
    </row>
    <row r="311" spans="1:30" s="196" customFormat="1" ht="15.75" hidden="1" customHeight="1" thickBot="1">
      <c r="A311" s="284"/>
      <c r="B311" s="216"/>
      <c r="C311" s="110" t="s">
        <v>8</v>
      </c>
      <c r="D311" s="189" t="s">
        <v>8</v>
      </c>
      <c r="E311" s="37"/>
      <c r="F311" s="192"/>
      <c r="G311" s="192"/>
      <c r="H311" s="193"/>
      <c r="I311" s="194"/>
      <c r="J311" s="194"/>
      <c r="K311" s="194"/>
      <c r="L311" s="194"/>
      <c r="M311" s="194"/>
      <c r="N311" s="195"/>
      <c r="O311" s="195"/>
      <c r="P311" s="195"/>
      <c r="Q311" s="195"/>
      <c r="R311" s="195"/>
      <c r="S311" s="195"/>
      <c r="T311" s="195"/>
      <c r="U311" s="195"/>
      <c r="V311" s="195"/>
      <c r="W311" s="195"/>
      <c r="X311" s="195"/>
      <c r="Y311" s="195"/>
      <c r="Z311" s="195"/>
      <c r="AA311" s="195"/>
      <c r="AB311" s="195"/>
      <c r="AC311" s="195"/>
      <c r="AD311" s="195"/>
    </row>
    <row r="312" spans="1:30" s="196" customFormat="1" ht="15.75" hidden="1" customHeight="1" thickBot="1">
      <c r="A312" s="284"/>
      <c r="B312" s="216"/>
      <c r="C312" s="110" t="s">
        <v>8</v>
      </c>
      <c r="D312" s="189" t="s">
        <v>8</v>
      </c>
      <c r="E312" s="37"/>
      <c r="F312" s="192"/>
      <c r="G312" s="192"/>
      <c r="H312" s="193"/>
      <c r="I312" s="194"/>
      <c r="J312" s="194"/>
      <c r="K312" s="194"/>
      <c r="L312" s="194"/>
      <c r="M312" s="194"/>
      <c r="N312" s="195"/>
      <c r="O312" s="195"/>
      <c r="P312" s="195"/>
      <c r="Q312" s="195"/>
      <c r="R312" s="195"/>
      <c r="S312" s="195"/>
      <c r="T312" s="195"/>
      <c r="U312" s="195"/>
      <c r="V312" s="195"/>
      <c r="W312" s="195"/>
      <c r="X312" s="195"/>
      <c r="Y312" s="195"/>
      <c r="Z312" s="195"/>
      <c r="AA312" s="195"/>
      <c r="AB312" s="195"/>
      <c r="AC312" s="195"/>
      <c r="AD312" s="195"/>
    </row>
    <row r="313" spans="1:30" s="196" customFormat="1" ht="15.75" hidden="1" customHeight="1" thickBot="1">
      <c r="A313" s="284"/>
      <c r="B313" s="216"/>
      <c r="C313" s="110" t="s">
        <v>8</v>
      </c>
      <c r="D313" s="189" t="s">
        <v>8</v>
      </c>
      <c r="E313" s="37"/>
      <c r="F313" s="192"/>
      <c r="G313" s="192"/>
      <c r="H313" s="193"/>
      <c r="I313" s="194"/>
      <c r="J313" s="194"/>
      <c r="K313" s="194"/>
      <c r="L313" s="194"/>
      <c r="M313" s="194"/>
      <c r="N313" s="195"/>
      <c r="O313" s="195"/>
      <c r="P313" s="195"/>
      <c r="Q313" s="195"/>
      <c r="R313" s="195"/>
      <c r="S313" s="195"/>
      <c r="T313" s="195"/>
      <c r="U313" s="195"/>
      <c r="V313" s="195"/>
      <c r="W313" s="195"/>
      <c r="X313" s="195"/>
      <c r="Y313" s="195"/>
      <c r="Z313" s="195"/>
      <c r="AA313" s="195"/>
      <c r="AB313" s="195"/>
      <c r="AC313" s="195"/>
      <c r="AD313" s="195"/>
    </row>
    <row r="314" spans="1:30" s="196" customFormat="1" ht="15.75" hidden="1" customHeight="1" thickBot="1">
      <c r="A314" s="284"/>
      <c r="B314" s="216"/>
      <c r="C314" s="110" t="s">
        <v>8</v>
      </c>
      <c r="D314" s="189" t="s">
        <v>8</v>
      </c>
      <c r="E314" s="37"/>
      <c r="F314" s="192"/>
      <c r="G314" s="192"/>
      <c r="H314" s="193"/>
      <c r="I314" s="194"/>
      <c r="J314" s="194"/>
      <c r="K314" s="194"/>
      <c r="L314" s="194"/>
      <c r="M314" s="194"/>
      <c r="N314" s="195"/>
      <c r="O314" s="195"/>
      <c r="P314" s="195"/>
      <c r="Q314" s="195"/>
      <c r="R314" s="195"/>
      <c r="S314" s="195"/>
      <c r="T314" s="195"/>
      <c r="U314" s="195"/>
      <c r="V314" s="195"/>
      <c r="W314" s="195"/>
      <c r="X314" s="195"/>
      <c r="Y314" s="195"/>
      <c r="Z314" s="195"/>
      <c r="AA314" s="195"/>
      <c r="AB314" s="195"/>
      <c r="AC314" s="195"/>
      <c r="AD314" s="195"/>
    </row>
    <row r="315" spans="1:30" s="203" customFormat="1" ht="15.75" hidden="1" customHeight="1" thickBot="1">
      <c r="A315" s="284"/>
      <c r="B315" s="216"/>
      <c r="C315" s="110" t="s">
        <v>8</v>
      </c>
      <c r="D315" s="189" t="s">
        <v>8</v>
      </c>
      <c r="E315" s="37"/>
      <c r="F315" s="199"/>
      <c r="G315" s="199"/>
      <c r="H315" s="200"/>
      <c r="I315" s="201"/>
      <c r="J315" s="201"/>
      <c r="K315" s="201"/>
      <c r="L315" s="201"/>
      <c r="M315" s="201"/>
      <c r="N315" s="202"/>
      <c r="O315" s="202"/>
      <c r="P315" s="202"/>
      <c r="Q315" s="202"/>
      <c r="R315" s="202"/>
      <c r="S315" s="202"/>
      <c r="T315" s="202"/>
      <c r="U315" s="202"/>
      <c r="V315" s="202"/>
      <c r="W315" s="202"/>
      <c r="X315" s="202"/>
      <c r="Y315" s="202"/>
      <c r="Z315" s="202"/>
      <c r="AA315" s="202"/>
      <c r="AB315" s="202"/>
      <c r="AC315" s="202"/>
      <c r="AD315" s="202"/>
    </row>
    <row r="316" spans="1:30" s="203" customFormat="1" ht="15.75" hidden="1" customHeight="1" thickBot="1">
      <c r="A316" s="284"/>
      <c r="B316" s="216"/>
      <c r="C316" s="110" t="s">
        <v>8</v>
      </c>
      <c r="D316" s="189" t="s">
        <v>8</v>
      </c>
      <c r="E316" s="37"/>
      <c r="F316" s="199"/>
      <c r="G316" s="199"/>
      <c r="H316" s="200"/>
      <c r="I316" s="201"/>
      <c r="J316" s="201"/>
      <c r="K316" s="201"/>
      <c r="L316" s="201"/>
      <c r="M316" s="201"/>
      <c r="N316" s="202"/>
      <c r="O316" s="202"/>
      <c r="P316" s="202"/>
      <c r="Q316" s="202"/>
      <c r="R316" s="202"/>
      <c r="S316" s="202"/>
      <c r="T316" s="202"/>
      <c r="U316" s="202"/>
      <c r="V316" s="202"/>
      <c r="W316" s="202"/>
      <c r="X316" s="202"/>
      <c r="Y316" s="202"/>
      <c r="Z316" s="202"/>
      <c r="AA316" s="202"/>
      <c r="AB316" s="202"/>
      <c r="AC316" s="202"/>
      <c r="AD316" s="202"/>
    </row>
    <row r="317" spans="1:30" s="203" customFormat="1" ht="15.75" hidden="1" customHeight="1" thickBot="1">
      <c r="A317" s="284"/>
      <c r="B317" s="216"/>
      <c r="C317" s="110" t="s">
        <v>8</v>
      </c>
      <c r="D317" s="189" t="s">
        <v>8</v>
      </c>
      <c r="E317" s="37"/>
      <c r="F317" s="199"/>
      <c r="G317" s="199"/>
      <c r="H317" s="200"/>
      <c r="I317" s="201"/>
      <c r="J317" s="201"/>
      <c r="K317" s="201"/>
      <c r="L317" s="201"/>
      <c r="M317" s="201"/>
      <c r="N317" s="202"/>
      <c r="O317" s="202"/>
      <c r="P317" s="202"/>
      <c r="Q317" s="202"/>
      <c r="R317" s="202"/>
      <c r="S317" s="202"/>
      <c r="T317" s="202"/>
      <c r="U317" s="202"/>
      <c r="V317" s="202"/>
      <c r="W317" s="202"/>
      <c r="X317" s="202"/>
      <c r="Y317" s="202"/>
      <c r="Z317" s="202"/>
      <c r="AA317" s="202"/>
      <c r="AB317" s="202"/>
      <c r="AC317" s="202"/>
      <c r="AD317" s="202"/>
    </row>
    <row r="318" spans="1:30" s="203" customFormat="1" ht="15.75" hidden="1" customHeight="1" thickBot="1">
      <c r="A318" s="284"/>
      <c r="B318" s="216"/>
      <c r="C318" s="110" t="s">
        <v>8</v>
      </c>
      <c r="D318" s="189" t="s">
        <v>8</v>
      </c>
      <c r="E318" s="37"/>
      <c r="F318" s="199"/>
      <c r="G318" s="199"/>
      <c r="H318" s="200"/>
      <c r="I318" s="201"/>
      <c r="J318" s="201"/>
      <c r="K318" s="201"/>
      <c r="L318" s="201"/>
      <c r="M318" s="201"/>
      <c r="N318" s="202"/>
      <c r="O318" s="202"/>
      <c r="P318" s="202"/>
      <c r="Q318" s="202"/>
      <c r="R318" s="202"/>
      <c r="S318" s="202"/>
      <c r="T318" s="202"/>
      <c r="U318" s="202"/>
      <c r="V318" s="202"/>
      <c r="W318" s="202"/>
      <c r="X318" s="202"/>
      <c r="Y318" s="202"/>
      <c r="Z318" s="202"/>
      <c r="AA318" s="202"/>
      <c r="AB318" s="202"/>
      <c r="AC318" s="202"/>
      <c r="AD318" s="202"/>
    </row>
    <row r="319" spans="1:30" s="208" customFormat="1" ht="15.75" hidden="1" customHeight="1" thickBot="1">
      <c r="A319" s="284"/>
      <c r="B319" s="216"/>
      <c r="C319" s="110" t="s">
        <v>8</v>
      </c>
      <c r="D319" s="189" t="s">
        <v>8</v>
      </c>
      <c r="E319" s="37"/>
      <c r="F319" s="204"/>
      <c r="G319" s="204"/>
      <c r="H319" s="205"/>
      <c r="I319" s="206"/>
      <c r="J319" s="206"/>
      <c r="K319" s="206"/>
      <c r="L319" s="206"/>
      <c r="M319" s="206"/>
      <c r="N319" s="207"/>
      <c r="O319" s="207"/>
      <c r="P319" s="207"/>
      <c r="Q319" s="207"/>
      <c r="R319" s="207"/>
      <c r="S319" s="207"/>
      <c r="T319" s="207"/>
      <c r="U319" s="207"/>
      <c r="V319" s="207"/>
      <c r="W319" s="207"/>
      <c r="X319" s="207"/>
      <c r="Y319" s="207"/>
      <c r="Z319" s="207"/>
      <c r="AA319" s="207"/>
      <c r="AB319" s="207"/>
      <c r="AC319" s="207"/>
      <c r="AD319" s="207"/>
    </row>
    <row r="320" spans="1:30" s="208" customFormat="1" ht="15.75" hidden="1" customHeight="1" thickBot="1">
      <c r="A320" s="284"/>
      <c r="B320" s="216"/>
      <c r="C320" s="110" t="s">
        <v>8</v>
      </c>
      <c r="D320" s="189" t="s">
        <v>8</v>
      </c>
      <c r="E320" s="37"/>
      <c r="F320" s="204"/>
      <c r="G320" s="204"/>
      <c r="H320" s="205"/>
      <c r="I320" s="206"/>
      <c r="J320" s="206"/>
      <c r="K320" s="206"/>
      <c r="L320" s="206"/>
      <c r="M320" s="206"/>
      <c r="N320" s="207"/>
      <c r="O320" s="207"/>
      <c r="P320" s="207"/>
      <c r="Q320" s="207"/>
      <c r="R320" s="207"/>
      <c r="S320" s="207"/>
      <c r="T320" s="207"/>
      <c r="U320" s="207"/>
      <c r="V320" s="207"/>
      <c r="W320" s="207"/>
      <c r="X320" s="207"/>
      <c r="Y320" s="207"/>
      <c r="Z320" s="207"/>
      <c r="AA320" s="207"/>
      <c r="AB320" s="207"/>
      <c r="AC320" s="207"/>
      <c r="AD320" s="207"/>
    </row>
    <row r="321" spans="1:30" s="208" customFormat="1" ht="15.75" hidden="1" customHeight="1" thickBot="1">
      <c r="A321" s="284"/>
      <c r="B321" s="216"/>
      <c r="C321" s="110" t="s">
        <v>8</v>
      </c>
      <c r="D321" s="189" t="s">
        <v>8</v>
      </c>
      <c r="E321" s="37"/>
      <c r="F321" s="204"/>
      <c r="G321" s="204"/>
      <c r="H321" s="205"/>
      <c r="I321" s="206"/>
      <c r="J321" s="206"/>
      <c r="K321" s="206"/>
      <c r="L321" s="206"/>
      <c r="M321" s="206"/>
      <c r="N321" s="207"/>
      <c r="O321" s="207"/>
      <c r="P321" s="207"/>
      <c r="Q321" s="207"/>
      <c r="R321" s="207"/>
      <c r="S321" s="207"/>
      <c r="T321" s="207"/>
      <c r="U321" s="207"/>
      <c r="V321" s="207"/>
      <c r="W321" s="207"/>
      <c r="X321" s="207"/>
      <c r="Y321" s="207"/>
      <c r="Z321" s="207"/>
      <c r="AA321" s="207"/>
      <c r="AB321" s="207"/>
      <c r="AC321" s="207"/>
      <c r="AD321" s="207"/>
    </row>
    <row r="322" spans="1:30" s="208" customFormat="1" ht="15.75" hidden="1" customHeight="1" thickBot="1">
      <c r="A322" s="284"/>
      <c r="B322" s="216"/>
      <c r="C322" s="110" t="s">
        <v>8</v>
      </c>
      <c r="D322" s="189" t="s">
        <v>8</v>
      </c>
      <c r="E322" s="37"/>
      <c r="F322" s="204"/>
      <c r="G322" s="204"/>
      <c r="H322" s="205"/>
      <c r="I322" s="206"/>
      <c r="J322" s="206"/>
      <c r="K322" s="206"/>
      <c r="L322" s="206"/>
      <c r="M322" s="206"/>
      <c r="N322" s="207"/>
      <c r="O322" s="207"/>
      <c r="P322" s="207"/>
      <c r="Q322" s="207"/>
      <c r="R322" s="207"/>
      <c r="S322" s="207"/>
      <c r="T322" s="207"/>
      <c r="U322" s="207"/>
      <c r="V322" s="207"/>
      <c r="W322" s="207"/>
      <c r="X322" s="207"/>
      <c r="Y322" s="207"/>
      <c r="Z322" s="207"/>
      <c r="AA322" s="207"/>
      <c r="AB322" s="207"/>
      <c r="AC322" s="207"/>
      <c r="AD322" s="207"/>
    </row>
    <row r="323" spans="1:30" s="208" customFormat="1" ht="15.75" hidden="1" customHeight="1" thickBot="1">
      <c r="A323" s="284"/>
      <c r="B323" s="216"/>
      <c r="C323" s="110" t="s">
        <v>8</v>
      </c>
      <c r="D323" s="189" t="s">
        <v>8</v>
      </c>
      <c r="E323" s="37"/>
      <c r="F323" s="204"/>
      <c r="G323" s="204"/>
      <c r="H323" s="205"/>
      <c r="I323" s="206"/>
      <c r="J323" s="206"/>
      <c r="K323" s="206"/>
      <c r="L323" s="206"/>
      <c r="M323" s="206"/>
      <c r="N323" s="207"/>
      <c r="O323" s="207"/>
      <c r="P323" s="207"/>
      <c r="Q323" s="207"/>
      <c r="R323" s="207"/>
      <c r="S323" s="207"/>
      <c r="T323" s="207"/>
      <c r="U323" s="207"/>
      <c r="V323" s="207"/>
      <c r="W323" s="207"/>
      <c r="X323" s="207"/>
      <c r="Y323" s="207"/>
      <c r="Z323" s="207"/>
      <c r="AA323" s="207"/>
      <c r="AB323" s="207"/>
      <c r="AC323" s="207"/>
      <c r="AD323" s="207"/>
    </row>
    <row r="324" spans="1:30" s="208" customFormat="1" ht="15.75" hidden="1" customHeight="1" thickBot="1">
      <c r="A324" s="284"/>
      <c r="B324" s="216"/>
      <c r="C324" s="110" t="s">
        <v>8</v>
      </c>
      <c r="D324" s="189" t="s">
        <v>8</v>
      </c>
      <c r="E324" s="37"/>
      <c r="F324" s="204"/>
      <c r="G324" s="204"/>
      <c r="H324" s="205"/>
      <c r="I324" s="206"/>
      <c r="J324" s="206"/>
      <c r="K324" s="206"/>
      <c r="L324" s="206"/>
      <c r="M324" s="206"/>
      <c r="N324" s="207"/>
      <c r="O324" s="207"/>
      <c r="P324" s="207"/>
      <c r="Q324" s="207"/>
      <c r="R324" s="207"/>
      <c r="S324" s="207"/>
      <c r="T324" s="207"/>
      <c r="U324" s="207"/>
      <c r="V324" s="207"/>
      <c r="W324" s="207"/>
      <c r="X324" s="207"/>
      <c r="Y324" s="207"/>
      <c r="Z324" s="207"/>
      <c r="AA324" s="207"/>
      <c r="AB324" s="207"/>
      <c r="AC324" s="207"/>
      <c r="AD324" s="207"/>
    </row>
    <row r="325" spans="1:30" s="208" customFormat="1" ht="15.75" hidden="1" customHeight="1" thickBot="1">
      <c r="A325" s="284"/>
      <c r="B325" s="216"/>
      <c r="C325" s="110" t="s">
        <v>8</v>
      </c>
      <c r="D325" s="189" t="s">
        <v>8</v>
      </c>
      <c r="E325" s="37"/>
      <c r="F325" s="204"/>
      <c r="G325" s="204"/>
      <c r="H325" s="205"/>
      <c r="I325" s="206"/>
      <c r="J325" s="206"/>
      <c r="K325" s="206"/>
      <c r="L325" s="206"/>
      <c r="M325" s="206"/>
      <c r="N325" s="207"/>
      <c r="O325" s="207"/>
      <c r="P325" s="207"/>
      <c r="Q325" s="207"/>
      <c r="R325" s="207"/>
      <c r="S325" s="207"/>
      <c r="T325" s="207"/>
      <c r="U325" s="207"/>
      <c r="V325" s="207"/>
      <c r="W325" s="207"/>
      <c r="X325" s="207"/>
      <c r="Y325" s="207"/>
      <c r="Z325" s="207"/>
      <c r="AA325" s="207"/>
      <c r="AB325" s="207"/>
      <c r="AC325" s="207"/>
      <c r="AD325" s="207"/>
    </row>
    <row r="326" spans="1:30" s="203" customFormat="1" ht="15.75" hidden="1" customHeight="1" thickBot="1">
      <c r="A326" s="284"/>
      <c r="B326" s="216"/>
      <c r="C326" s="110" t="s">
        <v>8</v>
      </c>
      <c r="D326" s="189" t="s">
        <v>8</v>
      </c>
      <c r="E326" s="37"/>
      <c r="F326" s="199"/>
      <c r="G326" s="199"/>
      <c r="H326" s="200"/>
      <c r="I326" s="201"/>
      <c r="J326" s="201"/>
      <c r="K326" s="201"/>
      <c r="L326" s="201"/>
      <c r="M326" s="201"/>
      <c r="N326" s="202"/>
      <c r="O326" s="202"/>
      <c r="P326" s="202"/>
      <c r="Q326" s="202"/>
      <c r="R326" s="202"/>
      <c r="S326" s="202"/>
      <c r="T326" s="202"/>
      <c r="U326" s="202"/>
      <c r="V326" s="202"/>
      <c r="W326" s="202"/>
      <c r="X326" s="202"/>
      <c r="Y326" s="202"/>
      <c r="Z326" s="202"/>
      <c r="AA326" s="202"/>
      <c r="AB326" s="202"/>
      <c r="AC326" s="202"/>
      <c r="AD326" s="202"/>
    </row>
    <row r="327" spans="1:30" s="203" customFormat="1" ht="15.75" hidden="1" customHeight="1" thickBot="1">
      <c r="A327" s="284"/>
      <c r="B327" s="216"/>
      <c r="C327" s="110" t="s">
        <v>8</v>
      </c>
      <c r="D327" s="189" t="s">
        <v>8</v>
      </c>
      <c r="E327" s="37"/>
      <c r="F327" s="199"/>
      <c r="G327" s="199"/>
      <c r="H327" s="200"/>
      <c r="I327" s="201"/>
      <c r="J327" s="201"/>
      <c r="K327" s="201"/>
      <c r="L327" s="201"/>
      <c r="M327" s="201"/>
      <c r="N327" s="202"/>
      <c r="O327" s="202"/>
      <c r="P327" s="202"/>
      <c r="Q327" s="202"/>
      <c r="R327" s="202"/>
      <c r="S327" s="202"/>
      <c r="T327" s="202"/>
      <c r="U327" s="202"/>
      <c r="V327" s="202"/>
      <c r="W327" s="202"/>
      <c r="X327" s="202"/>
      <c r="Y327" s="202"/>
      <c r="Z327" s="202"/>
      <c r="AA327" s="202"/>
      <c r="AB327" s="202"/>
      <c r="AC327" s="202"/>
      <c r="AD327" s="202"/>
    </row>
    <row r="328" spans="1:30" s="208" customFormat="1" ht="15.75" hidden="1" customHeight="1" thickBot="1">
      <c r="A328" s="284"/>
      <c r="B328" s="216"/>
      <c r="C328" s="110" t="s">
        <v>8</v>
      </c>
      <c r="D328" s="189" t="s">
        <v>8</v>
      </c>
      <c r="E328" s="37"/>
      <c r="F328" s="204"/>
      <c r="G328" s="204"/>
      <c r="H328" s="205"/>
      <c r="I328" s="206"/>
      <c r="J328" s="206"/>
      <c r="K328" s="206"/>
      <c r="L328" s="206"/>
      <c r="M328" s="206"/>
      <c r="N328" s="207"/>
      <c r="O328" s="207"/>
      <c r="P328" s="207"/>
      <c r="Q328" s="207"/>
      <c r="R328" s="207"/>
      <c r="S328" s="207"/>
      <c r="T328" s="207"/>
      <c r="U328" s="207"/>
      <c r="V328" s="207"/>
      <c r="W328" s="207"/>
      <c r="X328" s="207"/>
      <c r="Y328" s="207"/>
      <c r="Z328" s="207"/>
      <c r="AA328" s="207"/>
      <c r="AB328" s="207"/>
      <c r="AC328" s="207"/>
      <c r="AD328" s="207"/>
    </row>
    <row r="329" spans="1:30" s="208" customFormat="1" ht="15.75" hidden="1" customHeight="1" thickBot="1">
      <c r="A329" s="284"/>
      <c r="B329" s="216"/>
      <c r="C329" s="110" t="s">
        <v>8</v>
      </c>
      <c r="D329" s="189" t="s">
        <v>8</v>
      </c>
      <c r="E329" s="37"/>
      <c r="F329" s="204"/>
      <c r="G329" s="204"/>
      <c r="H329" s="205"/>
      <c r="I329" s="206"/>
      <c r="J329" s="206"/>
      <c r="K329" s="206"/>
      <c r="L329" s="206"/>
      <c r="M329" s="206"/>
      <c r="N329" s="207"/>
      <c r="O329" s="207"/>
      <c r="P329" s="207"/>
      <c r="Q329" s="207"/>
      <c r="R329" s="207"/>
      <c r="S329" s="207"/>
      <c r="T329" s="207"/>
      <c r="U329" s="207"/>
      <c r="V329" s="207"/>
      <c r="W329" s="207"/>
      <c r="X329" s="207"/>
      <c r="Y329" s="207"/>
      <c r="Z329" s="207"/>
      <c r="AA329" s="207"/>
      <c r="AB329" s="207"/>
      <c r="AC329" s="207"/>
      <c r="AD329" s="207"/>
    </row>
    <row r="330" spans="1:30" s="208" customFormat="1" ht="15.75" hidden="1" customHeight="1" thickBot="1">
      <c r="A330" s="284"/>
      <c r="B330" s="216"/>
      <c r="C330" s="110" t="s">
        <v>8</v>
      </c>
      <c r="D330" s="189" t="s">
        <v>8</v>
      </c>
      <c r="E330" s="37"/>
      <c r="F330" s="204"/>
      <c r="G330" s="204"/>
      <c r="H330" s="205"/>
      <c r="I330" s="206"/>
      <c r="J330" s="206"/>
      <c r="K330" s="206"/>
      <c r="L330" s="206"/>
      <c r="M330" s="206"/>
      <c r="N330" s="207"/>
      <c r="O330" s="207"/>
      <c r="P330" s="207"/>
      <c r="Q330" s="207"/>
      <c r="R330" s="207"/>
      <c r="S330" s="207"/>
      <c r="T330" s="207"/>
      <c r="U330" s="207"/>
      <c r="V330" s="207"/>
      <c r="W330" s="207"/>
      <c r="X330" s="207"/>
      <c r="Y330" s="207"/>
      <c r="Z330" s="207"/>
      <c r="AA330" s="207"/>
      <c r="AB330" s="207"/>
      <c r="AC330" s="207"/>
      <c r="AD330" s="207"/>
    </row>
    <row r="331" spans="1:30" s="208" customFormat="1" ht="15.75" hidden="1" customHeight="1" thickBot="1">
      <c r="A331" s="244"/>
      <c r="B331" s="216"/>
      <c r="C331" s="110" t="s">
        <v>8</v>
      </c>
      <c r="D331" s="189" t="s">
        <v>8</v>
      </c>
      <c r="E331" s="37"/>
      <c r="F331" s="204"/>
      <c r="G331" s="204"/>
      <c r="H331" s="205"/>
      <c r="I331" s="206"/>
      <c r="J331" s="206"/>
      <c r="K331" s="206"/>
      <c r="L331" s="206"/>
      <c r="M331" s="206"/>
      <c r="N331" s="207"/>
      <c r="O331" s="207"/>
      <c r="P331" s="207"/>
      <c r="Q331" s="207"/>
      <c r="R331" s="207"/>
      <c r="S331" s="207"/>
      <c r="T331" s="207"/>
      <c r="U331" s="207"/>
      <c r="V331" s="207"/>
      <c r="W331" s="207"/>
      <c r="X331" s="207"/>
      <c r="Y331" s="207"/>
      <c r="Z331" s="207"/>
      <c r="AA331" s="207"/>
      <c r="AB331" s="207"/>
      <c r="AC331" s="207"/>
      <c r="AD331" s="207"/>
    </row>
    <row r="332" spans="1:30" s="208" customFormat="1" ht="15.75" hidden="1" customHeight="1" thickBot="1">
      <c r="A332" s="244"/>
      <c r="B332" s="216"/>
      <c r="C332" s="110" t="s">
        <v>8</v>
      </c>
      <c r="D332" s="189" t="s">
        <v>8</v>
      </c>
      <c r="E332" s="37"/>
      <c r="F332" s="204"/>
      <c r="G332" s="204"/>
      <c r="H332" s="205"/>
      <c r="I332" s="206"/>
      <c r="J332" s="206"/>
      <c r="K332" s="206"/>
      <c r="L332" s="206"/>
      <c r="M332" s="206"/>
      <c r="N332" s="207"/>
      <c r="O332" s="207"/>
      <c r="P332" s="207"/>
      <c r="Q332" s="207"/>
      <c r="R332" s="207"/>
      <c r="S332" s="207"/>
      <c r="T332" s="207"/>
      <c r="U332" s="207"/>
      <c r="V332" s="207"/>
      <c r="W332" s="207"/>
      <c r="X332" s="207"/>
      <c r="Y332" s="207"/>
      <c r="Z332" s="207"/>
      <c r="AA332" s="207"/>
      <c r="AB332" s="207"/>
      <c r="AC332" s="207"/>
      <c r="AD332" s="207"/>
    </row>
    <row r="333" spans="1:30" s="208" customFormat="1" ht="15.75" hidden="1" customHeight="1" thickBot="1">
      <c r="A333" s="244"/>
      <c r="B333" s="216"/>
      <c r="C333" s="110" t="s">
        <v>8</v>
      </c>
      <c r="D333" s="189" t="s">
        <v>8</v>
      </c>
      <c r="E333" s="37"/>
      <c r="F333" s="204"/>
      <c r="G333" s="204"/>
      <c r="H333" s="205"/>
      <c r="I333" s="206"/>
      <c r="J333" s="206"/>
      <c r="K333" s="206"/>
      <c r="L333" s="206"/>
      <c r="M333" s="206"/>
      <c r="N333" s="207"/>
      <c r="O333" s="207"/>
      <c r="P333" s="207"/>
      <c r="Q333" s="207"/>
      <c r="R333" s="207"/>
      <c r="S333" s="207"/>
      <c r="T333" s="207"/>
      <c r="U333" s="207"/>
      <c r="V333" s="207"/>
      <c r="W333" s="207"/>
      <c r="X333" s="207"/>
      <c r="Y333" s="207"/>
      <c r="Z333" s="207"/>
      <c r="AA333" s="207"/>
      <c r="AB333" s="207"/>
      <c r="AC333" s="207"/>
      <c r="AD333" s="207"/>
    </row>
    <row r="334" spans="1:30" s="208" customFormat="1" ht="15.75" hidden="1" customHeight="1" thickBot="1">
      <c r="A334" s="244"/>
      <c r="B334" s="216"/>
      <c r="C334" s="110" t="s">
        <v>8</v>
      </c>
      <c r="D334" s="189" t="s">
        <v>8</v>
      </c>
      <c r="E334" s="37"/>
      <c r="F334" s="204"/>
      <c r="G334" s="204"/>
      <c r="H334" s="205"/>
      <c r="I334" s="206"/>
      <c r="J334" s="206"/>
      <c r="K334" s="206"/>
      <c r="L334" s="206"/>
      <c r="M334" s="206"/>
      <c r="N334" s="207"/>
      <c r="O334" s="207"/>
      <c r="P334" s="207"/>
      <c r="Q334" s="207"/>
      <c r="R334" s="207"/>
      <c r="S334" s="207"/>
      <c r="T334" s="207"/>
      <c r="U334" s="207"/>
      <c r="V334" s="207"/>
      <c r="W334" s="207"/>
      <c r="X334" s="207"/>
      <c r="Y334" s="207"/>
      <c r="Z334" s="207"/>
      <c r="AA334" s="207"/>
      <c r="AB334" s="207"/>
      <c r="AC334" s="207"/>
      <c r="AD334" s="207"/>
    </row>
    <row r="335" spans="1:30" s="208" customFormat="1" ht="15.75" hidden="1" customHeight="1" thickBot="1">
      <c r="A335" s="244"/>
      <c r="B335" s="216"/>
      <c r="C335" s="110" t="s">
        <v>8</v>
      </c>
      <c r="D335" s="189" t="s">
        <v>8</v>
      </c>
      <c r="E335" s="37"/>
      <c r="F335" s="204"/>
      <c r="G335" s="204"/>
      <c r="H335" s="205"/>
      <c r="I335" s="206"/>
      <c r="J335" s="206"/>
      <c r="K335" s="206"/>
      <c r="L335" s="206"/>
      <c r="M335" s="206"/>
      <c r="N335" s="207"/>
      <c r="O335" s="207"/>
      <c r="P335" s="207"/>
      <c r="Q335" s="207"/>
      <c r="R335" s="207"/>
      <c r="S335" s="207"/>
      <c r="T335" s="207"/>
      <c r="U335" s="207"/>
      <c r="V335" s="207"/>
      <c r="W335" s="207"/>
      <c r="X335" s="207"/>
      <c r="Y335" s="207"/>
      <c r="Z335" s="207"/>
      <c r="AA335" s="207"/>
      <c r="AB335" s="207"/>
      <c r="AC335" s="207"/>
      <c r="AD335" s="207"/>
    </row>
    <row r="336" spans="1:30" s="208" customFormat="1" ht="15.75" hidden="1" customHeight="1" thickBot="1">
      <c r="A336" s="284"/>
      <c r="B336" s="216"/>
      <c r="C336" s="110" t="s">
        <v>8</v>
      </c>
      <c r="D336" s="189" t="s">
        <v>8</v>
      </c>
      <c r="E336" s="37"/>
      <c r="F336" s="204"/>
      <c r="G336" s="204"/>
      <c r="H336" s="205"/>
      <c r="I336" s="206"/>
      <c r="J336" s="206"/>
      <c r="K336" s="206"/>
      <c r="L336" s="206"/>
      <c r="M336" s="206"/>
      <c r="N336" s="207"/>
      <c r="O336" s="207"/>
      <c r="P336" s="207"/>
      <c r="Q336" s="207"/>
      <c r="R336" s="207"/>
      <c r="S336" s="207"/>
      <c r="T336" s="207"/>
      <c r="U336" s="207"/>
      <c r="V336" s="207"/>
      <c r="W336" s="207"/>
      <c r="X336" s="207"/>
      <c r="Y336" s="207"/>
      <c r="Z336" s="207"/>
      <c r="AA336" s="207"/>
      <c r="AB336" s="207"/>
      <c r="AC336" s="207"/>
      <c r="AD336" s="207"/>
    </row>
    <row r="337" spans="1:30" s="208" customFormat="1" ht="15.75" hidden="1" customHeight="1" thickBot="1">
      <c r="A337" s="284"/>
      <c r="B337" s="216"/>
      <c r="C337" s="110" t="s">
        <v>8</v>
      </c>
      <c r="D337" s="189" t="s">
        <v>8</v>
      </c>
      <c r="E337" s="37"/>
      <c r="F337" s="204"/>
      <c r="G337" s="204"/>
      <c r="H337" s="205"/>
      <c r="I337" s="206"/>
      <c r="J337" s="206"/>
      <c r="K337" s="206"/>
      <c r="L337" s="206"/>
      <c r="M337" s="206"/>
      <c r="N337" s="207"/>
      <c r="O337" s="207"/>
      <c r="P337" s="207"/>
      <c r="Q337" s="207"/>
      <c r="R337" s="207"/>
      <c r="S337" s="207"/>
      <c r="T337" s="207"/>
      <c r="U337" s="207"/>
      <c r="V337" s="207"/>
      <c r="W337" s="207"/>
      <c r="X337" s="207"/>
      <c r="Y337" s="207"/>
      <c r="Z337" s="207"/>
      <c r="AA337" s="207"/>
      <c r="AB337" s="207"/>
      <c r="AC337" s="207"/>
      <c r="AD337" s="207"/>
    </row>
    <row r="338" spans="1:30" s="208" customFormat="1" ht="15.75" hidden="1" customHeight="1" thickBot="1">
      <c r="A338" s="244"/>
      <c r="B338" s="216"/>
      <c r="C338" s="110" t="s">
        <v>8</v>
      </c>
      <c r="D338" s="189" t="s">
        <v>8</v>
      </c>
      <c r="E338" s="37"/>
      <c r="F338" s="204"/>
      <c r="G338" s="204"/>
      <c r="H338" s="205"/>
      <c r="I338" s="206"/>
      <c r="J338" s="206"/>
      <c r="K338" s="206"/>
      <c r="L338" s="206"/>
      <c r="M338" s="206"/>
      <c r="N338" s="207"/>
      <c r="O338" s="207"/>
      <c r="P338" s="207"/>
      <c r="Q338" s="207"/>
      <c r="R338" s="207"/>
      <c r="S338" s="207"/>
      <c r="T338" s="207"/>
      <c r="U338" s="207"/>
      <c r="V338" s="207"/>
      <c r="W338" s="207"/>
      <c r="X338" s="207"/>
      <c r="Y338" s="207"/>
      <c r="Z338" s="207"/>
      <c r="AA338" s="207"/>
      <c r="AB338" s="207"/>
      <c r="AC338" s="207"/>
      <c r="AD338" s="207"/>
    </row>
    <row r="339" spans="1:30" s="208" customFormat="1" ht="15.75" hidden="1" customHeight="1" thickBot="1">
      <c r="A339" s="244"/>
      <c r="B339" s="216"/>
      <c r="C339" s="110" t="s">
        <v>8</v>
      </c>
      <c r="D339" s="189" t="s">
        <v>8</v>
      </c>
      <c r="E339" s="37"/>
      <c r="F339" s="204"/>
      <c r="G339" s="204"/>
      <c r="H339" s="205"/>
      <c r="I339" s="206"/>
      <c r="J339" s="206"/>
      <c r="K339" s="206"/>
      <c r="L339" s="206"/>
      <c r="M339" s="206"/>
      <c r="N339" s="207"/>
      <c r="O339" s="207"/>
      <c r="P339" s="207"/>
      <c r="Q339" s="207"/>
      <c r="R339" s="207"/>
      <c r="S339" s="207"/>
      <c r="T339" s="207"/>
      <c r="U339" s="207"/>
      <c r="V339" s="207"/>
      <c r="W339" s="207"/>
      <c r="X339" s="207"/>
      <c r="Y339" s="207"/>
      <c r="Z339" s="207"/>
      <c r="AA339" s="207"/>
      <c r="AB339" s="207"/>
      <c r="AC339" s="207"/>
      <c r="AD339" s="207"/>
    </row>
    <row r="340" spans="1:30" s="208" customFormat="1" ht="15.75" hidden="1" customHeight="1" thickBot="1">
      <c r="A340" s="244"/>
      <c r="B340" s="216"/>
      <c r="C340" s="110" t="s">
        <v>8</v>
      </c>
      <c r="D340" s="189" t="s">
        <v>8</v>
      </c>
      <c r="E340" s="37"/>
      <c r="F340" s="204"/>
      <c r="G340" s="204"/>
      <c r="H340" s="205"/>
      <c r="I340" s="206"/>
      <c r="J340" s="206"/>
      <c r="K340" s="206"/>
      <c r="L340" s="206"/>
      <c r="M340" s="206"/>
      <c r="N340" s="207"/>
      <c r="O340" s="207"/>
      <c r="P340" s="207"/>
      <c r="Q340" s="207"/>
      <c r="R340" s="207"/>
      <c r="S340" s="207"/>
      <c r="T340" s="207"/>
      <c r="U340" s="207"/>
      <c r="V340" s="207"/>
      <c r="W340" s="207"/>
      <c r="X340" s="207"/>
      <c r="Y340" s="207"/>
      <c r="Z340" s="207"/>
      <c r="AA340" s="207"/>
      <c r="AB340" s="207"/>
      <c r="AC340" s="207"/>
      <c r="AD340" s="207"/>
    </row>
    <row r="341" spans="1:30" s="208" customFormat="1" ht="15.75" hidden="1" customHeight="1" thickBot="1">
      <c r="A341" s="244"/>
      <c r="B341" s="216"/>
      <c r="C341" s="110" t="s">
        <v>8</v>
      </c>
      <c r="D341" s="189" t="s">
        <v>8</v>
      </c>
      <c r="E341" s="37"/>
      <c r="F341" s="204"/>
      <c r="G341" s="204"/>
      <c r="H341" s="205"/>
      <c r="I341" s="206"/>
      <c r="J341" s="206"/>
      <c r="K341" s="206"/>
      <c r="L341" s="206"/>
      <c r="M341" s="206"/>
      <c r="N341" s="207"/>
      <c r="O341" s="207"/>
      <c r="P341" s="207"/>
      <c r="Q341" s="207"/>
      <c r="R341" s="207"/>
      <c r="S341" s="207"/>
      <c r="T341" s="207"/>
      <c r="U341" s="207"/>
      <c r="V341" s="207"/>
      <c r="W341" s="207"/>
      <c r="X341" s="207"/>
      <c r="Y341" s="207"/>
      <c r="Z341" s="207"/>
      <c r="AA341" s="207"/>
      <c r="AB341" s="207"/>
      <c r="AC341" s="207"/>
      <c r="AD341" s="207"/>
    </row>
    <row r="342" spans="1:30" s="208" customFormat="1" ht="15.75" hidden="1" customHeight="1" thickBot="1">
      <c r="A342" s="244"/>
      <c r="B342" s="216"/>
      <c r="C342" s="110" t="s">
        <v>8</v>
      </c>
      <c r="D342" s="189" t="s">
        <v>8</v>
      </c>
      <c r="E342" s="37"/>
      <c r="F342" s="204"/>
      <c r="G342" s="204"/>
      <c r="H342" s="205"/>
      <c r="I342" s="206"/>
      <c r="J342" s="206"/>
      <c r="K342" s="206"/>
      <c r="L342" s="206"/>
      <c r="M342" s="206"/>
      <c r="N342" s="207"/>
      <c r="O342" s="207"/>
      <c r="P342" s="207"/>
      <c r="Q342" s="207"/>
      <c r="R342" s="207"/>
      <c r="S342" s="207"/>
      <c r="T342" s="207"/>
      <c r="U342" s="207"/>
      <c r="V342" s="207"/>
      <c r="W342" s="207"/>
      <c r="X342" s="207"/>
      <c r="Y342" s="207"/>
      <c r="Z342" s="207"/>
      <c r="AA342" s="207"/>
      <c r="AB342" s="207"/>
      <c r="AC342" s="207"/>
      <c r="AD342" s="207"/>
    </row>
    <row r="343" spans="1:30" s="208" customFormat="1" ht="15.75" hidden="1" customHeight="1" thickBot="1">
      <c r="A343" s="245"/>
      <c r="B343" s="246"/>
      <c r="C343" s="190" t="s">
        <v>8</v>
      </c>
      <c r="D343" s="191" t="s">
        <v>8</v>
      </c>
      <c r="E343" s="108"/>
      <c r="F343" s="204"/>
      <c r="G343" s="204"/>
      <c r="H343" s="205"/>
      <c r="I343" s="206"/>
      <c r="J343" s="206"/>
      <c r="K343" s="206"/>
      <c r="L343" s="206"/>
      <c r="M343" s="206"/>
      <c r="N343" s="207"/>
      <c r="O343" s="207"/>
      <c r="P343" s="207"/>
      <c r="Q343" s="207"/>
      <c r="R343" s="207"/>
      <c r="S343" s="207"/>
      <c r="T343" s="207"/>
      <c r="U343" s="207"/>
      <c r="V343" s="207"/>
      <c r="W343" s="207"/>
      <c r="X343" s="207"/>
      <c r="Y343" s="207"/>
      <c r="Z343" s="207"/>
      <c r="AA343" s="207"/>
      <c r="AB343" s="207"/>
      <c r="AC343" s="207"/>
      <c r="AD343" s="207"/>
    </row>
    <row r="344" spans="1:30" s="196" customFormat="1" ht="15.75" hidden="1" customHeight="1" thickBot="1">
      <c r="A344" s="284"/>
      <c r="B344" s="216"/>
      <c r="C344" s="110" t="s">
        <v>8</v>
      </c>
      <c r="D344" s="189" t="s">
        <v>8</v>
      </c>
      <c r="E344" s="37"/>
      <c r="F344" s="192"/>
      <c r="G344" s="192"/>
      <c r="H344" s="193"/>
      <c r="I344" s="194"/>
      <c r="J344" s="194"/>
      <c r="K344" s="194"/>
      <c r="L344" s="194"/>
      <c r="M344" s="194"/>
      <c r="N344" s="195"/>
      <c r="O344" s="195"/>
      <c r="P344" s="195"/>
      <c r="Q344" s="195"/>
      <c r="R344" s="195"/>
      <c r="S344" s="195"/>
      <c r="T344" s="195"/>
      <c r="U344" s="195"/>
      <c r="V344" s="195"/>
      <c r="W344" s="195"/>
      <c r="X344" s="195"/>
      <c r="Y344" s="195"/>
      <c r="Z344" s="195"/>
      <c r="AA344" s="195"/>
      <c r="AB344" s="195"/>
      <c r="AC344" s="195"/>
      <c r="AD344" s="195"/>
    </row>
    <row r="345" spans="1:30" s="196" customFormat="1" ht="15.75" hidden="1" customHeight="1" thickBot="1">
      <c r="A345" s="284"/>
      <c r="B345" s="216"/>
      <c r="C345" s="110" t="s">
        <v>8</v>
      </c>
      <c r="D345" s="189" t="s">
        <v>8</v>
      </c>
      <c r="E345" s="37"/>
      <c r="F345" s="192"/>
      <c r="G345" s="192"/>
      <c r="H345" s="193"/>
      <c r="I345" s="194"/>
      <c r="J345" s="194"/>
      <c r="K345" s="194"/>
      <c r="L345" s="194"/>
      <c r="M345" s="194"/>
      <c r="N345" s="195"/>
      <c r="O345" s="195"/>
      <c r="P345" s="195"/>
      <c r="Q345" s="195"/>
      <c r="R345" s="195"/>
      <c r="S345" s="195"/>
      <c r="T345" s="195"/>
      <c r="U345" s="195"/>
      <c r="V345" s="195"/>
      <c r="W345" s="195"/>
      <c r="X345" s="195"/>
      <c r="Y345" s="195"/>
      <c r="Z345" s="195"/>
      <c r="AA345" s="195"/>
      <c r="AB345" s="195"/>
      <c r="AC345" s="195"/>
      <c r="AD345" s="195"/>
    </row>
    <row r="346" spans="1:30" s="196" customFormat="1" ht="15.75" hidden="1" customHeight="1" thickBot="1">
      <c r="A346" s="284"/>
      <c r="B346" s="216"/>
      <c r="C346" s="110" t="s">
        <v>8</v>
      </c>
      <c r="D346" s="189" t="s">
        <v>8</v>
      </c>
      <c r="E346" s="37"/>
      <c r="F346" s="192"/>
      <c r="G346" s="192"/>
      <c r="H346" s="193"/>
      <c r="I346" s="194"/>
      <c r="J346" s="194"/>
      <c r="K346" s="194"/>
      <c r="L346" s="194"/>
      <c r="M346" s="194"/>
      <c r="N346" s="195"/>
      <c r="O346" s="195"/>
      <c r="P346" s="195"/>
      <c r="Q346" s="195"/>
      <c r="R346" s="195"/>
      <c r="S346" s="195"/>
      <c r="T346" s="195"/>
      <c r="U346" s="195"/>
      <c r="V346" s="195"/>
      <c r="W346" s="195"/>
      <c r="X346" s="195"/>
      <c r="Y346" s="195"/>
      <c r="Z346" s="195"/>
      <c r="AA346" s="195"/>
      <c r="AB346" s="195"/>
      <c r="AC346" s="195"/>
      <c r="AD346" s="195"/>
    </row>
    <row r="347" spans="1:30" s="196" customFormat="1" ht="15.75" hidden="1" customHeight="1" thickBot="1">
      <c r="A347" s="284"/>
      <c r="B347" s="216"/>
      <c r="C347" s="110" t="s">
        <v>8</v>
      </c>
      <c r="D347" s="189" t="s">
        <v>8</v>
      </c>
      <c r="E347" s="37"/>
      <c r="F347" s="192"/>
      <c r="G347" s="192"/>
      <c r="H347" s="193"/>
      <c r="I347" s="194"/>
      <c r="J347" s="194"/>
      <c r="K347" s="194"/>
      <c r="L347" s="194"/>
      <c r="M347" s="194"/>
      <c r="N347" s="195"/>
      <c r="O347" s="195"/>
      <c r="P347" s="195"/>
      <c r="Q347" s="195"/>
      <c r="R347" s="195"/>
      <c r="S347" s="195"/>
      <c r="T347" s="195"/>
      <c r="U347" s="195"/>
      <c r="V347" s="195"/>
      <c r="W347" s="195"/>
      <c r="X347" s="195"/>
      <c r="Y347" s="195"/>
      <c r="Z347" s="195"/>
      <c r="AA347" s="195"/>
      <c r="AB347" s="195"/>
      <c r="AC347" s="195"/>
      <c r="AD347" s="195"/>
    </row>
    <row r="348" spans="1:30" s="203" customFormat="1" ht="15.75" hidden="1" customHeight="1" thickBot="1">
      <c r="A348" s="284"/>
      <c r="B348" s="216"/>
      <c r="C348" s="110" t="s">
        <v>8</v>
      </c>
      <c r="D348" s="189" t="s">
        <v>8</v>
      </c>
      <c r="E348" s="37"/>
      <c r="F348" s="199"/>
      <c r="G348" s="199"/>
      <c r="H348" s="200"/>
      <c r="I348" s="201"/>
      <c r="J348" s="201"/>
      <c r="K348" s="201"/>
      <c r="L348" s="201"/>
      <c r="M348" s="201"/>
      <c r="N348" s="202"/>
      <c r="O348" s="202"/>
      <c r="P348" s="202"/>
      <c r="Q348" s="202"/>
      <c r="R348" s="202"/>
      <c r="S348" s="202"/>
      <c r="T348" s="202"/>
      <c r="U348" s="202"/>
      <c r="V348" s="202"/>
      <c r="W348" s="202"/>
      <c r="X348" s="202"/>
      <c r="Y348" s="202"/>
      <c r="Z348" s="202"/>
      <c r="AA348" s="202"/>
      <c r="AB348" s="202"/>
      <c r="AC348" s="202"/>
      <c r="AD348" s="202"/>
    </row>
    <row r="349" spans="1:30" s="203" customFormat="1" ht="15.75" hidden="1" customHeight="1" thickBot="1">
      <c r="A349" s="284"/>
      <c r="B349" s="216"/>
      <c r="C349" s="110" t="s">
        <v>8</v>
      </c>
      <c r="D349" s="189" t="s">
        <v>8</v>
      </c>
      <c r="E349" s="37"/>
      <c r="F349" s="199"/>
      <c r="G349" s="199"/>
      <c r="H349" s="200"/>
      <c r="I349" s="201"/>
      <c r="J349" s="201"/>
      <c r="K349" s="201"/>
      <c r="L349" s="201"/>
      <c r="M349" s="201"/>
      <c r="N349" s="202"/>
      <c r="O349" s="202"/>
      <c r="P349" s="202"/>
      <c r="Q349" s="202"/>
      <c r="R349" s="202"/>
      <c r="S349" s="202"/>
      <c r="T349" s="202"/>
      <c r="U349" s="202"/>
      <c r="V349" s="202"/>
      <c r="W349" s="202"/>
      <c r="X349" s="202"/>
      <c r="Y349" s="202"/>
      <c r="Z349" s="202"/>
      <c r="AA349" s="202"/>
      <c r="AB349" s="202"/>
      <c r="AC349" s="202"/>
      <c r="AD349" s="202"/>
    </row>
    <row r="350" spans="1:30" s="203" customFormat="1" ht="15.75" hidden="1" customHeight="1" thickBot="1">
      <c r="A350" s="284"/>
      <c r="B350" s="216"/>
      <c r="C350" s="110" t="s">
        <v>8</v>
      </c>
      <c r="D350" s="189" t="s">
        <v>8</v>
      </c>
      <c r="E350" s="37"/>
      <c r="F350" s="199"/>
      <c r="G350" s="199"/>
      <c r="H350" s="200"/>
      <c r="I350" s="201"/>
      <c r="J350" s="201"/>
      <c r="K350" s="201"/>
      <c r="L350" s="201"/>
      <c r="M350" s="201"/>
      <c r="N350" s="202"/>
      <c r="O350" s="202"/>
      <c r="P350" s="202"/>
      <c r="Q350" s="202"/>
      <c r="R350" s="202"/>
      <c r="S350" s="202"/>
      <c r="T350" s="202"/>
      <c r="U350" s="202"/>
      <c r="V350" s="202"/>
      <c r="W350" s="202"/>
      <c r="X350" s="202"/>
      <c r="Y350" s="202"/>
      <c r="Z350" s="202"/>
      <c r="AA350" s="202"/>
      <c r="AB350" s="202"/>
      <c r="AC350" s="202"/>
      <c r="AD350" s="202"/>
    </row>
    <row r="351" spans="1:30" s="203" customFormat="1" ht="15.75" hidden="1" customHeight="1" thickBot="1">
      <c r="A351" s="284"/>
      <c r="B351" s="216"/>
      <c r="C351" s="110" t="s">
        <v>8</v>
      </c>
      <c r="D351" s="189" t="s">
        <v>8</v>
      </c>
      <c r="E351" s="37"/>
      <c r="F351" s="199"/>
      <c r="G351" s="199"/>
      <c r="H351" s="200"/>
      <c r="I351" s="201"/>
      <c r="J351" s="201"/>
      <c r="K351" s="201"/>
      <c r="L351" s="201"/>
      <c r="M351" s="201"/>
      <c r="N351" s="202"/>
      <c r="O351" s="202"/>
      <c r="P351" s="202"/>
      <c r="Q351" s="202"/>
      <c r="R351" s="202"/>
      <c r="S351" s="202"/>
      <c r="T351" s="202"/>
      <c r="U351" s="202"/>
      <c r="V351" s="202"/>
      <c r="W351" s="202"/>
      <c r="X351" s="202"/>
      <c r="Y351" s="202"/>
      <c r="Z351" s="202"/>
      <c r="AA351" s="202"/>
      <c r="AB351" s="202"/>
      <c r="AC351" s="202"/>
      <c r="AD351" s="202"/>
    </row>
    <row r="352" spans="1:30" s="208" customFormat="1" ht="15.75" hidden="1" customHeight="1" thickBot="1">
      <c r="A352" s="284"/>
      <c r="B352" s="216"/>
      <c r="C352" s="110" t="s">
        <v>8</v>
      </c>
      <c r="D352" s="189" t="s">
        <v>8</v>
      </c>
      <c r="E352" s="37"/>
      <c r="F352" s="204"/>
      <c r="G352" s="204"/>
      <c r="H352" s="205"/>
      <c r="I352" s="206"/>
      <c r="J352" s="206"/>
      <c r="K352" s="206"/>
      <c r="L352" s="206"/>
      <c r="M352" s="206"/>
      <c r="N352" s="207"/>
      <c r="O352" s="207"/>
      <c r="P352" s="207"/>
      <c r="Q352" s="207"/>
      <c r="R352" s="207"/>
      <c r="S352" s="207"/>
      <c r="T352" s="207"/>
      <c r="U352" s="207"/>
      <c r="V352" s="207"/>
      <c r="W352" s="207"/>
      <c r="X352" s="207"/>
      <c r="Y352" s="207"/>
      <c r="Z352" s="207"/>
      <c r="AA352" s="207"/>
      <c r="AB352" s="207"/>
      <c r="AC352" s="207"/>
      <c r="AD352" s="207"/>
    </row>
    <row r="353" spans="1:30" s="208" customFormat="1" ht="15.75" thickBot="1">
      <c r="A353" s="243"/>
      <c r="B353" s="216"/>
      <c r="C353" s="110" t="s">
        <v>8</v>
      </c>
      <c r="D353" s="189" t="s">
        <v>8</v>
      </c>
      <c r="E353" s="37"/>
      <c r="F353" s="204"/>
      <c r="G353" s="204"/>
      <c r="H353" s="205"/>
      <c r="I353" s="206"/>
      <c r="J353" s="206"/>
      <c r="K353" s="206"/>
      <c r="L353" s="206"/>
      <c r="M353" s="206"/>
      <c r="N353" s="207"/>
      <c r="O353" s="207"/>
      <c r="P353" s="207"/>
      <c r="Q353" s="207"/>
      <c r="R353" s="207"/>
      <c r="S353" s="207"/>
      <c r="T353" s="207"/>
      <c r="U353" s="207"/>
      <c r="V353" s="207"/>
      <c r="W353" s="207"/>
      <c r="X353" s="207"/>
      <c r="Y353" s="207"/>
      <c r="Z353" s="207"/>
      <c r="AA353" s="207"/>
      <c r="AB353" s="207"/>
      <c r="AC353" s="207"/>
      <c r="AD353" s="207"/>
    </row>
    <row r="354" spans="1:30" s="208" customFormat="1" ht="15.75" thickBot="1">
      <c r="A354" s="243"/>
      <c r="B354" s="216"/>
      <c r="C354" s="110" t="s">
        <v>8</v>
      </c>
      <c r="D354" s="189" t="s">
        <v>8</v>
      </c>
      <c r="E354" s="37"/>
      <c r="F354" s="204"/>
      <c r="G354" s="204"/>
      <c r="H354" s="205"/>
      <c r="I354" s="206"/>
      <c r="J354" s="206"/>
      <c r="K354" s="206"/>
      <c r="L354" s="206"/>
      <c r="M354" s="206"/>
      <c r="N354" s="207"/>
      <c r="O354" s="207"/>
      <c r="P354" s="207"/>
      <c r="Q354" s="207"/>
      <c r="R354" s="207"/>
      <c r="S354" s="207"/>
      <c r="T354" s="207"/>
      <c r="U354" s="207"/>
      <c r="V354" s="207"/>
      <c r="W354" s="207"/>
      <c r="X354" s="207"/>
      <c r="Y354" s="207"/>
      <c r="Z354" s="207"/>
      <c r="AA354" s="207"/>
      <c r="AB354" s="207"/>
      <c r="AC354" s="207"/>
      <c r="AD354" s="207"/>
    </row>
    <row r="355" spans="1:30" s="208" customFormat="1" ht="15.75" thickBot="1">
      <c r="A355" s="244"/>
      <c r="B355" s="216"/>
      <c r="C355" s="110" t="s">
        <v>8</v>
      </c>
      <c r="D355" s="189" t="s">
        <v>8</v>
      </c>
      <c r="E355" s="37"/>
      <c r="F355" s="204"/>
      <c r="G355" s="204"/>
      <c r="H355" s="205"/>
      <c r="I355" s="206"/>
      <c r="J355" s="206"/>
      <c r="K355" s="206"/>
      <c r="L355" s="206"/>
      <c r="M355" s="206"/>
      <c r="N355" s="207"/>
      <c r="O355" s="207"/>
      <c r="P355" s="207"/>
      <c r="Q355" s="207"/>
      <c r="R355" s="207"/>
      <c r="S355" s="207"/>
      <c r="T355" s="207"/>
      <c r="U355" s="207"/>
      <c r="V355" s="207"/>
      <c r="W355" s="207"/>
      <c r="X355" s="207"/>
      <c r="Y355" s="207"/>
      <c r="Z355" s="207"/>
      <c r="AA355" s="207"/>
      <c r="AB355" s="207"/>
      <c r="AC355" s="207"/>
      <c r="AD355" s="207"/>
    </row>
    <row r="356" spans="1:30" s="208" customFormat="1" ht="15.75" thickBot="1">
      <c r="A356" s="244"/>
      <c r="B356" s="216"/>
      <c r="C356" s="110" t="s">
        <v>8</v>
      </c>
      <c r="D356" s="189" t="s">
        <v>8</v>
      </c>
      <c r="E356" s="37"/>
      <c r="F356" s="204"/>
      <c r="G356" s="204"/>
      <c r="H356" s="205"/>
      <c r="I356" s="206"/>
      <c r="J356" s="206"/>
      <c r="K356" s="206"/>
      <c r="L356" s="206"/>
      <c r="M356" s="206"/>
      <c r="N356" s="207"/>
      <c r="O356" s="207"/>
      <c r="P356" s="207"/>
      <c r="Q356" s="207"/>
      <c r="R356" s="207"/>
      <c r="S356" s="207"/>
      <c r="T356" s="207"/>
      <c r="U356" s="207"/>
      <c r="V356" s="207"/>
      <c r="W356" s="207"/>
      <c r="X356" s="207"/>
      <c r="Y356" s="207"/>
      <c r="Z356" s="207"/>
      <c r="AA356" s="207"/>
      <c r="AB356" s="207"/>
      <c r="AC356" s="207"/>
      <c r="AD356" s="207"/>
    </row>
    <row r="357" spans="1:30" s="208" customFormat="1" ht="15.75" thickBot="1">
      <c r="A357" s="244"/>
      <c r="B357" s="216"/>
      <c r="C357" s="110" t="s">
        <v>8</v>
      </c>
      <c r="D357" s="189" t="s">
        <v>8</v>
      </c>
      <c r="E357" s="37"/>
      <c r="F357" s="204"/>
      <c r="G357" s="204"/>
      <c r="H357" s="205"/>
      <c r="I357" s="206"/>
      <c r="J357" s="206"/>
      <c r="K357" s="206"/>
      <c r="L357" s="206"/>
      <c r="M357" s="206"/>
      <c r="N357" s="207"/>
      <c r="O357" s="207"/>
      <c r="P357" s="207"/>
      <c r="Q357" s="207"/>
      <c r="R357" s="207"/>
      <c r="S357" s="207"/>
      <c r="T357" s="207"/>
      <c r="U357" s="207"/>
      <c r="V357" s="207"/>
      <c r="W357" s="207"/>
      <c r="X357" s="207"/>
      <c r="Y357" s="207"/>
      <c r="Z357" s="207"/>
      <c r="AA357" s="207"/>
      <c r="AB357" s="207"/>
      <c r="AC357" s="207"/>
      <c r="AD357" s="207"/>
    </row>
    <row r="358" spans="1:30" s="208" customFormat="1" ht="15.75" thickBot="1">
      <c r="A358" s="244"/>
      <c r="B358" s="216"/>
      <c r="C358" s="110" t="s">
        <v>8</v>
      </c>
      <c r="D358" s="189" t="s">
        <v>8</v>
      </c>
      <c r="E358" s="37"/>
      <c r="F358" s="204"/>
      <c r="G358" s="204"/>
      <c r="H358" s="205"/>
      <c r="I358" s="206"/>
      <c r="J358" s="206"/>
      <c r="K358" s="206"/>
      <c r="L358" s="206"/>
      <c r="M358" s="206"/>
      <c r="N358" s="207"/>
      <c r="O358" s="207"/>
      <c r="P358" s="207"/>
      <c r="Q358" s="207"/>
      <c r="R358" s="207"/>
      <c r="S358" s="207"/>
      <c r="T358" s="207"/>
      <c r="U358" s="207"/>
      <c r="V358" s="207"/>
      <c r="W358" s="207"/>
      <c r="X358" s="207"/>
      <c r="Y358" s="207"/>
      <c r="Z358" s="207"/>
      <c r="AA358" s="207"/>
      <c r="AB358" s="207"/>
      <c r="AC358" s="207"/>
      <c r="AD358" s="207"/>
    </row>
    <row r="359" spans="1:30" s="208" customFormat="1" ht="15.75" thickBot="1">
      <c r="A359" s="244"/>
      <c r="B359" s="216"/>
      <c r="C359" s="110" t="s">
        <v>8</v>
      </c>
      <c r="D359" s="189" t="s">
        <v>8</v>
      </c>
      <c r="E359" s="37"/>
      <c r="F359" s="204"/>
      <c r="G359" s="204"/>
      <c r="H359" s="205"/>
      <c r="I359" s="206"/>
      <c r="J359" s="206"/>
      <c r="K359" s="206"/>
      <c r="L359" s="206"/>
      <c r="M359" s="206"/>
      <c r="N359" s="207"/>
      <c r="O359" s="207"/>
      <c r="P359" s="207"/>
      <c r="Q359" s="207"/>
      <c r="R359" s="207"/>
      <c r="S359" s="207"/>
      <c r="T359" s="207"/>
      <c r="U359" s="207"/>
      <c r="V359" s="207"/>
      <c r="W359" s="207"/>
      <c r="X359" s="207"/>
      <c r="Y359" s="207"/>
      <c r="Z359" s="207"/>
      <c r="AA359" s="207"/>
      <c r="AB359" s="207"/>
      <c r="AC359" s="207"/>
      <c r="AD359" s="207"/>
    </row>
    <row r="360" spans="1:30" s="208" customFormat="1" ht="15.75" thickBot="1">
      <c r="A360" s="243"/>
      <c r="B360" s="216"/>
      <c r="C360" s="110" t="s">
        <v>8</v>
      </c>
      <c r="D360" s="189" t="s">
        <v>8</v>
      </c>
      <c r="E360" s="37"/>
      <c r="F360" s="204"/>
      <c r="G360" s="204"/>
      <c r="H360" s="205"/>
      <c r="I360" s="206"/>
      <c r="J360" s="206"/>
      <c r="K360" s="206"/>
      <c r="L360" s="206"/>
      <c r="M360" s="206"/>
      <c r="N360" s="207"/>
      <c r="O360" s="207"/>
      <c r="P360" s="207"/>
      <c r="Q360" s="207"/>
      <c r="R360" s="207"/>
      <c r="S360" s="207"/>
      <c r="T360" s="207"/>
      <c r="U360" s="207"/>
      <c r="V360" s="207"/>
      <c r="W360" s="207"/>
      <c r="X360" s="207"/>
      <c r="Y360" s="207"/>
      <c r="Z360" s="207"/>
      <c r="AA360" s="207"/>
      <c r="AB360" s="207"/>
      <c r="AC360" s="207"/>
      <c r="AD360" s="207"/>
    </row>
    <row r="361" spans="1:30" s="208" customFormat="1" ht="15.75" thickBot="1">
      <c r="A361" s="243"/>
      <c r="B361" s="216"/>
      <c r="C361" s="110" t="s">
        <v>8</v>
      </c>
      <c r="D361" s="189" t="s">
        <v>8</v>
      </c>
      <c r="E361" s="37"/>
      <c r="F361" s="204"/>
      <c r="G361" s="204"/>
      <c r="H361" s="205"/>
      <c r="I361" s="206"/>
      <c r="J361" s="206"/>
      <c r="K361" s="206"/>
      <c r="L361" s="206"/>
      <c r="M361" s="206"/>
      <c r="N361" s="207"/>
      <c r="O361" s="207"/>
      <c r="P361" s="207"/>
      <c r="Q361" s="207"/>
      <c r="R361" s="207"/>
      <c r="S361" s="207"/>
      <c r="T361" s="207"/>
      <c r="U361" s="207"/>
      <c r="V361" s="207"/>
      <c r="W361" s="207"/>
      <c r="X361" s="207"/>
      <c r="Y361" s="207"/>
      <c r="Z361" s="207"/>
      <c r="AA361" s="207"/>
      <c r="AB361" s="207"/>
      <c r="AC361" s="207"/>
      <c r="AD361" s="207"/>
    </row>
    <row r="362" spans="1:30" s="208" customFormat="1" ht="15.75" thickBot="1">
      <c r="A362" s="244"/>
      <c r="B362" s="216"/>
      <c r="C362" s="110" t="s">
        <v>8</v>
      </c>
      <c r="D362" s="189" t="s">
        <v>8</v>
      </c>
      <c r="E362" s="37"/>
      <c r="F362" s="204"/>
      <c r="G362" s="204"/>
      <c r="H362" s="205"/>
      <c r="I362" s="206"/>
      <c r="J362" s="206"/>
      <c r="K362" s="206"/>
      <c r="L362" s="206"/>
      <c r="M362" s="206"/>
      <c r="N362" s="207"/>
      <c r="O362" s="207"/>
      <c r="P362" s="207"/>
      <c r="Q362" s="207"/>
      <c r="R362" s="207"/>
      <c r="S362" s="207"/>
      <c r="T362" s="207"/>
      <c r="U362" s="207"/>
      <c r="V362" s="207"/>
      <c r="W362" s="207"/>
      <c r="X362" s="207"/>
      <c r="Y362" s="207"/>
      <c r="Z362" s="207"/>
      <c r="AA362" s="207"/>
      <c r="AB362" s="207"/>
      <c r="AC362" s="207"/>
      <c r="AD362" s="207"/>
    </row>
    <row r="363" spans="1:30" s="208" customFormat="1" ht="15.75" thickBot="1">
      <c r="A363" s="244"/>
      <c r="B363" s="216"/>
      <c r="C363" s="110" t="s">
        <v>8</v>
      </c>
      <c r="D363" s="189" t="s">
        <v>8</v>
      </c>
      <c r="E363" s="37"/>
      <c r="F363" s="204"/>
      <c r="G363" s="204"/>
      <c r="H363" s="205"/>
      <c r="I363" s="206"/>
      <c r="J363" s="206"/>
      <c r="K363" s="206"/>
      <c r="L363" s="206"/>
      <c r="M363" s="206"/>
      <c r="N363" s="207"/>
      <c r="O363" s="207"/>
      <c r="P363" s="207"/>
      <c r="Q363" s="207"/>
      <c r="R363" s="207"/>
      <c r="S363" s="207"/>
      <c r="T363" s="207"/>
      <c r="U363" s="207"/>
      <c r="V363" s="207"/>
      <c r="W363" s="207"/>
      <c r="X363" s="207"/>
      <c r="Y363" s="207"/>
      <c r="Z363" s="207"/>
      <c r="AA363" s="207"/>
      <c r="AB363" s="207"/>
      <c r="AC363" s="207"/>
      <c r="AD363" s="207"/>
    </row>
    <row r="364" spans="1:30" s="208" customFormat="1" ht="15.75" thickBot="1">
      <c r="A364" s="244"/>
      <c r="B364" s="216"/>
      <c r="C364" s="110" t="s">
        <v>8</v>
      </c>
      <c r="D364" s="189" t="s">
        <v>8</v>
      </c>
      <c r="E364" s="37"/>
      <c r="F364" s="204"/>
      <c r="G364" s="204"/>
      <c r="H364" s="205"/>
      <c r="I364" s="206"/>
      <c r="J364" s="206"/>
      <c r="K364" s="206"/>
      <c r="L364" s="206"/>
      <c r="M364" s="206"/>
      <c r="N364" s="207"/>
      <c r="O364" s="207"/>
      <c r="P364" s="207"/>
      <c r="Q364" s="207"/>
      <c r="R364" s="207"/>
      <c r="S364" s="207"/>
      <c r="T364" s="207"/>
      <c r="U364" s="207"/>
      <c r="V364" s="207"/>
      <c r="W364" s="207"/>
      <c r="X364" s="207"/>
      <c r="Y364" s="207"/>
      <c r="Z364" s="207"/>
      <c r="AA364" s="207"/>
      <c r="AB364" s="207"/>
      <c r="AC364" s="207"/>
      <c r="AD364" s="207"/>
    </row>
    <row r="365" spans="1:30" s="208" customFormat="1" ht="15.75" thickBot="1">
      <c r="A365" s="244"/>
      <c r="B365" s="216"/>
      <c r="C365" s="110" t="s">
        <v>8</v>
      </c>
      <c r="D365" s="189" t="s">
        <v>8</v>
      </c>
      <c r="E365" s="37"/>
      <c r="F365" s="204"/>
      <c r="G365" s="204"/>
      <c r="H365" s="205"/>
      <c r="I365" s="206"/>
      <c r="J365" s="206"/>
      <c r="K365" s="206"/>
      <c r="L365" s="206"/>
      <c r="M365" s="206"/>
      <c r="N365" s="207"/>
      <c r="O365" s="207"/>
      <c r="P365" s="207"/>
      <c r="Q365" s="207"/>
      <c r="R365" s="207"/>
      <c r="S365" s="207"/>
      <c r="T365" s="207"/>
      <c r="U365" s="207"/>
      <c r="V365" s="207"/>
      <c r="W365" s="207"/>
      <c r="X365" s="207"/>
      <c r="Y365" s="207"/>
      <c r="Z365" s="207"/>
      <c r="AA365" s="207"/>
      <c r="AB365" s="207"/>
      <c r="AC365" s="207"/>
      <c r="AD365" s="207"/>
    </row>
    <row r="366" spans="1:30" s="208" customFormat="1" ht="15.75" thickBot="1">
      <c r="A366" s="244"/>
      <c r="B366" s="216"/>
      <c r="C366" s="110" t="s">
        <v>8</v>
      </c>
      <c r="D366" s="189" t="s">
        <v>8</v>
      </c>
      <c r="E366" s="37"/>
      <c r="F366" s="204"/>
      <c r="G366" s="204"/>
      <c r="H366" s="205"/>
      <c r="I366" s="206"/>
      <c r="J366" s="206"/>
      <c r="K366" s="206"/>
      <c r="L366" s="206"/>
      <c r="M366" s="206"/>
      <c r="N366" s="207"/>
      <c r="O366" s="207"/>
      <c r="P366" s="207"/>
      <c r="Q366" s="207"/>
      <c r="R366" s="207"/>
      <c r="S366" s="207"/>
      <c r="T366" s="207"/>
      <c r="U366" s="207"/>
      <c r="V366" s="207"/>
      <c r="W366" s="207"/>
      <c r="X366" s="207"/>
      <c r="Y366" s="207"/>
      <c r="Z366" s="207"/>
      <c r="AA366" s="207"/>
      <c r="AB366" s="207"/>
      <c r="AC366" s="207"/>
      <c r="AD366" s="207"/>
    </row>
    <row r="367" spans="1:30" s="208" customFormat="1" ht="15.75" thickBot="1">
      <c r="A367" s="245"/>
      <c r="B367" s="246"/>
      <c r="C367" s="190" t="s">
        <v>8</v>
      </c>
      <c r="D367" s="191" t="s">
        <v>8</v>
      </c>
      <c r="E367" s="108"/>
      <c r="F367" s="204"/>
      <c r="G367" s="204"/>
      <c r="H367" s="205"/>
      <c r="I367" s="206"/>
      <c r="J367" s="206"/>
      <c r="K367" s="206"/>
      <c r="L367" s="206"/>
      <c r="M367" s="206"/>
      <c r="N367" s="207"/>
      <c r="O367" s="207"/>
      <c r="P367" s="207"/>
      <c r="Q367" s="207"/>
      <c r="R367" s="207"/>
      <c r="S367" s="207"/>
      <c r="T367" s="207"/>
      <c r="U367" s="207"/>
      <c r="V367" s="207"/>
      <c r="W367" s="207"/>
      <c r="X367" s="207"/>
      <c r="Y367" s="207"/>
      <c r="Z367" s="207"/>
      <c r="AA367" s="207"/>
      <c r="AB367" s="207"/>
      <c r="AC367" s="207"/>
      <c r="AD367" s="207"/>
    </row>
    <row r="368" spans="1:30" ht="21" customHeight="1" thickBot="1">
      <c r="A368" s="537"/>
      <c r="B368" s="538"/>
      <c r="C368" s="352"/>
      <c r="D368" s="353" t="str">
        <f>IF(G52=0,"NA",(H52*5+I52*4+J52*3+K52*2+L52*0)/G52)</f>
        <v>NA</v>
      </c>
      <c r="E368" s="38"/>
      <c r="F368" s="39"/>
      <c r="G368" s="39"/>
      <c r="H368" s="42"/>
    </row>
    <row r="369" spans="1:30" ht="24.75" hidden="1" customHeight="1" thickBot="1">
      <c r="A369" s="354" t="s">
        <v>29</v>
      </c>
      <c r="B369" s="355"/>
      <c r="C369" s="356"/>
      <c r="D369" s="357"/>
      <c r="E369" s="112"/>
      <c r="F369" s="39"/>
      <c r="G369" s="39"/>
      <c r="H369" s="42"/>
    </row>
    <row r="370" spans="1:30" ht="30.75" hidden="1" customHeight="1" thickBot="1">
      <c r="A370" s="354" t="s">
        <v>29</v>
      </c>
      <c r="B370" s="355"/>
      <c r="C370" s="358"/>
      <c r="D370" s="359">
        <f>(IF(D26="NA",0,D26)*0.15+IF(D33="NA",0,D33)*0.1+IF(D42="NA",0,D42)*0.15+IF(D368="NA",0,D368)*0.5+IF(D51="NA",0,D51)*0.1)</f>
        <v>0</v>
      </c>
      <c r="E370" s="113">
        <f>(IF(E26="NA",0,E26)*0.1+IF(E33="NA",0,E33)*0.1+IF(E42="NA",0,E42)*0.2+IF(E368="NA",0,E368)*0.5+IF(E51="NA",0,E51)*0.1)</f>
        <v>0</v>
      </c>
      <c r="F370" s="39"/>
      <c r="G370" s="39"/>
      <c r="H370" s="42"/>
    </row>
    <row r="371" spans="1:30" ht="39.75" hidden="1" customHeight="1" thickBot="1">
      <c r="A371" s="354" t="s">
        <v>29</v>
      </c>
      <c r="B371" s="355"/>
      <c r="C371" s="360"/>
      <c r="D371" s="361">
        <f>(IF(D26="NA",0,1)*0.15+IF(D33="NA",0,1)*0.1+IF(D42="NA",0,1)*0.15+IF(D368="NA",0,1)*0.5+IF(D51="NA",0,1)*0.1)</f>
        <v>0</v>
      </c>
      <c r="E371" s="21">
        <f>(IF(E26="NA",0,1)*0.1+IF(E33="NA",0,1)*0.1+IF(E42="NA",0,1)*0.2+IF(E368="NA",0,1)*0.5+IF(E51="NA",0,1)*0.1)</f>
        <v>1</v>
      </c>
      <c r="F371" s="39">
        <f xml:space="preserve"> IF(D368&lt;=2.5,1,0)</f>
        <v>0</v>
      </c>
      <c r="G371" s="39"/>
      <c r="H371" s="42"/>
    </row>
    <row r="372" spans="1:30" ht="25.5" hidden="1" customHeight="1" thickBot="1">
      <c r="A372" s="362"/>
      <c r="B372" s="363"/>
      <c r="C372" s="363"/>
      <c r="D372" s="364">
        <f>D370/D373</f>
        <v>0</v>
      </c>
      <c r="E372" s="114">
        <f>E370/E373</f>
        <v>0</v>
      </c>
      <c r="F372" s="39">
        <f xml:space="preserve"> IF(D368="na",1,0)</f>
        <v>1</v>
      </c>
      <c r="G372" s="39"/>
      <c r="H372" s="42"/>
    </row>
    <row r="373" spans="1:30" ht="27.75" hidden="1" customHeight="1" thickBot="1">
      <c r="A373" s="362"/>
      <c r="B373" s="363"/>
      <c r="C373" s="363"/>
      <c r="D373" s="364">
        <f>(IF(D371=0,1,D371))</f>
        <v>1</v>
      </c>
      <c r="E373" s="36">
        <f>(IF(E371=0,1,E371))</f>
        <v>1</v>
      </c>
      <c r="F373" s="39" t="b">
        <f>OR(F371,F372)</f>
        <v>1</v>
      </c>
      <c r="G373" s="39"/>
      <c r="H373" s="42"/>
    </row>
    <row r="374" spans="1:30" s="24" customFormat="1" ht="27" customHeight="1" thickBot="1">
      <c r="A374" s="427" t="s">
        <v>101</v>
      </c>
      <c r="B374" s="428"/>
      <c r="C374" s="428"/>
      <c r="D374" s="365">
        <f>ROUND(D372,2)</f>
        <v>0</v>
      </c>
      <c r="E374" s="115">
        <f>ROUND(E372,2)</f>
        <v>0</v>
      </c>
      <c r="F374" s="51" t="b">
        <f>AND(F373,F377&gt;3)</f>
        <v>0</v>
      </c>
      <c r="G374" s="51"/>
      <c r="H374" s="52"/>
      <c r="I374" s="22"/>
      <c r="J374" s="22"/>
      <c r="K374" s="22"/>
      <c r="L374" s="22"/>
      <c r="M374" s="22"/>
      <c r="N374" s="23"/>
      <c r="O374" s="23"/>
      <c r="P374" s="23"/>
      <c r="Q374" s="23"/>
      <c r="R374" s="23"/>
      <c r="S374" s="23"/>
      <c r="T374" s="23"/>
      <c r="U374" s="23"/>
      <c r="V374" s="23"/>
      <c r="W374" s="23"/>
      <c r="X374" s="23"/>
      <c r="Y374" s="23"/>
      <c r="Z374" s="23"/>
      <c r="AA374" s="23"/>
      <c r="AB374" s="23"/>
      <c r="AC374" s="23"/>
      <c r="AD374" s="23"/>
    </row>
    <row r="375" spans="1:30" s="24" customFormat="1" ht="33.75" hidden="1" customHeight="1" thickBot="1">
      <c r="A375" s="366"/>
      <c r="B375" s="367"/>
      <c r="C375" s="367"/>
      <c r="D375" s="365"/>
      <c r="E375" s="69">
        <f xml:space="preserve"> ROUND(F375,1)</f>
        <v>0</v>
      </c>
      <c r="F375" s="51">
        <f xml:space="preserve"> (D374*1+E374*0)</f>
        <v>0</v>
      </c>
      <c r="G375" s="51"/>
      <c r="H375" s="52"/>
      <c r="I375" s="22"/>
      <c r="J375" s="22"/>
      <c r="K375" s="22"/>
      <c r="L375" s="22"/>
      <c r="M375" s="22"/>
      <c r="N375" s="23"/>
      <c r="O375" s="23"/>
      <c r="P375" s="23"/>
      <c r="Q375" s="23"/>
      <c r="R375" s="23"/>
      <c r="S375" s="23"/>
      <c r="T375" s="23"/>
      <c r="U375" s="23"/>
      <c r="V375" s="23"/>
      <c r="W375" s="23"/>
      <c r="X375" s="23"/>
      <c r="Y375" s="23"/>
      <c r="Z375" s="23"/>
      <c r="AA375" s="23"/>
      <c r="AB375" s="23"/>
      <c r="AC375" s="23"/>
      <c r="AD375" s="23"/>
    </row>
    <row r="376" spans="1:30" s="24" customFormat="1" ht="42" hidden="1" customHeight="1" thickBot="1">
      <c r="A376" s="427"/>
      <c r="B376" s="428"/>
      <c r="C376" s="539" t="s">
        <v>56</v>
      </c>
      <c r="D376" s="540"/>
      <c r="E376" s="70">
        <f>IF(F374=TRUE,3,F377)</f>
        <v>0</v>
      </c>
      <c r="F376" s="51">
        <f>IF(D374=0,0,1)*1+IF(E374=0,0,1)*0</f>
        <v>0</v>
      </c>
      <c r="G376" s="51"/>
      <c r="H376" s="52"/>
      <c r="I376" s="22"/>
      <c r="J376" s="22"/>
      <c r="K376" s="22"/>
      <c r="L376" s="22"/>
      <c r="M376" s="22"/>
      <c r="N376" s="23"/>
      <c r="O376" s="23"/>
      <c r="P376" s="23"/>
      <c r="Q376" s="23"/>
      <c r="R376" s="23"/>
      <c r="S376" s="23"/>
      <c r="T376" s="23"/>
      <c r="U376" s="23"/>
      <c r="V376" s="23"/>
      <c r="W376" s="23"/>
      <c r="X376" s="23"/>
      <c r="Y376" s="23"/>
      <c r="Z376" s="23"/>
      <c r="AA376" s="23"/>
      <c r="AB376" s="23"/>
      <c r="AC376" s="23"/>
      <c r="AD376" s="23"/>
    </row>
    <row r="377" spans="1:30" s="24" customFormat="1" ht="27" customHeight="1" thickBot="1">
      <c r="A377" s="429" t="s">
        <v>57</v>
      </c>
      <c r="B377" s="430"/>
      <c r="C377" s="368" t="s">
        <v>52</v>
      </c>
      <c r="D377" s="365">
        <f>IF(D368="NA",0,D368)</f>
        <v>0</v>
      </c>
      <c r="E377" s="71"/>
      <c r="F377" s="51">
        <f>F375/F380</f>
        <v>0</v>
      </c>
      <c r="G377" s="51"/>
      <c r="H377" s="52"/>
      <c r="I377" s="22"/>
      <c r="J377" s="22"/>
      <c r="K377" s="22"/>
      <c r="L377" s="22"/>
      <c r="M377" s="22"/>
      <c r="N377" s="23"/>
      <c r="O377" s="23"/>
      <c r="P377" s="23"/>
      <c r="Q377" s="23"/>
      <c r="R377" s="23"/>
      <c r="S377" s="23"/>
      <c r="T377" s="23"/>
      <c r="U377" s="23"/>
      <c r="V377" s="23"/>
      <c r="W377" s="23"/>
      <c r="X377" s="23"/>
      <c r="Y377" s="23"/>
      <c r="Z377" s="23"/>
      <c r="AA377" s="23"/>
      <c r="AB377" s="23"/>
      <c r="AC377" s="23"/>
      <c r="AD377" s="23"/>
    </row>
    <row r="378" spans="1:30" s="24" customFormat="1" ht="27.75" hidden="1" customHeight="1" thickBot="1">
      <c r="A378" s="429"/>
      <c r="B378" s="430"/>
      <c r="C378" s="383"/>
      <c r="D378" s="365">
        <f>(IF(D26="NA",0,D26)*0.15+IF(D33="NA",0,D33)*0.1+IF(D42="NA",0,D42)*0.15+IF(D51="NA",0,D51)*0.1)</f>
        <v>0</v>
      </c>
      <c r="E378" s="69">
        <f>(IF(D26="NA",0,1)*0.15+IF(D33="NA",0,1)*0.1+IF(D42="NA",0,1)*0.15+IF(D51="NA",0,1)*0.1)</f>
        <v>0</v>
      </c>
      <c r="F378" s="51"/>
      <c r="G378" s="51"/>
      <c r="H378" s="52"/>
      <c r="I378" s="22"/>
      <c r="J378" s="22"/>
      <c r="K378" s="22"/>
      <c r="L378" s="22"/>
      <c r="M378" s="22"/>
      <c r="N378" s="23"/>
      <c r="O378" s="23"/>
      <c r="P378" s="23"/>
      <c r="Q378" s="23"/>
      <c r="R378" s="23"/>
      <c r="S378" s="23"/>
      <c r="T378" s="23"/>
      <c r="U378" s="23"/>
      <c r="V378" s="23"/>
      <c r="W378" s="23"/>
      <c r="X378" s="23"/>
      <c r="Y378" s="23"/>
      <c r="Z378" s="23"/>
      <c r="AA378" s="23"/>
      <c r="AB378" s="23"/>
      <c r="AC378" s="23"/>
      <c r="AD378" s="23"/>
    </row>
    <row r="379" spans="1:30" s="24" customFormat="1" ht="26.25" customHeight="1" thickBot="1">
      <c r="A379" s="429"/>
      <c r="B379" s="430"/>
      <c r="C379" s="369" t="s">
        <v>53</v>
      </c>
      <c r="D379" s="370">
        <f>D378/F379</f>
        <v>0</v>
      </c>
      <c r="E379" s="72"/>
      <c r="F379" s="51">
        <f>IF(E378=0,1,E378)</f>
        <v>1</v>
      </c>
      <c r="G379" s="51"/>
      <c r="H379" s="52"/>
      <c r="I379" s="22"/>
      <c r="J379" s="22"/>
      <c r="K379" s="22"/>
      <c r="L379" s="22"/>
      <c r="M379" s="22"/>
      <c r="N379" s="23"/>
      <c r="O379" s="23"/>
      <c r="P379" s="23"/>
      <c r="Q379" s="23"/>
      <c r="R379" s="23"/>
      <c r="S379" s="23"/>
      <c r="T379" s="23"/>
      <c r="U379" s="23"/>
      <c r="V379" s="23"/>
      <c r="W379" s="23"/>
      <c r="X379" s="23"/>
      <c r="Y379" s="23"/>
      <c r="Z379" s="23"/>
      <c r="AA379" s="23"/>
      <c r="AB379" s="23"/>
      <c r="AC379" s="23"/>
      <c r="AD379" s="23"/>
    </row>
    <row r="380" spans="1:30" s="24" customFormat="1" ht="33.75" hidden="1" customHeight="1" thickBot="1">
      <c r="A380" s="429"/>
      <c r="B380" s="430"/>
      <c r="C380" s="367"/>
      <c r="D380" s="371"/>
      <c r="E380" s="73"/>
      <c r="F380" s="51">
        <f>IF(F376=0,1,F376)</f>
        <v>1</v>
      </c>
      <c r="G380" s="51"/>
      <c r="H380" s="52"/>
      <c r="I380" s="22"/>
      <c r="J380" s="22"/>
      <c r="K380" s="22"/>
      <c r="L380" s="22"/>
      <c r="M380" s="22"/>
      <c r="N380" s="23"/>
      <c r="O380" s="23"/>
      <c r="P380" s="23"/>
      <c r="Q380" s="23"/>
      <c r="R380" s="23"/>
      <c r="S380" s="23"/>
      <c r="T380" s="23"/>
      <c r="U380" s="23"/>
      <c r="V380" s="23"/>
      <c r="W380" s="23"/>
      <c r="X380" s="23"/>
      <c r="Y380" s="23"/>
      <c r="Z380" s="23"/>
      <c r="AA380" s="23"/>
      <c r="AB380" s="23"/>
      <c r="AC380" s="23"/>
      <c r="AD380" s="23"/>
    </row>
    <row r="381" spans="1:30" s="24" customFormat="1" ht="35.25" customHeight="1" thickBot="1">
      <c r="A381" s="431" t="s">
        <v>108</v>
      </c>
      <c r="B381" s="432"/>
      <c r="C381" s="372" t="s">
        <v>56</v>
      </c>
      <c r="D381" s="373">
        <f>ROUND(IF(F374=TRUE,3,F377),1)</f>
        <v>0</v>
      </c>
      <c r="E381" s="74"/>
      <c r="F381" s="51"/>
      <c r="G381" s="51"/>
      <c r="H381" s="52"/>
      <c r="I381" s="22"/>
      <c r="J381" s="22"/>
      <c r="K381" s="22"/>
      <c r="L381" s="22"/>
      <c r="M381" s="22"/>
      <c r="N381" s="23"/>
      <c r="O381" s="23"/>
      <c r="P381" s="23"/>
      <c r="Q381" s="23"/>
      <c r="R381" s="23"/>
      <c r="S381" s="23"/>
      <c r="T381" s="23"/>
      <c r="U381" s="23"/>
      <c r="V381" s="23"/>
      <c r="W381" s="23"/>
      <c r="X381" s="23"/>
      <c r="Y381" s="23"/>
      <c r="Z381" s="23"/>
      <c r="AA381" s="23"/>
      <c r="AB381" s="23"/>
      <c r="AC381" s="23"/>
      <c r="AD381" s="23"/>
    </row>
    <row r="382" spans="1:30" s="24" customFormat="1" ht="35.25" hidden="1" customHeight="1" thickBot="1">
      <c r="A382" s="374"/>
      <c r="B382" s="375"/>
      <c r="C382" s="376"/>
      <c r="D382" s="376"/>
      <c r="E382" s="25"/>
      <c r="F382" s="51"/>
      <c r="G382" s="51"/>
      <c r="H382" s="52"/>
      <c r="I382" s="22"/>
      <c r="J382" s="22"/>
      <c r="K382" s="22"/>
      <c r="L382" s="22"/>
      <c r="M382" s="22"/>
      <c r="N382" s="23"/>
      <c r="O382" s="23"/>
      <c r="P382" s="23"/>
      <c r="Q382" s="23"/>
      <c r="R382" s="23"/>
      <c r="S382" s="23"/>
      <c r="T382" s="23"/>
      <c r="U382" s="23"/>
      <c r="V382" s="23"/>
      <c r="W382" s="23"/>
      <c r="X382" s="23"/>
      <c r="Y382" s="23"/>
      <c r="Z382" s="23"/>
      <c r="AA382" s="23"/>
      <c r="AB382" s="23"/>
      <c r="AC382" s="23"/>
      <c r="AD382" s="23"/>
    </row>
    <row r="383" spans="1:30" ht="9" customHeight="1" thickBot="1">
      <c r="A383" s="526"/>
      <c r="B383" s="527"/>
      <c r="C383" s="527"/>
      <c r="D383" s="528"/>
      <c r="E383" s="79"/>
      <c r="F383" s="39"/>
      <c r="G383" s="39"/>
      <c r="H383" s="42"/>
    </row>
    <row r="384" spans="1:30" s="24" customFormat="1" ht="17.25" customHeight="1">
      <c r="A384" s="523" t="s">
        <v>121</v>
      </c>
      <c r="B384" s="524"/>
      <c r="C384" s="524"/>
      <c r="D384" s="525"/>
      <c r="E384" s="139"/>
      <c r="F384" s="51"/>
      <c r="G384" s="51"/>
      <c r="H384" s="52"/>
      <c r="I384" s="22"/>
      <c r="J384" s="22"/>
      <c r="K384" s="22"/>
      <c r="L384" s="22"/>
      <c r="M384" s="22"/>
      <c r="N384" s="23"/>
      <c r="O384" s="23"/>
      <c r="P384" s="23"/>
      <c r="Q384" s="23"/>
      <c r="R384" s="23"/>
      <c r="S384" s="23"/>
      <c r="T384" s="23"/>
      <c r="U384" s="23"/>
      <c r="V384" s="23"/>
      <c r="W384" s="23"/>
      <c r="X384" s="23"/>
      <c r="Y384" s="23"/>
      <c r="Z384" s="23"/>
      <c r="AA384" s="23"/>
      <c r="AB384" s="23"/>
      <c r="AC384" s="23"/>
      <c r="AD384" s="23"/>
    </row>
    <row r="385" spans="1:30" s="24" customFormat="1" ht="23.25" customHeight="1">
      <c r="A385" s="504" t="s">
        <v>310</v>
      </c>
      <c r="B385" s="505"/>
      <c r="C385" s="505"/>
      <c r="D385" s="506"/>
      <c r="E385" s="138"/>
      <c r="F385" s="51"/>
      <c r="G385" s="51"/>
      <c r="H385" s="52"/>
      <c r="I385" s="22"/>
      <c r="J385" s="22"/>
      <c r="K385" s="22"/>
      <c r="L385" s="22"/>
      <c r="M385" s="22"/>
      <c r="N385" s="23"/>
      <c r="O385" s="23"/>
      <c r="P385" s="23"/>
      <c r="Q385" s="23"/>
      <c r="R385" s="23"/>
      <c r="S385" s="23"/>
      <c r="T385" s="23"/>
      <c r="U385" s="23"/>
      <c r="V385" s="23"/>
      <c r="W385" s="23"/>
      <c r="X385" s="23"/>
      <c r="Y385" s="23"/>
      <c r="Z385" s="23"/>
      <c r="AA385" s="23"/>
      <c r="AB385" s="23"/>
      <c r="AC385" s="23"/>
      <c r="AD385" s="23"/>
    </row>
    <row r="386" spans="1:30" ht="18.75" customHeight="1">
      <c r="A386" s="442" t="s">
        <v>97</v>
      </c>
      <c r="B386" s="443"/>
      <c r="C386" s="500" t="s">
        <v>98</v>
      </c>
      <c r="D386" s="501"/>
      <c r="E386" s="136"/>
      <c r="F386" s="39"/>
      <c r="G386" s="39"/>
      <c r="H386" s="42"/>
    </row>
    <row r="387" spans="1:30" ht="115.5" customHeight="1" thickBot="1">
      <c r="A387" s="521"/>
      <c r="B387" s="522"/>
      <c r="C387" s="502"/>
      <c r="D387" s="503"/>
      <c r="E387" s="137"/>
      <c r="F387" s="39"/>
      <c r="G387" s="39"/>
      <c r="H387" s="42"/>
    </row>
    <row r="388" spans="1:30" ht="9.75" customHeight="1" thickBot="1">
      <c r="A388" s="510"/>
      <c r="B388" s="511"/>
      <c r="C388" s="511"/>
      <c r="D388" s="512"/>
      <c r="E388" s="144"/>
      <c r="F388" s="39"/>
      <c r="G388" s="39"/>
      <c r="H388" s="42"/>
    </row>
    <row r="389" spans="1:30" s="24" customFormat="1" ht="17.25" customHeight="1">
      <c r="A389" s="377" t="s">
        <v>130</v>
      </c>
      <c r="B389" s="378"/>
      <c r="C389" s="378"/>
      <c r="D389" s="379"/>
      <c r="E389" s="139"/>
      <c r="F389" s="51"/>
      <c r="G389" s="51"/>
      <c r="H389" s="52"/>
      <c r="I389" s="22"/>
      <c r="J389" s="22"/>
      <c r="K389" s="22"/>
      <c r="L389" s="22"/>
      <c r="M389" s="22"/>
      <c r="N389" s="23"/>
      <c r="O389" s="23"/>
      <c r="P389" s="23"/>
      <c r="Q389" s="23"/>
      <c r="R389" s="23"/>
      <c r="S389" s="23"/>
      <c r="T389" s="23"/>
      <c r="U389" s="23"/>
      <c r="V389" s="23"/>
      <c r="W389" s="23"/>
      <c r="X389" s="23"/>
      <c r="Y389" s="23"/>
      <c r="Z389" s="23"/>
      <c r="AA389" s="23"/>
      <c r="AB389" s="23"/>
      <c r="AC389" s="23"/>
      <c r="AD389" s="23"/>
    </row>
    <row r="390" spans="1:30" s="24" customFormat="1" ht="19.5" customHeight="1">
      <c r="A390" s="427" t="s">
        <v>112</v>
      </c>
      <c r="B390" s="428"/>
      <c r="C390" s="428"/>
      <c r="D390" s="441"/>
      <c r="E390" s="140"/>
      <c r="F390" s="51"/>
      <c r="G390" s="51"/>
      <c r="H390" s="52"/>
      <c r="I390" s="22"/>
      <c r="J390" s="22"/>
      <c r="K390" s="22"/>
      <c r="L390" s="22"/>
      <c r="M390" s="22"/>
      <c r="N390" s="23"/>
      <c r="O390" s="23"/>
      <c r="P390" s="23"/>
      <c r="Q390" s="23"/>
      <c r="R390" s="23"/>
      <c r="S390" s="23"/>
      <c r="T390" s="23"/>
      <c r="U390" s="23"/>
      <c r="V390" s="23"/>
      <c r="W390" s="23"/>
      <c r="X390" s="23"/>
      <c r="Y390" s="23"/>
      <c r="Z390" s="23"/>
      <c r="AA390" s="23"/>
      <c r="AB390" s="23"/>
      <c r="AC390" s="23"/>
      <c r="AD390" s="23"/>
    </row>
    <row r="391" spans="1:30" ht="66" customHeight="1" thickBot="1">
      <c r="A391" s="507" t="s">
        <v>326</v>
      </c>
      <c r="B391" s="508"/>
      <c r="C391" s="508"/>
      <c r="D391" s="509"/>
      <c r="E391" s="141"/>
      <c r="F391" s="39"/>
      <c r="G391" s="39"/>
      <c r="H391" s="42"/>
    </row>
    <row r="392" spans="1:30" ht="21.75" customHeight="1">
      <c r="A392" s="444" t="s">
        <v>30</v>
      </c>
      <c r="B392" s="446" t="s">
        <v>31</v>
      </c>
      <c r="C392" s="384" t="s">
        <v>62</v>
      </c>
      <c r="D392" s="513" t="s">
        <v>105</v>
      </c>
      <c r="E392" s="145"/>
      <c r="F392" s="39"/>
      <c r="G392" s="39"/>
      <c r="H392" s="42"/>
    </row>
    <row r="393" spans="1:30" ht="19.5" customHeight="1">
      <c r="A393" s="445"/>
      <c r="B393" s="447"/>
      <c r="C393" s="380" t="s">
        <v>104</v>
      </c>
      <c r="D393" s="514"/>
      <c r="E393" s="146"/>
      <c r="F393" s="39"/>
      <c r="G393" s="39"/>
      <c r="H393" s="42"/>
    </row>
    <row r="394" spans="1:30" ht="12.75">
      <c r="A394" s="117">
        <v>1</v>
      </c>
      <c r="B394" s="116"/>
      <c r="C394" s="116"/>
      <c r="D394" s="149"/>
      <c r="E394" s="147"/>
      <c r="F394" s="39"/>
      <c r="G394" s="39"/>
      <c r="H394" s="42"/>
    </row>
    <row r="395" spans="1:30" ht="12.75">
      <c r="A395" s="117">
        <v>2</v>
      </c>
      <c r="B395" s="116"/>
      <c r="C395" s="116"/>
      <c r="D395" s="149"/>
      <c r="E395" s="147"/>
      <c r="F395" s="39"/>
      <c r="G395" s="39"/>
      <c r="H395" s="42"/>
    </row>
    <row r="396" spans="1:30" ht="12.75">
      <c r="A396" s="117">
        <v>3</v>
      </c>
      <c r="B396" s="116"/>
      <c r="C396" s="116"/>
      <c r="D396" s="149"/>
      <c r="E396" s="147"/>
      <c r="F396" s="39"/>
      <c r="G396" s="39"/>
      <c r="H396" s="42"/>
    </row>
    <row r="397" spans="1:30" ht="12.75">
      <c r="A397" s="117">
        <v>4</v>
      </c>
      <c r="B397" s="116"/>
      <c r="C397" s="116"/>
      <c r="D397" s="149"/>
      <c r="E397" s="147"/>
      <c r="F397" s="39"/>
      <c r="G397" s="39"/>
      <c r="H397" s="42"/>
    </row>
    <row r="398" spans="1:30" ht="12.75">
      <c r="A398" s="117">
        <v>5</v>
      </c>
      <c r="B398" s="116"/>
      <c r="C398" s="116"/>
      <c r="D398" s="149"/>
      <c r="E398" s="147"/>
      <c r="F398" s="39"/>
      <c r="G398" s="39"/>
      <c r="H398" s="42"/>
    </row>
    <row r="399" spans="1:30" ht="12.75">
      <c r="A399" s="117">
        <v>6</v>
      </c>
      <c r="B399" s="116"/>
      <c r="C399" s="116"/>
      <c r="D399" s="149"/>
      <c r="E399" s="147"/>
      <c r="F399" s="39"/>
      <c r="G399" s="39"/>
      <c r="H399" s="42"/>
    </row>
    <row r="400" spans="1:30" ht="12.75">
      <c r="A400" s="117">
        <v>7</v>
      </c>
      <c r="B400" s="116"/>
      <c r="C400" s="116"/>
      <c r="D400" s="149"/>
      <c r="E400" s="147"/>
      <c r="F400" s="39"/>
      <c r="G400" s="39"/>
      <c r="H400" s="42"/>
    </row>
    <row r="401" spans="1:30" ht="12.75">
      <c r="A401" s="117">
        <v>8</v>
      </c>
      <c r="B401" s="116"/>
      <c r="C401" s="116"/>
      <c r="D401" s="149"/>
      <c r="E401" s="147"/>
      <c r="F401" s="39"/>
      <c r="G401" s="39"/>
      <c r="H401" s="42"/>
    </row>
    <row r="402" spans="1:30" ht="12.75">
      <c r="A402" s="117">
        <v>9</v>
      </c>
      <c r="B402" s="116"/>
      <c r="C402" s="116"/>
      <c r="D402" s="149"/>
      <c r="E402" s="147"/>
      <c r="F402" s="39"/>
      <c r="G402" s="39"/>
      <c r="H402" s="42"/>
    </row>
    <row r="403" spans="1:30" ht="12.75">
      <c r="A403" s="117">
        <v>10</v>
      </c>
      <c r="B403" s="116"/>
      <c r="C403" s="116"/>
      <c r="D403" s="149"/>
      <c r="E403" s="147"/>
      <c r="F403" s="39"/>
      <c r="G403" s="39"/>
      <c r="H403" s="42"/>
    </row>
    <row r="404" spans="1:30" ht="12.75">
      <c r="A404" s="117">
        <v>11</v>
      </c>
      <c r="B404" s="116"/>
      <c r="C404" s="116"/>
      <c r="D404" s="149"/>
      <c r="E404" s="147"/>
      <c r="F404" s="39"/>
      <c r="G404" s="39"/>
      <c r="H404" s="42"/>
    </row>
    <row r="405" spans="1:30" ht="12.75">
      <c r="A405" s="117">
        <v>12</v>
      </c>
      <c r="B405" s="116"/>
      <c r="C405" s="116"/>
      <c r="D405" s="149"/>
      <c r="E405" s="147"/>
      <c r="F405" s="39"/>
      <c r="G405" s="39"/>
      <c r="H405" s="42"/>
    </row>
    <row r="406" spans="1:30" ht="12.75">
      <c r="A406" s="117">
        <v>13</v>
      </c>
      <c r="B406" s="116"/>
      <c r="C406" s="116"/>
      <c r="D406" s="149"/>
      <c r="E406" s="147"/>
      <c r="F406" s="39"/>
      <c r="G406" s="39"/>
      <c r="H406" s="42"/>
    </row>
    <row r="407" spans="1:30" ht="12.75">
      <c r="A407" s="117">
        <v>14</v>
      </c>
      <c r="B407" s="116"/>
      <c r="C407" s="116"/>
      <c r="D407" s="149"/>
      <c r="E407" s="147"/>
      <c r="F407" s="39"/>
      <c r="G407" s="39"/>
      <c r="H407" s="42"/>
    </row>
    <row r="408" spans="1:30" ht="13.5" thickBot="1">
      <c r="A408" s="117">
        <v>15</v>
      </c>
      <c r="B408" s="116"/>
      <c r="C408" s="118"/>
      <c r="D408" s="150"/>
      <c r="E408" s="148"/>
      <c r="F408" s="39"/>
      <c r="G408" s="39"/>
      <c r="H408" s="42"/>
    </row>
    <row r="409" spans="1:30" ht="9" customHeight="1" thickBot="1">
      <c r="A409" s="151"/>
      <c r="B409" s="152"/>
      <c r="C409" s="152"/>
      <c r="D409" s="153"/>
      <c r="E409" s="111"/>
      <c r="F409" s="39"/>
      <c r="G409" s="39"/>
      <c r="H409" s="42"/>
    </row>
    <row r="410" spans="1:30" s="24" customFormat="1" ht="17.25" customHeight="1" thickBot="1">
      <c r="A410" s="448" t="s">
        <v>134</v>
      </c>
      <c r="B410" s="449"/>
      <c r="C410" s="449"/>
      <c r="D410" s="450"/>
      <c r="E410" s="119"/>
      <c r="F410" s="51"/>
      <c r="G410" s="51"/>
      <c r="H410" s="52"/>
      <c r="I410" s="22"/>
      <c r="J410" s="22"/>
      <c r="K410" s="22"/>
      <c r="L410" s="22"/>
      <c r="M410" s="22"/>
      <c r="N410" s="23"/>
      <c r="O410" s="23"/>
      <c r="P410" s="23"/>
      <c r="Q410" s="23"/>
      <c r="R410" s="23"/>
      <c r="S410" s="23"/>
      <c r="T410" s="23"/>
      <c r="U410" s="23"/>
      <c r="V410" s="23"/>
      <c r="W410" s="23"/>
      <c r="X410" s="23"/>
      <c r="Y410" s="23"/>
      <c r="Z410" s="23"/>
      <c r="AA410" s="23"/>
      <c r="AB410" s="23"/>
      <c r="AC410" s="23"/>
      <c r="AD410" s="23"/>
    </row>
    <row r="411" spans="1:30" s="24" customFormat="1" ht="57" customHeight="1" thickBot="1">
      <c r="A411" s="317" t="s">
        <v>109</v>
      </c>
      <c r="B411" s="439"/>
      <c r="C411" s="439"/>
      <c r="D411" s="440"/>
      <c r="E411" s="119"/>
      <c r="F411" s="51"/>
      <c r="G411" s="51"/>
      <c r="H411" s="52"/>
      <c r="I411" s="22"/>
      <c r="J411" s="22"/>
      <c r="K411" s="22"/>
      <c r="L411" s="22"/>
      <c r="M411" s="22"/>
      <c r="N411" s="23"/>
      <c r="O411" s="23"/>
      <c r="P411" s="23"/>
      <c r="Q411" s="23"/>
      <c r="R411" s="23"/>
      <c r="S411" s="23"/>
      <c r="T411" s="23"/>
      <c r="U411" s="23"/>
      <c r="V411" s="23"/>
      <c r="W411" s="23"/>
      <c r="X411" s="23"/>
      <c r="Y411" s="23"/>
      <c r="Z411" s="23"/>
      <c r="AA411" s="23"/>
      <c r="AB411" s="23"/>
      <c r="AC411" s="23"/>
      <c r="AD411" s="23"/>
    </row>
    <row r="412" spans="1:30" s="24" customFormat="1" ht="54" customHeight="1" thickBot="1">
      <c r="A412" s="317" t="s">
        <v>110</v>
      </c>
      <c r="B412" s="439"/>
      <c r="C412" s="439"/>
      <c r="D412" s="440"/>
      <c r="E412" s="119"/>
      <c r="F412" s="51"/>
      <c r="G412" s="51"/>
      <c r="H412" s="52"/>
      <c r="I412" s="22"/>
      <c r="J412" s="22"/>
      <c r="K412" s="22"/>
      <c r="L412" s="22"/>
      <c r="M412" s="22"/>
      <c r="N412" s="23"/>
      <c r="O412" s="23"/>
      <c r="P412" s="23"/>
      <c r="Q412" s="23"/>
      <c r="R412" s="23"/>
      <c r="S412" s="23"/>
      <c r="T412" s="23"/>
      <c r="U412" s="23"/>
      <c r="V412" s="23"/>
      <c r="W412" s="23"/>
      <c r="X412" s="23"/>
      <c r="Y412" s="23"/>
      <c r="Z412" s="23"/>
      <c r="AA412" s="23"/>
      <c r="AB412" s="23"/>
      <c r="AC412" s="23"/>
      <c r="AD412" s="23"/>
    </row>
    <row r="413" spans="1:30" s="24" customFormat="1" ht="52.5" customHeight="1" thickBot="1">
      <c r="A413" s="318" t="s">
        <v>111</v>
      </c>
      <c r="B413" s="519"/>
      <c r="C413" s="519"/>
      <c r="D413" s="520"/>
      <c r="E413" s="119"/>
      <c r="F413" s="51"/>
      <c r="G413" s="51"/>
      <c r="H413" s="52"/>
      <c r="I413" s="22"/>
      <c r="J413" s="22"/>
      <c r="K413" s="22"/>
      <c r="L413" s="22"/>
      <c r="M413" s="22"/>
      <c r="N413" s="23"/>
      <c r="O413" s="23"/>
      <c r="P413" s="23"/>
      <c r="Q413" s="23"/>
      <c r="R413" s="23"/>
      <c r="S413" s="23"/>
      <c r="T413" s="23"/>
      <c r="U413" s="23"/>
      <c r="V413" s="23"/>
      <c r="W413" s="23"/>
      <c r="X413" s="23"/>
      <c r="Y413" s="23"/>
      <c r="Z413" s="23"/>
      <c r="AA413" s="23"/>
      <c r="AB413" s="23"/>
      <c r="AC413" s="23"/>
      <c r="AD413" s="23"/>
    </row>
    <row r="414" spans="1:30" ht="3.75" customHeight="1" thickBot="1">
      <c r="A414" s="158"/>
      <c r="B414" s="159"/>
      <c r="C414" s="159"/>
      <c r="D414" s="159"/>
      <c r="E414" s="160"/>
      <c r="F414" s="39"/>
      <c r="G414" s="39"/>
      <c r="H414" s="42"/>
    </row>
    <row r="415" spans="1:30" s="24" customFormat="1" ht="17.25" customHeight="1" thickBot="1">
      <c r="A415" s="319" t="s">
        <v>119</v>
      </c>
      <c r="B415" s="319"/>
      <c r="C415" s="320"/>
      <c r="D415" s="321"/>
      <c r="E415" s="139"/>
      <c r="F415" s="51"/>
      <c r="G415" s="51"/>
      <c r="H415" s="52"/>
      <c r="I415" s="22"/>
      <c r="J415" s="22"/>
      <c r="K415" s="22"/>
      <c r="L415" s="22"/>
      <c r="M415" s="22"/>
      <c r="N415" s="23"/>
      <c r="O415" s="23"/>
      <c r="P415" s="23"/>
      <c r="Q415" s="23"/>
      <c r="R415" s="23"/>
      <c r="S415" s="23"/>
      <c r="T415" s="23"/>
      <c r="U415" s="23"/>
      <c r="V415" s="23"/>
      <c r="W415" s="23"/>
      <c r="X415" s="23"/>
      <c r="Y415" s="23"/>
      <c r="Z415" s="23"/>
      <c r="AA415" s="23"/>
      <c r="AB415" s="23"/>
      <c r="AC415" s="23"/>
      <c r="AD415" s="23"/>
    </row>
    <row r="416" spans="1:30" s="24" customFormat="1" ht="4.5" customHeight="1" thickBot="1">
      <c r="A416" s="164"/>
      <c r="B416" s="165"/>
      <c r="C416" s="165"/>
      <c r="D416" s="166"/>
      <c r="E416" s="157"/>
      <c r="F416" s="51"/>
      <c r="G416" s="51"/>
      <c r="H416" s="52"/>
      <c r="I416" s="22"/>
      <c r="J416" s="22"/>
      <c r="K416" s="22"/>
      <c r="L416" s="22"/>
      <c r="M416" s="22"/>
      <c r="N416" s="23"/>
      <c r="O416" s="23"/>
      <c r="P416" s="23"/>
      <c r="Q416" s="23"/>
      <c r="R416" s="23"/>
      <c r="S416" s="23"/>
      <c r="T416" s="23"/>
      <c r="U416" s="23"/>
      <c r="V416" s="23"/>
      <c r="W416" s="23"/>
      <c r="X416" s="23"/>
      <c r="Y416" s="23"/>
      <c r="Z416" s="23"/>
      <c r="AA416" s="23"/>
      <c r="AB416" s="23"/>
      <c r="AC416" s="23"/>
      <c r="AD416" s="23"/>
    </row>
    <row r="417" spans="1:30" s="24" customFormat="1" ht="38.25" customHeight="1" thickBot="1">
      <c r="A417" s="322" t="s">
        <v>122</v>
      </c>
      <c r="B417" s="529"/>
      <c r="C417" s="530"/>
      <c r="D417" s="531"/>
      <c r="E417" s="155"/>
      <c r="F417" s="51"/>
      <c r="G417" s="51"/>
      <c r="H417" s="52"/>
      <c r="I417" s="22"/>
      <c r="J417" s="22"/>
      <c r="K417" s="22"/>
      <c r="L417" s="22"/>
      <c r="M417" s="22"/>
      <c r="N417" s="23"/>
      <c r="O417" s="23"/>
      <c r="P417" s="23"/>
      <c r="Q417" s="23"/>
      <c r="R417" s="23"/>
      <c r="S417" s="23"/>
      <c r="T417" s="23"/>
      <c r="U417" s="23"/>
      <c r="V417" s="23"/>
      <c r="W417" s="23"/>
      <c r="X417" s="23"/>
      <c r="Y417" s="23"/>
      <c r="Z417" s="23"/>
      <c r="AA417" s="23"/>
      <c r="AB417" s="23"/>
      <c r="AC417" s="23"/>
      <c r="AD417" s="23"/>
    </row>
    <row r="418" spans="1:30" s="24" customFormat="1" ht="38.25" hidden="1" customHeight="1">
      <c r="A418" s="323" t="s">
        <v>32</v>
      </c>
      <c r="B418" s="241"/>
      <c r="C418" s="385" t="s">
        <v>33</v>
      </c>
      <c r="D418" s="249"/>
      <c r="E418" s="155"/>
      <c r="F418" s="51"/>
      <c r="G418" s="51"/>
      <c r="H418" s="52"/>
      <c r="I418" s="22"/>
      <c r="J418" s="22"/>
      <c r="K418" s="22"/>
      <c r="L418" s="22"/>
      <c r="M418" s="22"/>
      <c r="N418" s="23"/>
      <c r="O418" s="23"/>
      <c r="P418" s="23"/>
      <c r="Q418" s="23"/>
      <c r="R418" s="23"/>
      <c r="S418" s="23"/>
      <c r="T418" s="23"/>
      <c r="U418" s="23"/>
      <c r="V418" s="23"/>
      <c r="W418" s="23"/>
      <c r="X418" s="23"/>
      <c r="Y418" s="23"/>
      <c r="Z418" s="23"/>
      <c r="AA418" s="23"/>
      <c r="AB418" s="23"/>
      <c r="AC418" s="23"/>
      <c r="AD418" s="23"/>
    </row>
    <row r="419" spans="1:30" s="24" customFormat="1" ht="38.25" hidden="1" customHeight="1" thickBot="1">
      <c r="A419" s="324" t="s">
        <v>34</v>
      </c>
      <c r="B419" s="242"/>
      <c r="C419" s="325" t="s">
        <v>35</v>
      </c>
      <c r="D419" s="248"/>
      <c r="E419" s="156"/>
      <c r="F419" s="51"/>
      <c r="G419" s="51"/>
      <c r="H419" s="52"/>
      <c r="I419" s="22"/>
      <c r="J419" s="22"/>
      <c r="K419" s="22"/>
      <c r="L419" s="22"/>
      <c r="M419" s="22"/>
      <c r="N419" s="23"/>
      <c r="O419" s="23"/>
      <c r="P419" s="23"/>
      <c r="Q419" s="23"/>
      <c r="R419" s="23"/>
      <c r="S419" s="23"/>
      <c r="T419" s="23"/>
      <c r="U419" s="23"/>
      <c r="V419" s="23"/>
      <c r="W419" s="23"/>
      <c r="X419" s="23"/>
      <c r="Y419" s="23"/>
      <c r="Z419" s="23"/>
      <c r="AA419" s="23"/>
      <c r="AB419" s="23"/>
      <c r="AC419" s="23"/>
      <c r="AD419" s="23"/>
    </row>
    <row r="420" spans="1:30" s="24" customFormat="1" ht="6.75" customHeight="1" thickBot="1">
      <c r="A420" s="121"/>
      <c r="B420" s="122"/>
      <c r="C420" s="123"/>
      <c r="D420" s="124"/>
      <c r="E420" s="120"/>
      <c r="F420" s="51"/>
      <c r="G420" s="51"/>
      <c r="H420" s="52"/>
      <c r="I420" s="22"/>
      <c r="J420" s="22"/>
      <c r="K420" s="22"/>
      <c r="L420" s="22"/>
      <c r="M420" s="22"/>
      <c r="N420" s="23"/>
      <c r="O420" s="23"/>
      <c r="P420" s="23"/>
      <c r="Q420" s="23"/>
      <c r="R420" s="23"/>
      <c r="S420" s="23"/>
      <c r="T420" s="23"/>
      <c r="U420" s="23"/>
      <c r="V420" s="23"/>
      <c r="W420" s="23"/>
      <c r="X420" s="23"/>
      <c r="Y420" s="23"/>
      <c r="Z420" s="23"/>
      <c r="AA420" s="23"/>
      <c r="AB420" s="23"/>
      <c r="AC420" s="23"/>
      <c r="AD420" s="23"/>
    </row>
    <row r="421" spans="1:30" s="24" customFormat="1" ht="17.25" customHeight="1">
      <c r="A421" s="314" t="s">
        <v>311</v>
      </c>
      <c r="B421" s="315"/>
      <c r="C421" s="315"/>
      <c r="D421" s="316"/>
      <c r="E421" s="139"/>
      <c r="F421" s="51"/>
      <c r="G421" s="51"/>
      <c r="H421" s="52"/>
      <c r="I421" s="22"/>
      <c r="J421" s="22"/>
      <c r="K421" s="22"/>
      <c r="L421" s="22"/>
      <c r="M421" s="22"/>
      <c r="N421" s="23"/>
      <c r="O421" s="23"/>
      <c r="P421" s="23"/>
      <c r="Q421" s="23"/>
      <c r="R421" s="23"/>
      <c r="S421" s="23"/>
      <c r="T421" s="23"/>
      <c r="U421" s="23"/>
      <c r="V421" s="23"/>
      <c r="W421" s="23"/>
      <c r="X421" s="23"/>
      <c r="Y421" s="23"/>
      <c r="Z421" s="23"/>
      <c r="AA421" s="23"/>
      <c r="AB421" s="23"/>
      <c r="AC421" s="23"/>
      <c r="AD421" s="23"/>
    </row>
    <row r="422" spans="1:30" s="24" customFormat="1" ht="17.25" customHeight="1" thickBot="1">
      <c r="A422" s="497" t="s">
        <v>135</v>
      </c>
      <c r="B422" s="498"/>
      <c r="C422" s="498"/>
      <c r="D422" s="499"/>
      <c r="E422" s="161"/>
      <c r="F422" s="51"/>
      <c r="G422" s="51"/>
      <c r="H422" s="52"/>
      <c r="I422" s="22"/>
      <c r="J422" s="22"/>
      <c r="K422" s="22"/>
      <c r="L422" s="22"/>
      <c r="M422" s="22"/>
      <c r="N422" s="23"/>
      <c r="O422" s="23"/>
      <c r="P422" s="23"/>
      <c r="Q422" s="23"/>
      <c r="R422" s="23"/>
      <c r="S422" s="23"/>
      <c r="T422" s="23"/>
      <c r="U422" s="23"/>
      <c r="V422" s="23"/>
      <c r="W422" s="23"/>
      <c r="X422" s="23"/>
      <c r="Y422" s="23"/>
      <c r="Z422" s="23"/>
      <c r="AA422" s="23"/>
      <c r="AB422" s="23"/>
      <c r="AC422" s="23"/>
      <c r="AD422" s="23"/>
    </row>
    <row r="423" spans="1:30" s="24" customFormat="1" ht="7.5" customHeight="1" thickBot="1">
      <c r="A423" s="81"/>
      <c r="B423" s="82"/>
      <c r="C423" s="82"/>
      <c r="D423" s="83"/>
      <c r="E423" s="125"/>
      <c r="F423" s="51"/>
      <c r="G423" s="51"/>
      <c r="H423" s="52"/>
      <c r="I423" s="22"/>
      <c r="J423" s="22"/>
      <c r="K423" s="22"/>
      <c r="L423" s="22"/>
      <c r="M423" s="22"/>
      <c r="N423" s="23"/>
      <c r="O423" s="23"/>
      <c r="P423" s="23"/>
      <c r="Q423" s="23"/>
      <c r="R423" s="23"/>
      <c r="S423" s="23"/>
      <c r="T423" s="23"/>
      <c r="U423" s="23"/>
      <c r="V423" s="23"/>
      <c r="W423" s="23"/>
      <c r="X423" s="23"/>
      <c r="Y423" s="23"/>
      <c r="Z423" s="23"/>
      <c r="AA423" s="23"/>
      <c r="AB423" s="23"/>
      <c r="AC423" s="23"/>
      <c r="AD423" s="23"/>
    </row>
    <row r="424" spans="1:30" ht="17.25" customHeight="1" thickBot="1">
      <c r="A424" s="326" t="s">
        <v>120</v>
      </c>
      <c r="B424" s="327"/>
      <c r="C424" s="327"/>
      <c r="D424" s="328"/>
      <c r="E424" s="154"/>
      <c r="F424" s="39"/>
      <c r="G424" s="39"/>
      <c r="H424" s="42"/>
    </row>
    <row r="425" spans="1:30" ht="9.75" customHeight="1" thickBot="1">
      <c r="A425" s="142"/>
      <c r="B425" s="143"/>
      <c r="C425" s="143"/>
      <c r="D425" s="144"/>
      <c r="E425" s="144"/>
      <c r="F425" s="39"/>
      <c r="G425" s="39"/>
      <c r="H425" s="42"/>
    </row>
    <row r="426" spans="1:30" s="27" customFormat="1" ht="15.75" thickBot="1">
      <c r="A426" s="329" t="s">
        <v>36</v>
      </c>
      <c r="B426" s="330" t="s">
        <v>37</v>
      </c>
      <c r="C426" s="331"/>
      <c r="D426" s="332"/>
      <c r="E426" s="162"/>
      <c r="F426" s="53"/>
      <c r="G426" s="39"/>
      <c r="H426" s="42"/>
      <c r="I426" s="8"/>
      <c r="J426" s="8"/>
      <c r="K426" s="8"/>
      <c r="L426" s="8"/>
      <c r="M426" s="8"/>
      <c r="N426" s="26"/>
      <c r="O426" s="26"/>
      <c r="P426" s="26"/>
      <c r="Q426" s="26"/>
      <c r="R426" s="26"/>
      <c r="S426" s="26"/>
      <c r="T426" s="26"/>
      <c r="U426" s="26"/>
      <c r="V426" s="26"/>
      <c r="W426" s="26"/>
      <c r="X426" s="26"/>
      <c r="Y426" s="26"/>
      <c r="Z426" s="26"/>
      <c r="AA426" s="26"/>
      <c r="AB426" s="26"/>
      <c r="AC426" s="26"/>
      <c r="AD426" s="26"/>
    </row>
    <row r="427" spans="1:30" s="29" customFormat="1" ht="34.5" customHeight="1" thickBot="1">
      <c r="A427" s="422" t="s">
        <v>38</v>
      </c>
      <c r="B427" s="423"/>
      <c r="C427" s="423"/>
      <c r="D427" s="424"/>
      <c r="E427" s="163"/>
      <c r="F427" s="54"/>
      <c r="G427" s="39"/>
      <c r="H427" s="42"/>
      <c r="I427" s="8"/>
      <c r="J427" s="8"/>
      <c r="K427" s="8"/>
      <c r="L427" s="8"/>
      <c r="M427" s="8"/>
      <c r="N427" s="28"/>
      <c r="O427" s="28"/>
      <c r="P427" s="28"/>
      <c r="Q427" s="28"/>
      <c r="R427" s="28"/>
      <c r="S427" s="28"/>
      <c r="T427" s="28"/>
      <c r="U427" s="28"/>
      <c r="V427" s="28"/>
      <c r="W427" s="28"/>
      <c r="X427" s="28"/>
      <c r="Y427" s="28"/>
      <c r="Z427" s="28"/>
      <c r="AA427" s="28"/>
      <c r="AB427" s="28"/>
      <c r="AC427" s="28"/>
      <c r="AD427" s="28"/>
    </row>
    <row r="428" spans="1:30" ht="138" customHeight="1" thickBot="1">
      <c r="A428" s="55">
        <v>5</v>
      </c>
      <c r="B428" s="422" t="s">
        <v>39</v>
      </c>
      <c r="C428" s="423"/>
      <c r="D428" s="424"/>
      <c r="E428" s="163"/>
      <c r="F428" s="39"/>
      <c r="G428" s="39"/>
      <c r="H428" s="42"/>
    </row>
    <row r="429" spans="1:30" ht="135.75" customHeight="1" thickBot="1">
      <c r="A429" s="56">
        <v>4</v>
      </c>
      <c r="B429" s="422" t="s">
        <v>40</v>
      </c>
      <c r="C429" s="423"/>
      <c r="D429" s="424"/>
      <c r="E429" s="163"/>
      <c r="F429" s="39"/>
      <c r="G429" s="39"/>
      <c r="H429" s="42"/>
    </row>
    <row r="430" spans="1:30" ht="144" customHeight="1" thickBot="1">
      <c r="A430" s="56">
        <v>3</v>
      </c>
      <c r="B430" s="422" t="s">
        <v>46</v>
      </c>
      <c r="C430" s="423"/>
      <c r="D430" s="424"/>
      <c r="E430" s="163"/>
      <c r="F430" s="39"/>
      <c r="G430" s="39"/>
      <c r="H430" s="42"/>
    </row>
    <row r="431" spans="1:30" ht="107.25" customHeight="1" thickBot="1">
      <c r="A431" s="56">
        <v>2</v>
      </c>
      <c r="B431" s="422" t="s">
        <v>41</v>
      </c>
      <c r="C431" s="423"/>
      <c r="D431" s="424"/>
      <c r="E431" s="163"/>
      <c r="F431" s="39"/>
      <c r="G431" s="39"/>
      <c r="H431" s="42"/>
    </row>
    <row r="432" spans="1:30" ht="81.75" customHeight="1" thickBot="1">
      <c r="A432" s="56">
        <v>1</v>
      </c>
      <c r="B432" s="422" t="s">
        <v>42</v>
      </c>
      <c r="C432" s="423"/>
      <c r="D432" s="424"/>
      <c r="E432" s="163"/>
      <c r="F432" s="57"/>
      <c r="G432" s="57"/>
      <c r="H432" s="58"/>
    </row>
    <row r="433" spans="1:5" ht="12.75">
      <c r="A433" s="10"/>
      <c r="B433" s="421"/>
      <c r="C433" s="421"/>
      <c r="D433" s="421"/>
      <c r="E433" s="30"/>
    </row>
    <row r="434" spans="1:5" ht="12.75">
      <c r="A434" s="10"/>
      <c r="B434" s="421"/>
      <c r="C434" s="421"/>
      <c r="D434" s="421"/>
      <c r="E434" s="30"/>
    </row>
    <row r="435" spans="1:5" ht="12.75">
      <c r="A435" s="10"/>
      <c r="B435" s="421"/>
      <c r="C435" s="421"/>
      <c r="D435" s="421"/>
      <c r="E435" s="30"/>
    </row>
    <row r="436" spans="1:5" ht="12.75">
      <c r="A436" s="10"/>
      <c r="B436" s="421"/>
      <c r="C436" s="421"/>
      <c r="D436" s="421"/>
      <c r="E436" s="30"/>
    </row>
    <row r="437" spans="1:5" ht="12.75">
      <c r="A437" s="10"/>
      <c r="B437" s="421"/>
      <c r="C437" s="421"/>
      <c r="D437" s="421"/>
      <c r="E437" s="30"/>
    </row>
    <row r="438" spans="1:5" ht="12.75">
      <c r="A438" s="10"/>
      <c r="B438" s="10"/>
      <c r="C438" s="10"/>
      <c r="D438" s="10"/>
      <c r="E438" s="30"/>
    </row>
    <row r="439" spans="1:5" ht="12.75">
      <c r="A439" s="10"/>
      <c r="B439" s="10"/>
      <c r="C439" s="10"/>
      <c r="D439" s="10"/>
      <c r="E439" s="30"/>
    </row>
    <row r="440" spans="1:5" ht="12.75">
      <c r="A440" s="10"/>
      <c r="B440" s="10"/>
      <c r="C440" s="10"/>
      <c r="D440" s="10"/>
      <c r="E440" s="30"/>
    </row>
    <row r="441" spans="1:5" ht="12.75">
      <c r="A441" s="10"/>
      <c r="B441" s="10"/>
      <c r="C441" s="10"/>
      <c r="D441" s="30"/>
      <c r="E441" s="30"/>
    </row>
    <row r="442" spans="1:5" ht="12.75">
      <c r="A442" s="10"/>
      <c r="B442" s="10"/>
      <c r="C442" s="10"/>
      <c r="D442" s="30"/>
      <c r="E442" s="30"/>
    </row>
    <row r="443" spans="1:5" ht="12.75">
      <c r="A443" s="10"/>
      <c r="B443" s="10"/>
      <c r="C443" s="10"/>
      <c r="D443" s="30"/>
      <c r="E443" s="30"/>
    </row>
    <row r="444" spans="1:5" ht="12.75">
      <c r="A444" s="10"/>
      <c r="B444" s="10"/>
      <c r="C444" s="10"/>
      <c r="D444" s="30"/>
      <c r="E444" s="30"/>
    </row>
    <row r="445" spans="1:5" ht="12.75">
      <c r="A445" s="10"/>
      <c r="B445" s="10"/>
      <c r="C445" s="10"/>
      <c r="D445" s="30"/>
      <c r="E445" s="30"/>
    </row>
    <row r="446" spans="1:5" ht="12.75">
      <c r="A446" s="10"/>
      <c r="B446" s="10"/>
      <c r="C446" s="10"/>
      <c r="D446" s="30"/>
      <c r="E446" s="30"/>
    </row>
    <row r="447" spans="1:5" ht="12.75">
      <c r="A447" s="10"/>
      <c r="B447" s="10"/>
      <c r="C447" s="10"/>
      <c r="D447" s="30"/>
      <c r="E447" s="30"/>
    </row>
    <row r="448" spans="1:5" ht="12.75">
      <c r="A448" s="10"/>
      <c r="B448" s="10"/>
      <c r="C448" s="10"/>
      <c r="D448" s="30"/>
      <c r="E448" s="30"/>
    </row>
    <row r="449" spans="1:5" ht="12.75">
      <c r="A449" s="10"/>
      <c r="B449" s="10"/>
      <c r="C449" s="10"/>
      <c r="D449" s="30"/>
      <c r="E449" s="31"/>
    </row>
    <row r="450" spans="1:5" ht="12.75">
      <c r="A450" s="10"/>
      <c r="B450" s="10"/>
      <c r="C450" s="10"/>
      <c r="D450" s="30"/>
      <c r="E450" s="30"/>
    </row>
    <row r="451" spans="1:5" ht="12.75">
      <c r="A451" s="10"/>
      <c r="B451" s="10"/>
      <c r="C451" s="10"/>
      <c r="D451" s="30"/>
      <c r="E451" s="30"/>
    </row>
    <row r="452" spans="1:5" ht="12.75">
      <c r="A452" s="10"/>
      <c r="B452" s="10"/>
      <c r="C452" s="10"/>
      <c r="D452" s="30"/>
      <c r="E452" s="30"/>
    </row>
    <row r="453" spans="1:5" ht="12.75">
      <c r="A453" s="10"/>
      <c r="B453" s="10"/>
      <c r="C453" s="10"/>
      <c r="D453" s="30"/>
      <c r="E453" s="30"/>
    </row>
    <row r="454" spans="1:5" ht="12.75">
      <c r="A454" s="10"/>
      <c r="B454" s="10"/>
      <c r="C454" s="10"/>
      <c r="D454" s="30"/>
      <c r="E454" s="30"/>
    </row>
    <row r="455" spans="1:5" ht="12.75">
      <c r="A455" s="10"/>
      <c r="B455" s="10"/>
      <c r="C455" s="10"/>
      <c r="D455" s="30"/>
      <c r="E455" s="30"/>
    </row>
    <row r="456" spans="1:5" ht="12.75">
      <c r="A456" s="10"/>
      <c r="B456" s="10"/>
      <c r="C456" s="10"/>
      <c r="D456" s="30"/>
      <c r="E456" s="30"/>
    </row>
    <row r="457" spans="1:5" ht="12.75">
      <c r="A457" s="10"/>
      <c r="B457" s="10"/>
      <c r="C457" s="10"/>
      <c r="D457" s="30"/>
      <c r="E457" s="30"/>
    </row>
    <row r="458" spans="1:5" ht="12.75">
      <c r="A458" s="10"/>
      <c r="B458" s="10"/>
      <c r="C458" s="10"/>
      <c r="D458" s="30"/>
      <c r="E458" s="30"/>
    </row>
    <row r="459" spans="1:5" ht="12.75">
      <c r="A459" s="10"/>
      <c r="B459" s="10"/>
      <c r="C459" s="10"/>
      <c r="D459" s="30"/>
      <c r="E459" s="30"/>
    </row>
    <row r="460" spans="1:5" ht="12.75">
      <c r="A460" s="10"/>
      <c r="B460" s="10"/>
      <c r="C460" s="10"/>
      <c r="D460" s="30"/>
      <c r="E460" s="30"/>
    </row>
    <row r="461" spans="1:5" ht="12.75">
      <c r="A461" s="10"/>
      <c r="B461" s="10"/>
      <c r="C461" s="10"/>
      <c r="D461" s="30"/>
      <c r="E461" s="30"/>
    </row>
    <row r="462" spans="1:5" ht="12.75">
      <c r="A462" s="10"/>
      <c r="B462" s="10"/>
      <c r="C462" s="10"/>
      <c r="D462" s="30"/>
      <c r="E462" s="30"/>
    </row>
    <row r="463" spans="1:5" ht="12.75">
      <c r="A463" s="10"/>
      <c r="B463" s="10"/>
      <c r="C463" s="10"/>
      <c r="D463" s="30"/>
      <c r="E463" s="30"/>
    </row>
    <row r="464" spans="1:5" ht="12.75">
      <c r="A464" s="10"/>
      <c r="B464" s="10"/>
      <c r="C464" s="10"/>
      <c r="D464" s="30"/>
      <c r="E464" s="30"/>
    </row>
    <row r="465" spans="1:5" ht="12.75">
      <c r="A465" s="10"/>
      <c r="B465" s="10"/>
      <c r="C465" s="10"/>
      <c r="D465" s="30"/>
      <c r="E465" s="30"/>
    </row>
    <row r="466" spans="1:5" ht="12.75">
      <c r="A466" s="10"/>
      <c r="B466" s="10"/>
      <c r="C466" s="10"/>
      <c r="D466" s="30"/>
      <c r="E466" s="30"/>
    </row>
    <row r="467" spans="1:5" ht="12.75">
      <c r="A467" s="10"/>
      <c r="B467" s="10"/>
      <c r="C467" s="10"/>
      <c r="D467" s="30"/>
      <c r="E467" s="30"/>
    </row>
    <row r="468" spans="1:5" ht="12.75">
      <c r="A468" s="10"/>
      <c r="B468" s="10"/>
      <c r="C468" s="10"/>
      <c r="D468" s="30"/>
      <c r="E468" s="30"/>
    </row>
    <row r="469" spans="1:5" ht="12.75">
      <c r="A469" s="10"/>
      <c r="B469" s="10"/>
      <c r="C469" s="10"/>
      <c r="D469" s="30"/>
      <c r="E469" s="30"/>
    </row>
    <row r="470" spans="1:5" ht="12.75">
      <c r="A470" s="10"/>
      <c r="B470" s="10"/>
      <c r="C470" s="10"/>
      <c r="D470" s="30"/>
      <c r="E470" s="30"/>
    </row>
    <row r="471" spans="1:5" ht="12.75">
      <c r="A471" s="10"/>
      <c r="B471" s="10"/>
      <c r="C471" s="10"/>
      <c r="D471" s="30"/>
      <c r="E471" s="30"/>
    </row>
    <row r="472" spans="1:5" ht="12.75">
      <c r="A472" s="10"/>
      <c r="B472" s="10"/>
      <c r="C472" s="10"/>
      <c r="D472" s="30"/>
      <c r="E472" s="30"/>
    </row>
    <row r="473" spans="1:5" ht="12.75">
      <c r="A473" s="10"/>
      <c r="B473" s="10"/>
      <c r="C473" s="10"/>
      <c r="D473" s="30"/>
      <c r="E473" s="30"/>
    </row>
    <row r="474" spans="1:5" ht="12.75">
      <c r="A474" s="10"/>
      <c r="B474" s="10"/>
      <c r="C474" s="10"/>
      <c r="D474" s="30"/>
      <c r="E474" s="30"/>
    </row>
    <row r="475" spans="1:5" ht="12.75">
      <c r="A475" s="10"/>
      <c r="B475" s="10"/>
      <c r="C475" s="10"/>
      <c r="D475" s="30"/>
      <c r="E475" s="30"/>
    </row>
    <row r="476" spans="1:5" ht="12.75">
      <c r="A476" s="10"/>
      <c r="B476" s="10"/>
      <c r="C476" s="10"/>
      <c r="D476" s="30"/>
      <c r="E476" s="30"/>
    </row>
    <row r="477" spans="1:5" ht="12.75">
      <c r="A477" s="10"/>
      <c r="B477" s="10"/>
      <c r="C477" s="10"/>
      <c r="D477" s="30"/>
      <c r="E477" s="30"/>
    </row>
    <row r="478" spans="1:5" ht="12.75">
      <c r="A478" s="10"/>
      <c r="B478" s="10"/>
      <c r="C478" s="10"/>
      <c r="D478" s="30"/>
      <c r="E478" s="30"/>
    </row>
    <row r="479" spans="1:5" ht="12.75">
      <c r="A479" s="10"/>
      <c r="B479" s="10"/>
      <c r="C479" s="10"/>
      <c r="D479" s="30"/>
      <c r="E479" s="30"/>
    </row>
    <row r="480" spans="1:5" ht="12.75">
      <c r="A480" s="10"/>
      <c r="B480" s="10"/>
      <c r="C480" s="10"/>
      <c r="D480" s="30"/>
      <c r="E480" s="30"/>
    </row>
    <row r="481" spans="1:5" ht="12.75">
      <c r="A481" s="10"/>
      <c r="B481" s="10"/>
      <c r="C481" s="10"/>
      <c r="D481" s="30"/>
      <c r="E481" s="30"/>
    </row>
    <row r="482" spans="1:5" ht="12.75">
      <c r="A482" s="10"/>
      <c r="B482" s="10"/>
      <c r="C482" s="10"/>
      <c r="D482" s="30"/>
      <c r="E482" s="30"/>
    </row>
    <row r="483" spans="1:5" ht="12.75">
      <c r="A483" s="10"/>
      <c r="B483" s="10"/>
      <c r="C483" s="10"/>
      <c r="D483" s="30"/>
      <c r="E483" s="30"/>
    </row>
    <row r="484" spans="1:5" ht="12.75">
      <c r="A484" s="10"/>
      <c r="B484" s="10"/>
      <c r="C484" s="10"/>
      <c r="D484" s="30"/>
      <c r="E484" s="30"/>
    </row>
    <row r="485" spans="1:5" ht="12.75">
      <c r="A485" s="10"/>
      <c r="B485" s="10"/>
      <c r="C485" s="10"/>
      <c r="D485" s="30"/>
      <c r="E485" s="30"/>
    </row>
    <row r="486" spans="1:5" ht="12.75">
      <c r="A486" s="10"/>
      <c r="B486" s="10"/>
      <c r="C486" s="10"/>
      <c r="D486" s="30"/>
      <c r="E486" s="30"/>
    </row>
    <row r="487" spans="1:5" ht="12.75">
      <c r="A487" s="10"/>
      <c r="B487" s="10"/>
      <c r="C487" s="10"/>
      <c r="D487" s="30"/>
      <c r="E487" s="30"/>
    </row>
    <row r="488" spans="1:5" ht="12.75">
      <c r="A488" s="10"/>
      <c r="B488" s="10"/>
      <c r="C488" s="10"/>
      <c r="D488" s="30"/>
      <c r="E488" s="30"/>
    </row>
    <row r="489" spans="1:5" ht="12.75">
      <c r="A489" s="10"/>
      <c r="B489" s="10"/>
      <c r="C489" s="10"/>
      <c r="D489" s="30"/>
      <c r="E489" s="30"/>
    </row>
    <row r="490" spans="1:5" ht="12.75">
      <c r="A490" s="10"/>
      <c r="B490" s="10"/>
      <c r="C490" s="10"/>
      <c r="D490" s="30"/>
      <c r="E490" s="30"/>
    </row>
    <row r="491" spans="1:5" ht="12.75">
      <c r="A491" s="10"/>
      <c r="B491" s="10"/>
      <c r="C491" s="10"/>
      <c r="D491" s="30"/>
      <c r="E491" s="30"/>
    </row>
    <row r="492" spans="1:5" ht="12.75">
      <c r="A492" s="10"/>
      <c r="B492" s="10"/>
      <c r="C492" s="10"/>
      <c r="D492" s="30"/>
      <c r="E492" s="30"/>
    </row>
    <row r="493" spans="1:5" ht="12.75">
      <c r="A493" s="10"/>
      <c r="B493" s="10"/>
      <c r="C493" s="10"/>
      <c r="D493" s="30"/>
      <c r="E493" s="30"/>
    </row>
    <row r="494" spans="1:5" ht="12.75">
      <c r="A494" s="10"/>
      <c r="B494" s="10"/>
      <c r="C494" s="10"/>
      <c r="D494" s="30"/>
      <c r="E494" s="30"/>
    </row>
    <row r="495" spans="1:5" ht="12.75">
      <c r="A495" s="10"/>
      <c r="B495" s="10"/>
      <c r="C495" s="10"/>
      <c r="D495" s="30"/>
      <c r="E495" s="30"/>
    </row>
    <row r="496" spans="1:5" ht="12.75">
      <c r="A496" s="10"/>
      <c r="B496" s="10"/>
      <c r="C496" s="10"/>
      <c r="D496" s="30"/>
      <c r="E496" s="30"/>
    </row>
    <row r="497" spans="1:5" ht="12.75">
      <c r="A497" s="10"/>
      <c r="B497" s="10"/>
      <c r="C497" s="10"/>
      <c r="D497" s="30"/>
      <c r="E497" s="30"/>
    </row>
    <row r="498" spans="1:5" ht="12.75">
      <c r="A498" s="10"/>
      <c r="B498" s="10"/>
      <c r="C498" s="10"/>
      <c r="D498" s="30"/>
      <c r="E498" s="30"/>
    </row>
    <row r="499" spans="1:5" ht="12.75">
      <c r="A499" s="10"/>
      <c r="B499" s="10"/>
      <c r="C499" s="10"/>
      <c r="D499" s="30"/>
      <c r="E499" s="30"/>
    </row>
    <row r="500" spans="1:5" ht="12.75">
      <c r="A500" s="10"/>
      <c r="B500" s="10"/>
      <c r="C500" s="10"/>
      <c r="D500" s="30"/>
      <c r="E500" s="30"/>
    </row>
    <row r="501" spans="1:5" ht="12.75">
      <c r="A501" s="10"/>
      <c r="B501" s="10"/>
      <c r="C501" s="10"/>
      <c r="D501" s="30"/>
      <c r="E501" s="30"/>
    </row>
    <row r="502" spans="1:5" ht="12.75">
      <c r="A502" s="10"/>
      <c r="B502" s="10"/>
      <c r="C502" s="10"/>
      <c r="D502" s="30"/>
      <c r="E502" s="30"/>
    </row>
    <row r="503" spans="1:5" ht="12.75">
      <c r="A503" s="10"/>
      <c r="B503" s="10"/>
      <c r="C503" s="10"/>
      <c r="D503" s="30"/>
      <c r="E503" s="30"/>
    </row>
    <row r="504" spans="1:5" ht="12.75">
      <c r="A504" s="10"/>
      <c r="B504" s="10"/>
      <c r="C504" s="10"/>
      <c r="D504" s="30"/>
      <c r="E504" s="30"/>
    </row>
    <row r="505" spans="1:5" ht="12.75">
      <c r="A505" s="10"/>
      <c r="B505" s="10"/>
      <c r="C505" s="10"/>
      <c r="D505" s="30"/>
      <c r="E505" s="30"/>
    </row>
    <row r="506" spans="1:5" ht="12.75">
      <c r="A506" s="10"/>
      <c r="B506" s="10"/>
      <c r="C506" s="10"/>
      <c r="D506" s="30"/>
      <c r="E506" s="30"/>
    </row>
    <row r="507" spans="1:5" ht="12.75">
      <c r="A507" s="10"/>
      <c r="B507" s="10"/>
      <c r="C507" s="10"/>
      <c r="D507" s="30"/>
      <c r="E507" s="30"/>
    </row>
    <row r="508" spans="1:5" ht="12.75">
      <c r="A508" s="10"/>
      <c r="B508" s="10"/>
      <c r="C508" s="10"/>
      <c r="D508" s="30"/>
      <c r="E508" s="30"/>
    </row>
    <row r="509" spans="1:5" ht="12.75">
      <c r="A509" s="10"/>
      <c r="B509" s="10"/>
      <c r="C509" s="10"/>
      <c r="D509" s="30"/>
      <c r="E509" s="30"/>
    </row>
    <row r="510" spans="1:5" ht="12.75">
      <c r="A510" s="10"/>
      <c r="B510" s="10"/>
      <c r="C510" s="10"/>
      <c r="D510" s="30"/>
      <c r="E510" s="30"/>
    </row>
    <row r="511" spans="1:5" ht="12.75">
      <c r="A511" s="10"/>
      <c r="B511" s="10"/>
      <c r="C511" s="10"/>
      <c r="D511" s="30"/>
      <c r="E511" s="30"/>
    </row>
    <row r="512" spans="1:5" ht="12.75">
      <c r="A512" s="10"/>
      <c r="B512" s="10"/>
      <c r="C512" s="10"/>
      <c r="D512" s="30"/>
      <c r="E512" s="30"/>
    </row>
    <row r="513" spans="1:5" ht="12.75">
      <c r="A513" s="10"/>
      <c r="B513" s="10"/>
      <c r="C513" s="10"/>
      <c r="D513" s="30"/>
      <c r="E513" s="30"/>
    </row>
    <row r="514" spans="1:5" ht="12.75">
      <c r="A514" s="10"/>
      <c r="B514" s="10"/>
      <c r="C514" s="10"/>
      <c r="D514" s="30"/>
      <c r="E514" s="30"/>
    </row>
    <row r="515" spans="1:5" ht="12.75">
      <c r="A515" s="10"/>
      <c r="B515" s="10"/>
      <c r="C515" s="10"/>
      <c r="D515" s="30"/>
      <c r="E515" s="30"/>
    </row>
    <row r="516" spans="1:5" ht="12.75">
      <c r="A516" s="10"/>
      <c r="B516" s="10"/>
      <c r="C516" s="10"/>
      <c r="D516" s="30"/>
      <c r="E516" s="30"/>
    </row>
    <row r="517" spans="1:5" ht="12.75">
      <c r="A517" s="10"/>
      <c r="B517" s="10"/>
      <c r="C517" s="10"/>
      <c r="D517" s="30"/>
      <c r="E517" s="30"/>
    </row>
    <row r="518" spans="1:5" ht="12.75">
      <c r="A518" s="10"/>
      <c r="B518" s="10"/>
      <c r="C518" s="10"/>
      <c r="D518" s="30"/>
      <c r="E518" s="30"/>
    </row>
    <row r="519" spans="1:5" ht="12.75">
      <c r="A519" s="10"/>
      <c r="B519" s="10"/>
      <c r="C519" s="10"/>
      <c r="D519" s="30"/>
      <c r="E519" s="30"/>
    </row>
    <row r="520" spans="1:5" ht="12.75">
      <c r="A520" s="10"/>
      <c r="B520" s="10"/>
      <c r="C520" s="10"/>
      <c r="D520" s="30"/>
      <c r="E520" s="30"/>
    </row>
    <row r="521" spans="1:5" ht="12.75">
      <c r="A521" s="10"/>
      <c r="B521" s="10"/>
      <c r="C521" s="10"/>
      <c r="D521" s="30"/>
      <c r="E521" s="30"/>
    </row>
    <row r="522" spans="1:5" ht="12.75">
      <c r="A522" s="10"/>
      <c r="B522" s="10"/>
      <c r="C522" s="10"/>
      <c r="D522" s="30"/>
      <c r="E522" s="30"/>
    </row>
    <row r="523" spans="1:5" ht="12.75">
      <c r="A523" s="10"/>
      <c r="B523" s="10"/>
      <c r="C523" s="10"/>
      <c r="D523" s="30"/>
      <c r="E523" s="30"/>
    </row>
    <row r="524" spans="1:5" ht="12.75">
      <c r="A524" s="10"/>
      <c r="B524" s="10"/>
      <c r="C524" s="10"/>
      <c r="D524" s="30"/>
      <c r="E524" s="30"/>
    </row>
    <row r="525" spans="1:5" ht="12.75">
      <c r="A525" s="10"/>
      <c r="B525" s="10"/>
      <c r="C525" s="10"/>
      <c r="D525" s="30"/>
      <c r="E525" s="30"/>
    </row>
    <row r="526" spans="1:5" ht="12.75">
      <c r="A526" s="10"/>
      <c r="B526" s="10"/>
      <c r="C526" s="10"/>
      <c r="D526" s="30"/>
      <c r="E526" s="30"/>
    </row>
    <row r="527" spans="1:5" ht="12.75">
      <c r="A527" s="10"/>
      <c r="B527" s="10"/>
      <c r="C527" s="10"/>
      <c r="D527" s="30"/>
      <c r="E527" s="30"/>
    </row>
    <row r="528" spans="1:5" ht="12.75">
      <c r="A528" s="10"/>
      <c r="B528" s="10"/>
      <c r="C528" s="10"/>
      <c r="D528" s="30"/>
      <c r="E528" s="30"/>
    </row>
    <row r="529" spans="1:5" ht="12.75">
      <c r="A529" s="10"/>
      <c r="B529" s="10"/>
      <c r="C529" s="10"/>
      <c r="D529" s="30"/>
      <c r="E529" s="30"/>
    </row>
    <row r="530" spans="1:5" ht="12.75">
      <c r="A530" s="10"/>
      <c r="B530" s="10"/>
      <c r="C530" s="10"/>
      <c r="D530" s="30"/>
      <c r="E530" s="30"/>
    </row>
    <row r="531" spans="1:5" ht="12.75">
      <c r="A531" s="10"/>
      <c r="B531" s="10"/>
      <c r="C531" s="10"/>
      <c r="D531" s="30"/>
      <c r="E531" s="30"/>
    </row>
    <row r="532" spans="1:5" ht="12.75">
      <c r="A532" s="10"/>
      <c r="B532" s="10"/>
      <c r="C532" s="10"/>
      <c r="D532" s="30"/>
      <c r="E532" s="30"/>
    </row>
    <row r="533" spans="1:5" ht="12.75">
      <c r="A533" s="10"/>
      <c r="B533" s="10"/>
      <c r="C533" s="10"/>
      <c r="D533" s="30"/>
      <c r="E533" s="30"/>
    </row>
    <row r="534" spans="1:5" ht="12.75">
      <c r="A534" s="10"/>
      <c r="B534" s="10"/>
      <c r="C534" s="10"/>
      <c r="D534" s="30"/>
      <c r="E534" s="30"/>
    </row>
    <row r="535" spans="1:5" ht="12.75">
      <c r="A535" s="10"/>
      <c r="B535" s="10"/>
      <c r="C535" s="10"/>
      <c r="D535" s="30"/>
      <c r="E535" s="30"/>
    </row>
    <row r="536" spans="1:5" ht="12.75">
      <c r="A536" s="10"/>
      <c r="B536" s="10"/>
      <c r="C536" s="10"/>
      <c r="D536" s="30"/>
      <c r="E536" s="30"/>
    </row>
    <row r="537" spans="1:5" ht="12.75">
      <c r="A537" s="10"/>
      <c r="B537" s="10"/>
      <c r="C537" s="10"/>
      <c r="D537" s="30"/>
      <c r="E537" s="30"/>
    </row>
    <row r="538" spans="1:5" ht="12.75">
      <c r="A538" s="10"/>
      <c r="B538" s="10"/>
      <c r="C538" s="10"/>
      <c r="D538" s="30"/>
      <c r="E538" s="30"/>
    </row>
    <row r="539" spans="1:5" ht="12.75">
      <c r="A539" s="10"/>
      <c r="B539" s="10"/>
      <c r="C539" s="10"/>
      <c r="D539" s="30"/>
      <c r="E539" s="30"/>
    </row>
    <row r="540" spans="1:5" ht="12.75">
      <c r="A540" s="10"/>
      <c r="B540" s="10"/>
      <c r="C540" s="10"/>
      <c r="D540" s="30"/>
      <c r="E540" s="30"/>
    </row>
    <row r="541" spans="1:5" ht="12.75">
      <c r="A541" s="10"/>
      <c r="B541" s="10"/>
      <c r="C541" s="10"/>
      <c r="D541" s="30"/>
      <c r="E541" s="30"/>
    </row>
    <row r="542" spans="1:5" ht="12.75">
      <c r="A542" s="10"/>
      <c r="B542" s="10"/>
      <c r="C542" s="10"/>
      <c r="D542" s="30"/>
      <c r="E542" s="30"/>
    </row>
    <row r="543" spans="1:5" ht="12.75">
      <c r="A543" s="10"/>
      <c r="B543" s="10"/>
      <c r="C543" s="10"/>
      <c r="D543" s="30"/>
      <c r="E543" s="30"/>
    </row>
    <row r="544" spans="1:5" ht="12.75">
      <c r="A544" s="10"/>
      <c r="B544" s="10"/>
      <c r="C544" s="10"/>
      <c r="D544" s="30"/>
      <c r="E544" s="30"/>
    </row>
    <row r="545" spans="1:5" ht="12.75">
      <c r="A545" s="10"/>
      <c r="B545" s="10"/>
      <c r="C545" s="10"/>
      <c r="D545" s="30"/>
      <c r="E545" s="30"/>
    </row>
    <row r="546" spans="1:5" ht="12.75">
      <c r="A546" s="10"/>
      <c r="B546" s="10"/>
      <c r="C546" s="10"/>
      <c r="D546" s="30"/>
      <c r="E546" s="30"/>
    </row>
    <row r="547" spans="1:5" ht="12.75">
      <c r="A547" s="10"/>
      <c r="B547" s="10"/>
      <c r="C547" s="10"/>
      <c r="D547" s="30"/>
      <c r="E547" s="30"/>
    </row>
    <row r="548" spans="1:5" ht="12.75">
      <c r="A548" s="10"/>
      <c r="B548" s="10"/>
      <c r="C548" s="10"/>
      <c r="D548" s="30"/>
      <c r="E548" s="30"/>
    </row>
    <row r="549" spans="1:5" ht="12.75">
      <c r="A549" s="10"/>
      <c r="B549" s="10"/>
      <c r="C549" s="10"/>
      <c r="D549" s="30"/>
      <c r="E549" s="30"/>
    </row>
    <row r="550" spans="1:5" ht="12.75">
      <c r="A550" s="10"/>
      <c r="B550" s="10"/>
      <c r="C550" s="10"/>
      <c r="D550" s="30"/>
      <c r="E550" s="30"/>
    </row>
    <row r="551" spans="1:5" ht="12.75">
      <c r="A551" s="10"/>
      <c r="B551" s="10"/>
      <c r="C551" s="10"/>
      <c r="D551" s="30"/>
      <c r="E551" s="30"/>
    </row>
    <row r="552" spans="1:5" ht="12.75">
      <c r="A552" s="10"/>
      <c r="B552" s="10"/>
      <c r="C552" s="10"/>
      <c r="D552" s="30"/>
      <c r="E552" s="30"/>
    </row>
    <row r="553" spans="1:5" ht="12.75">
      <c r="A553" s="10"/>
      <c r="B553" s="10"/>
      <c r="C553" s="10"/>
      <c r="D553" s="30"/>
      <c r="E553" s="30"/>
    </row>
    <row r="554" spans="1:5" ht="12.75">
      <c r="A554" s="10"/>
      <c r="B554" s="10"/>
      <c r="C554" s="10"/>
      <c r="D554" s="30"/>
      <c r="E554" s="30"/>
    </row>
    <row r="555" spans="1:5" ht="12.75">
      <c r="A555" s="10"/>
      <c r="B555" s="10"/>
      <c r="C555" s="10"/>
      <c r="D555" s="30"/>
      <c r="E555" s="30"/>
    </row>
    <row r="556" spans="1:5" ht="12.75">
      <c r="A556" s="10"/>
      <c r="B556" s="10"/>
      <c r="C556" s="10"/>
      <c r="D556" s="30"/>
      <c r="E556" s="30"/>
    </row>
    <row r="557" spans="1:5" ht="12.75">
      <c r="A557" s="10"/>
      <c r="B557" s="10"/>
      <c r="C557" s="10"/>
      <c r="D557" s="30"/>
      <c r="E557" s="30"/>
    </row>
    <row r="558" spans="1:5" ht="12.75">
      <c r="A558" s="10"/>
      <c r="B558" s="10"/>
      <c r="C558" s="10"/>
      <c r="D558" s="30"/>
      <c r="E558" s="30"/>
    </row>
    <row r="559" spans="1:5" ht="12.75">
      <c r="A559" s="10"/>
      <c r="B559" s="10"/>
      <c r="C559" s="10"/>
      <c r="D559" s="30"/>
      <c r="E559" s="30"/>
    </row>
    <row r="560" spans="1:5" ht="12.75">
      <c r="A560" s="10"/>
      <c r="B560" s="10"/>
      <c r="C560" s="10"/>
      <c r="D560" s="30"/>
      <c r="E560" s="30"/>
    </row>
    <row r="561" spans="1:5" ht="12.75">
      <c r="A561" s="10"/>
      <c r="B561" s="10"/>
      <c r="C561" s="10"/>
      <c r="D561" s="30"/>
      <c r="E561" s="30"/>
    </row>
    <row r="562" spans="1:5" ht="12.75">
      <c r="A562" s="10"/>
      <c r="B562" s="10"/>
      <c r="C562" s="10"/>
      <c r="D562" s="30"/>
      <c r="E562" s="30"/>
    </row>
    <row r="563" spans="1:5" ht="12.75">
      <c r="A563" s="10"/>
      <c r="B563" s="10"/>
      <c r="C563" s="10"/>
      <c r="D563" s="30"/>
      <c r="E563" s="30"/>
    </row>
    <row r="564" spans="1:5" ht="12.75">
      <c r="A564" s="10"/>
      <c r="B564" s="10"/>
      <c r="C564" s="10"/>
      <c r="D564" s="30"/>
      <c r="E564" s="30"/>
    </row>
    <row r="565" spans="1:5" ht="12.75">
      <c r="A565" s="10"/>
      <c r="B565" s="10"/>
      <c r="C565" s="10"/>
      <c r="D565" s="30"/>
      <c r="E565" s="30"/>
    </row>
    <row r="566" spans="1:5" ht="12.75">
      <c r="A566" s="10"/>
      <c r="B566" s="10"/>
      <c r="C566" s="10"/>
      <c r="D566" s="30"/>
      <c r="E566" s="30"/>
    </row>
    <row r="567" spans="1:5" ht="12.75">
      <c r="A567" s="10"/>
      <c r="B567" s="10"/>
      <c r="C567" s="10"/>
      <c r="D567" s="30"/>
      <c r="E567" s="30"/>
    </row>
    <row r="568" spans="1:5" ht="12.75">
      <c r="A568" s="10"/>
      <c r="B568" s="10"/>
      <c r="C568" s="10"/>
      <c r="D568" s="30"/>
      <c r="E568" s="30"/>
    </row>
    <row r="569" spans="1:5" ht="12.75">
      <c r="A569" s="10"/>
      <c r="B569" s="10"/>
      <c r="C569" s="10"/>
      <c r="D569" s="30"/>
      <c r="E569" s="30"/>
    </row>
    <row r="570" spans="1:5" ht="12.75">
      <c r="A570" s="10"/>
      <c r="B570" s="10"/>
      <c r="C570" s="10"/>
      <c r="D570" s="30"/>
      <c r="E570" s="30"/>
    </row>
    <row r="571" spans="1:5" ht="12.75">
      <c r="A571" s="10"/>
      <c r="B571" s="10"/>
      <c r="C571" s="10"/>
      <c r="D571" s="30"/>
      <c r="E571" s="30"/>
    </row>
    <row r="572" spans="1:5" ht="12.75">
      <c r="A572" s="10"/>
      <c r="B572" s="10"/>
      <c r="C572" s="10"/>
      <c r="D572" s="30"/>
      <c r="E572" s="30"/>
    </row>
    <row r="573" spans="1:5" ht="12.75">
      <c r="A573" s="10"/>
      <c r="B573" s="10"/>
      <c r="C573" s="10"/>
      <c r="D573" s="30"/>
      <c r="E573" s="30"/>
    </row>
    <row r="574" spans="1:5" ht="12.75">
      <c r="A574" s="10"/>
      <c r="B574" s="10"/>
      <c r="C574" s="10"/>
      <c r="D574" s="30"/>
      <c r="E574" s="30"/>
    </row>
    <row r="575" spans="1:5" ht="12.75">
      <c r="A575" s="10"/>
      <c r="B575" s="10"/>
      <c r="C575" s="10"/>
      <c r="D575" s="30"/>
      <c r="E575" s="30"/>
    </row>
    <row r="576" spans="1:5" ht="12.75">
      <c r="A576" s="10"/>
      <c r="B576" s="10"/>
      <c r="C576" s="10"/>
      <c r="D576" s="30"/>
      <c r="E576" s="30"/>
    </row>
    <row r="577" spans="1:5" ht="12.75">
      <c r="A577" s="10"/>
      <c r="B577" s="10"/>
      <c r="C577" s="10"/>
      <c r="D577" s="30"/>
      <c r="E577" s="30"/>
    </row>
    <row r="578" spans="1:5" ht="12.75">
      <c r="A578" s="10"/>
      <c r="B578" s="10"/>
      <c r="C578" s="10"/>
      <c r="D578" s="30"/>
      <c r="E578" s="30"/>
    </row>
    <row r="579" spans="1:5" ht="12.75">
      <c r="A579" s="10"/>
      <c r="B579" s="10"/>
      <c r="C579" s="10"/>
      <c r="D579" s="30"/>
      <c r="E579" s="30"/>
    </row>
    <row r="580" spans="1:5" ht="12.75">
      <c r="A580" s="10"/>
      <c r="B580" s="10"/>
      <c r="C580" s="10"/>
      <c r="D580" s="30"/>
      <c r="E580" s="30"/>
    </row>
    <row r="581" spans="1:5" ht="12.75">
      <c r="A581" s="10"/>
      <c r="B581" s="10"/>
      <c r="C581" s="10"/>
      <c r="D581" s="30"/>
      <c r="E581" s="30"/>
    </row>
    <row r="582" spans="1:5" ht="12.75">
      <c r="A582" s="10"/>
      <c r="B582" s="10"/>
      <c r="C582" s="10"/>
      <c r="D582" s="30"/>
      <c r="E582" s="30"/>
    </row>
    <row r="583" spans="1:5" ht="12.75">
      <c r="A583" s="10"/>
      <c r="B583" s="10"/>
      <c r="C583" s="10"/>
      <c r="D583" s="30"/>
      <c r="E583" s="30"/>
    </row>
    <row r="584" spans="1:5" ht="12.75">
      <c r="A584" s="10"/>
      <c r="B584" s="10"/>
      <c r="C584" s="10"/>
      <c r="D584" s="30"/>
      <c r="E584" s="30"/>
    </row>
    <row r="585" spans="1:5" ht="12.75">
      <c r="A585" s="10"/>
      <c r="B585" s="10"/>
      <c r="C585" s="10"/>
      <c r="D585" s="30"/>
      <c r="E585" s="30"/>
    </row>
    <row r="586" spans="1:5" ht="12.75">
      <c r="A586" s="10"/>
      <c r="B586" s="10"/>
      <c r="C586" s="10"/>
      <c r="D586" s="30"/>
      <c r="E586" s="30"/>
    </row>
    <row r="587" spans="1:5" ht="12.75">
      <c r="A587" s="10"/>
      <c r="B587" s="10"/>
      <c r="C587" s="10"/>
      <c r="D587" s="30"/>
      <c r="E587" s="30"/>
    </row>
    <row r="588" spans="1:5" ht="12.75">
      <c r="A588" s="10"/>
      <c r="B588" s="10"/>
      <c r="C588" s="10"/>
      <c r="D588" s="30"/>
      <c r="E588" s="30"/>
    </row>
    <row r="589" spans="1:5" ht="12.75">
      <c r="A589" s="10"/>
      <c r="B589" s="10"/>
      <c r="C589" s="10"/>
      <c r="D589" s="30"/>
      <c r="E589" s="30"/>
    </row>
    <row r="590" spans="1:5" ht="12.75">
      <c r="A590" s="10"/>
      <c r="B590" s="10"/>
      <c r="C590" s="10"/>
      <c r="D590" s="30"/>
      <c r="E590" s="30"/>
    </row>
    <row r="591" spans="1:5" ht="12.75">
      <c r="A591" s="10"/>
      <c r="B591" s="10"/>
      <c r="C591" s="10"/>
      <c r="D591" s="30"/>
      <c r="E591" s="30"/>
    </row>
    <row r="592" spans="1:5" ht="12.75">
      <c r="A592" s="10"/>
      <c r="B592" s="10"/>
      <c r="C592" s="10"/>
      <c r="D592" s="30"/>
      <c r="E592" s="30"/>
    </row>
    <row r="593" spans="1:5" ht="12.75">
      <c r="A593" s="10"/>
      <c r="B593" s="10"/>
      <c r="C593" s="10"/>
      <c r="D593" s="30"/>
      <c r="E593" s="30"/>
    </row>
    <row r="594" spans="1:5" ht="12.75">
      <c r="A594" s="10"/>
      <c r="B594" s="10"/>
      <c r="C594" s="10"/>
      <c r="D594" s="30"/>
      <c r="E594" s="30"/>
    </row>
    <row r="595" spans="1:5" ht="12.75">
      <c r="A595" s="10"/>
      <c r="B595" s="10"/>
      <c r="C595" s="10"/>
      <c r="D595" s="30"/>
      <c r="E595" s="30"/>
    </row>
    <row r="596" spans="1:5" ht="12.75">
      <c r="A596" s="10"/>
      <c r="B596" s="10"/>
      <c r="C596" s="10"/>
      <c r="D596" s="30"/>
      <c r="E596" s="30"/>
    </row>
    <row r="597" spans="1:5" ht="12.75">
      <c r="A597" s="10"/>
      <c r="B597" s="10"/>
      <c r="C597" s="10"/>
      <c r="D597" s="30"/>
      <c r="E597" s="30"/>
    </row>
    <row r="598" spans="1:5" ht="12.75">
      <c r="A598" s="10"/>
      <c r="B598" s="10"/>
      <c r="C598" s="10"/>
      <c r="D598" s="30"/>
      <c r="E598" s="30"/>
    </row>
    <row r="599" spans="1:5" ht="12.75">
      <c r="A599" s="10"/>
      <c r="B599" s="10"/>
      <c r="C599" s="10"/>
      <c r="D599" s="30"/>
      <c r="E599" s="30"/>
    </row>
    <row r="600" spans="1:5" ht="12.75">
      <c r="A600" s="10"/>
      <c r="B600" s="10"/>
      <c r="C600" s="10"/>
      <c r="D600" s="30"/>
      <c r="E600" s="30"/>
    </row>
    <row r="601" spans="1:5" ht="12.75">
      <c r="A601" s="10"/>
      <c r="B601" s="10"/>
      <c r="C601" s="10"/>
      <c r="D601" s="30"/>
      <c r="E601" s="30"/>
    </row>
    <row r="602" spans="1:5" ht="12.75">
      <c r="A602" s="10"/>
      <c r="B602" s="10"/>
      <c r="C602" s="10"/>
      <c r="D602" s="30"/>
      <c r="E602" s="30"/>
    </row>
    <row r="603" spans="1:5" ht="12.75">
      <c r="A603" s="10"/>
      <c r="B603" s="10"/>
      <c r="C603" s="10"/>
      <c r="D603" s="30"/>
      <c r="E603" s="30"/>
    </row>
    <row r="604" spans="1:5" ht="12.75">
      <c r="A604" s="10"/>
      <c r="B604" s="10"/>
      <c r="C604" s="10"/>
      <c r="D604" s="30"/>
      <c r="E604" s="30"/>
    </row>
    <row r="605" spans="1:5" ht="12.75">
      <c r="A605" s="10"/>
      <c r="B605" s="10"/>
      <c r="C605" s="10"/>
      <c r="D605" s="30"/>
      <c r="E605" s="30"/>
    </row>
    <row r="606" spans="1:5" ht="12.75">
      <c r="A606" s="10"/>
      <c r="B606" s="10"/>
      <c r="C606" s="10"/>
      <c r="D606" s="30"/>
      <c r="E606" s="30"/>
    </row>
    <row r="607" spans="1:5" ht="12.75">
      <c r="A607" s="10"/>
      <c r="B607" s="10"/>
      <c r="C607" s="10"/>
      <c r="D607" s="30"/>
      <c r="E607" s="30"/>
    </row>
    <row r="608" spans="1:5" ht="12.75">
      <c r="A608" s="10"/>
      <c r="B608" s="10"/>
      <c r="C608" s="10"/>
      <c r="D608" s="30"/>
      <c r="E608" s="30"/>
    </row>
    <row r="609" spans="1:5" ht="12.75">
      <c r="A609" s="10"/>
      <c r="B609" s="10"/>
      <c r="C609" s="10"/>
      <c r="D609" s="30"/>
      <c r="E609" s="30"/>
    </row>
    <row r="610" spans="1:5" ht="12.75">
      <c r="A610" s="10"/>
      <c r="B610" s="10"/>
      <c r="C610" s="10"/>
      <c r="D610" s="30"/>
      <c r="E610" s="30"/>
    </row>
    <row r="611" spans="1:5" ht="12.75">
      <c r="A611" s="10"/>
      <c r="B611" s="10"/>
      <c r="C611" s="10"/>
      <c r="D611" s="30"/>
      <c r="E611" s="30"/>
    </row>
    <row r="612" spans="1:5" ht="12.75">
      <c r="A612" s="10"/>
      <c r="B612" s="10"/>
      <c r="C612" s="10"/>
      <c r="D612" s="30"/>
      <c r="E612" s="30"/>
    </row>
    <row r="613" spans="1:5" ht="12.75">
      <c r="A613" s="10"/>
      <c r="B613" s="10"/>
      <c r="C613" s="10"/>
      <c r="D613" s="30"/>
      <c r="E613" s="30"/>
    </row>
    <row r="614" spans="1:5" ht="12.75">
      <c r="A614" s="10"/>
      <c r="B614" s="10"/>
      <c r="C614" s="10"/>
      <c r="D614" s="30"/>
      <c r="E614" s="30"/>
    </row>
    <row r="615" spans="1:5" ht="12.75">
      <c r="A615" s="10"/>
      <c r="B615" s="10"/>
      <c r="C615" s="10"/>
      <c r="D615" s="30"/>
      <c r="E615" s="30"/>
    </row>
    <row r="616" spans="1:5" ht="12.75">
      <c r="A616" s="10"/>
      <c r="B616" s="10"/>
      <c r="C616" s="10"/>
      <c r="D616" s="30"/>
      <c r="E616" s="30"/>
    </row>
    <row r="617" spans="1:5" ht="12.75">
      <c r="A617" s="10"/>
      <c r="B617" s="10"/>
      <c r="C617" s="10"/>
      <c r="D617" s="30"/>
      <c r="E617" s="30"/>
    </row>
    <row r="618" spans="1:5" ht="12.75">
      <c r="A618" s="10"/>
      <c r="B618" s="10"/>
      <c r="C618" s="10"/>
      <c r="D618" s="30"/>
      <c r="E618" s="30"/>
    </row>
    <row r="619" spans="1:5" ht="12.75">
      <c r="A619" s="10"/>
      <c r="B619" s="10"/>
      <c r="C619" s="10"/>
      <c r="D619" s="30"/>
      <c r="E619" s="30"/>
    </row>
    <row r="620" spans="1:5" ht="12.75">
      <c r="A620" s="10"/>
      <c r="B620" s="10"/>
      <c r="C620" s="10"/>
      <c r="D620" s="30"/>
      <c r="E620" s="30"/>
    </row>
    <row r="621" spans="1:5" ht="12.75">
      <c r="A621" s="10"/>
      <c r="B621" s="10"/>
      <c r="C621" s="10"/>
      <c r="D621" s="30"/>
      <c r="E621" s="30"/>
    </row>
    <row r="622" spans="1:5" ht="12.75">
      <c r="A622" s="10"/>
      <c r="B622" s="10"/>
      <c r="C622" s="10"/>
      <c r="D622" s="30"/>
      <c r="E622" s="30"/>
    </row>
    <row r="623" spans="1:5" ht="12.75">
      <c r="A623" s="10"/>
      <c r="B623" s="10"/>
      <c r="C623" s="10"/>
      <c r="D623" s="30"/>
      <c r="E623" s="30"/>
    </row>
    <row r="624" spans="1:5" ht="12.75">
      <c r="A624" s="10"/>
      <c r="B624" s="10"/>
      <c r="C624" s="10"/>
      <c r="D624" s="30"/>
      <c r="E624" s="30"/>
    </row>
    <row r="625" spans="1:5" ht="12.75">
      <c r="A625" s="10"/>
      <c r="B625" s="10"/>
      <c r="C625" s="10"/>
      <c r="D625" s="30"/>
      <c r="E625" s="30"/>
    </row>
    <row r="626" spans="1:5" ht="12.75">
      <c r="A626" s="10"/>
      <c r="B626" s="10"/>
      <c r="C626" s="10"/>
      <c r="D626" s="30"/>
      <c r="E626" s="30"/>
    </row>
    <row r="627" spans="1:5" ht="12.75">
      <c r="A627" s="10"/>
      <c r="B627" s="10"/>
      <c r="C627" s="10"/>
      <c r="D627" s="30"/>
      <c r="E627" s="30"/>
    </row>
    <row r="628" spans="1:5" ht="12.75">
      <c r="A628" s="10"/>
      <c r="B628" s="10"/>
      <c r="C628" s="10"/>
      <c r="D628" s="30"/>
      <c r="E628" s="30"/>
    </row>
    <row r="629" spans="1:5" ht="12.75">
      <c r="A629" s="10"/>
      <c r="B629" s="10"/>
      <c r="C629" s="10"/>
      <c r="D629" s="30"/>
      <c r="E629" s="30"/>
    </row>
    <row r="630" spans="1:5" ht="12.75">
      <c r="A630" s="10"/>
      <c r="B630" s="10"/>
      <c r="C630" s="10"/>
      <c r="D630" s="30"/>
      <c r="E630" s="30"/>
    </row>
    <row r="631" spans="1:5" ht="12.75">
      <c r="A631" s="10"/>
      <c r="B631" s="10"/>
      <c r="C631" s="10"/>
      <c r="D631" s="30"/>
      <c r="E631" s="30"/>
    </row>
    <row r="632" spans="1:5" ht="12.75">
      <c r="A632" s="10"/>
      <c r="B632" s="10"/>
      <c r="C632" s="10"/>
      <c r="D632" s="30"/>
      <c r="E632" s="30"/>
    </row>
    <row r="633" spans="1:5" ht="12.75">
      <c r="A633" s="10"/>
      <c r="B633" s="10"/>
      <c r="C633" s="10"/>
      <c r="D633" s="30"/>
      <c r="E633" s="30"/>
    </row>
    <row r="634" spans="1:5" ht="12.75">
      <c r="A634" s="10"/>
      <c r="B634" s="10"/>
      <c r="C634" s="10"/>
      <c r="D634" s="30"/>
      <c r="E634" s="30"/>
    </row>
    <row r="635" spans="1:5" ht="12.75">
      <c r="A635" s="10"/>
      <c r="B635" s="10"/>
      <c r="C635" s="10"/>
      <c r="D635" s="30"/>
      <c r="E635" s="30"/>
    </row>
    <row r="636" spans="1:5" ht="12.75">
      <c r="A636" s="10"/>
      <c r="B636" s="10"/>
      <c r="C636" s="10"/>
      <c r="D636" s="30"/>
      <c r="E636" s="30"/>
    </row>
    <row r="637" spans="1:5" ht="12.75">
      <c r="A637" s="10"/>
      <c r="B637" s="10"/>
      <c r="C637" s="10"/>
      <c r="D637" s="30"/>
      <c r="E637" s="30"/>
    </row>
    <row r="638" spans="1:5" ht="12.75">
      <c r="A638" s="10"/>
      <c r="B638" s="10"/>
      <c r="C638" s="10"/>
      <c r="D638" s="30"/>
      <c r="E638" s="30"/>
    </row>
    <row r="639" spans="1:5" ht="12.75">
      <c r="A639" s="10"/>
      <c r="B639" s="10"/>
      <c r="C639" s="10"/>
      <c r="D639" s="30"/>
      <c r="E639" s="30"/>
    </row>
    <row r="640" spans="1:5" ht="12.75">
      <c r="A640" s="10"/>
      <c r="B640" s="10"/>
      <c r="C640" s="10"/>
      <c r="D640" s="30"/>
      <c r="E640" s="30"/>
    </row>
    <row r="641" spans="1:5" ht="12.75">
      <c r="A641" s="10"/>
      <c r="B641" s="10"/>
      <c r="C641" s="10"/>
      <c r="D641" s="30"/>
      <c r="E641" s="30"/>
    </row>
    <row r="642" spans="1:5" ht="12.75">
      <c r="A642" s="10"/>
      <c r="B642" s="10"/>
      <c r="C642" s="10"/>
      <c r="D642" s="30"/>
      <c r="E642" s="30"/>
    </row>
    <row r="643" spans="1:5" ht="12.75">
      <c r="A643" s="10"/>
      <c r="B643" s="10"/>
      <c r="C643" s="10"/>
      <c r="D643" s="30"/>
      <c r="E643" s="30"/>
    </row>
    <row r="644" spans="1:5" ht="12.75">
      <c r="A644" s="10"/>
      <c r="B644" s="10"/>
      <c r="C644" s="10"/>
      <c r="D644" s="30"/>
      <c r="E644" s="30"/>
    </row>
    <row r="645" spans="1:5" ht="12.75">
      <c r="A645" s="10"/>
      <c r="B645" s="10"/>
      <c r="C645" s="10"/>
      <c r="D645" s="30"/>
      <c r="E645" s="30"/>
    </row>
    <row r="646" spans="1:5" ht="12.75">
      <c r="A646" s="10"/>
      <c r="B646" s="10"/>
      <c r="C646" s="10"/>
      <c r="D646" s="30"/>
      <c r="E646" s="30"/>
    </row>
    <row r="647" spans="1:5" ht="12.75">
      <c r="A647" s="10"/>
      <c r="B647" s="10"/>
      <c r="C647" s="10"/>
      <c r="D647" s="30"/>
      <c r="E647" s="30"/>
    </row>
    <row r="648" spans="1:5" ht="12.75">
      <c r="A648" s="10"/>
      <c r="B648" s="10"/>
      <c r="C648" s="10"/>
      <c r="D648" s="30"/>
      <c r="E648" s="30"/>
    </row>
    <row r="649" spans="1:5" ht="12.75">
      <c r="A649" s="10"/>
      <c r="B649" s="10"/>
      <c r="C649" s="10"/>
      <c r="D649" s="30"/>
      <c r="E649" s="30"/>
    </row>
    <row r="650" spans="1:5" ht="12.75">
      <c r="A650" s="10"/>
      <c r="B650" s="10"/>
      <c r="C650" s="10"/>
      <c r="D650" s="30"/>
      <c r="E650" s="30"/>
    </row>
    <row r="651" spans="1:5" ht="12.75">
      <c r="A651" s="10"/>
      <c r="B651" s="10"/>
      <c r="C651" s="10"/>
      <c r="D651" s="30"/>
      <c r="E651" s="30"/>
    </row>
    <row r="652" spans="1:5" ht="12.75">
      <c r="A652" s="10"/>
      <c r="B652" s="10"/>
      <c r="C652" s="10"/>
      <c r="D652" s="30"/>
      <c r="E652" s="30"/>
    </row>
    <row r="653" spans="1:5" ht="12.75">
      <c r="A653" s="10"/>
      <c r="B653" s="10"/>
      <c r="C653" s="10"/>
      <c r="D653" s="30"/>
      <c r="E653" s="30"/>
    </row>
    <row r="654" spans="1:5" ht="12.75">
      <c r="A654" s="10"/>
      <c r="B654" s="10"/>
      <c r="C654" s="10"/>
      <c r="D654" s="30"/>
      <c r="E654" s="30"/>
    </row>
    <row r="655" spans="1:5" ht="12.75">
      <c r="A655" s="10"/>
      <c r="B655" s="10"/>
      <c r="C655" s="10"/>
      <c r="D655" s="30"/>
      <c r="E655" s="30"/>
    </row>
    <row r="656" spans="1:5" ht="12.75">
      <c r="A656" s="10"/>
      <c r="B656" s="10"/>
      <c r="C656" s="10"/>
      <c r="D656" s="30"/>
      <c r="E656" s="30"/>
    </row>
    <row r="657" spans="1:5" ht="12.75">
      <c r="A657" s="10"/>
      <c r="B657" s="10"/>
      <c r="C657" s="10"/>
      <c r="D657" s="30"/>
      <c r="E657" s="30"/>
    </row>
    <row r="658" spans="1:5" ht="12.75">
      <c r="A658" s="10"/>
      <c r="B658" s="10"/>
      <c r="C658" s="10"/>
      <c r="D658" s="30"/>
      <c r="E658" s="30"/>
    </row>
    <row r="659" spans="1:5" ht="12.75">
      <c r="A659" s="10"/>
      <c r="B659" s="10"/>
      <c r="C659" s="10"/>
      <c r="D659" s="30"/>
      <c r="E659" s="30"/>
    </row>
    <row r="660" spans="1:5" ht="12.75">
      <c r="A660" s="10"/>
      <c r="B660" s="10"/>
      <c r="C660" s="10"/>
      <c r="D660" s="30"/>
      <c r="E660" s="30"/>
    </row>
    <row r="661" spans="1:5" ht="12.75">
      <c r="A661" s="10"/>
      <c r="B661" s="10"/>
      <c r="C661" s="10"/>
      <c r="D661" s="30"/>
      <c r="E661" s="30"/>
    </row>
    <row r="662" spans="1:5" ht="12.75">
      <c r="A662" s="10"/>
      <c r="B662" s="10"/>
      <c r="C662" s="10"/>
      <c r="D662" s="30"/>
      <c r="E662" s="30"/>
    </row>
    <row r="663" spans="1:5" ht="12.75">
      <c r="A663" s="10"/>
      <c r="B663" s="10"/>
      <c r="C663" s="10"/>
      <c r="D663" s="30"/>
      <c r="E663" s="30"/>
    </row>
    <row r="664" spans="1:5" ht="12.75">
      <c r="A664" s="10"/>
      <c r="B664" s="10"/>
      <c r="C664" s="10"/>
      <c r="D664" s="30"/>
      <c r="E664" s="30"/>
    </row>
    <row r="665" spans="1:5" ht="12.75">
      <c r="A665" s="10"/>
      <c r="B665" s="10"/>
      <c r="C665" s="10"/>
      <c r="D665" s="30"/>
      <c r="E665" s="30"/>
    </row>
    <row r="666" spans="1:5" ht="12.75">
      <c r="A666" s="10"/>
      <c r="B666" s="10"/>
      <c r="C666" s="10"/>
      <c r="D666" s="30"/>
      <c r="E666" s="30"/>
    </row>
    <row r="667" spans="1:5" ht="12.75">
      <c r="A667" s="10"/>
      <c r="B667" s="10"/>
      <c r="C667" s="10"/>
      <c r="D667" s="30"/>
      <c r="E667" s="30"/>
    </row>
    <row r="668" spans="1:5" ht="12.75">
      <c r="A668" s="10"/>
      <c r="B668" s="10"/>
      <c r="C668" s="10"/>
      <c r="D668" s="30"/>
      <c r="E668" s="30"/>
    </row>
    <row r="669" spans="1:5" ht="12.75">
      <c r="A669" s="10"/>
      <c r="B669" s="10"/>
      <c r="C669" s="10"/>
      <c r="D669" s="30"/>
      <c r="E669" s="30"/>
    </row>
    <row r="670" spans="1:5" ht="12.75">
      <c r="A670" s="10"/>
      <c r="B670" s="10"/>
      <c r="C670" s="10"/>
      <c r="D670" s="30"/>
      <c r="E670" s="30"/>
    </row>
    <row r="671" spans="1:5" ht="12.75">
      <c r="A671" s="10"/>
      <c r="B671" s="10"/>
      <c r="C671" s="10"/>
      <c r="D671" s="30"/>
      <c r="E671" s="30"/>
    </row>
    <row r="672" spans="1:5" ht="12.75">
      <c r="A672" s="10"/>
      <c r="B672" s="10"/>
      <c r="C672" s="10"/>
      <c r="D672" s="30"/>
      <c r="E672" s="30"/>
    </row>
    <row r="673" spans="1:5" ht="12.75">
      <c r="A673" s="10"/>
      <c r="B673" s="10"/>
      <c r="C673" s="10"/>
      <c r="D673" s="30"/>
      <c r="E673" s="30"/>
    </row>
    <row r="674" spans="1:5" ht="12.75">
      <c r="A674" s="10"/>
      <c r="B674" s="10"/>
      <c r="C674" s="10"/>
      <c r="D674" s="30"/>
      <c r="E674" s="30"/>
    </row>
    <row r="675" spans="1:5" ht="12.75">
      <c r="A675" s="10"/>
      <c r="B675" s="10"/>
      <c r="C675" s="10"/>
      <c r="D675" s="30"/>
      <c r="E675" s="30"/>
    </row>
    <row r="676" spans="1:5" ht="12.75">
      <c r="A676" s="10"/>
      <c r="B676" s="10"/>
      <c r="C676" s="10"/>
      <c r="D676" s="30"/>
      <c r="E676" s="30"/>
    </row>
    <row r="677" spans="1:5" ht="12.75">
      <c r="A677" s="10"/>
      <c r="B677" s="10"/>
      <c r="C677" s="10"/>
      <c r="D677" s="30"/>
      <c r="E677" s="30"/>
    </row>
    <row r="678" spans="1:5" ht="12.75">
      <c r="A678" s="10"/>
      <c r="B678" s="10"/>
      <c r="C678" s="10"/>
      <c r="D678" s="30"/>
      <c r="E678" s="30"/>
    </row>
    <row r="679" spans="1:5" ht="12.75">
      <c r="A679" s="10"/>
      <c r="B679" s="10"/>
      <c r="C679" s="10"/>
      <c r="D679" s="30"/>
      <c r="E679" s="30"/>
    </row>
    <row r="680" spans="1:5" ht="12.75">
      <c r="A680" s="10"/>
      <c r="B680" s="10"/>
      <c r="C680" s="10"/>
      <c r="D680" s="30"/>
      <c r="E680" s="30"/>
    </row>
    <row r="681" spans="1:5" ht="12.75">
      <c r="A681" s="10"/>
      <c r="B681" s="10"/>
      <c r="C681" s="10"/>
      <c r="D681" s="30"/>
      <c r="E681" s="30"/>
    </row>
    <row r="682" spans="1:5" ht="12.75">
      <c r="A682" s="10"/>
      <c r="B682" s="10"/>
      <c r="C682" s="10"/>
      <c r="D682" s="30"/>
      <c r="E682" s="30"/>
    </row>
    <row r="683" spans="1:5" ht="12.75">
      <c r="A683" s="10"/>
      <c r="B683" s="10"/>
      <c r="C683" s="10"/>
      <c r="D683" s="30"/>
      <c r="E683" s="30"/>
    </row>
    <row r="684" spans="1:5" ht="12.75">
      <c r="A684" s="10"/>
      <c r="B684" s="10"/>
      <c r="C684" s="10"/>
      <c r="D684" s="30"/>
      <c r="E684" s="30"/>
    </row>
    <row r="685" spans="1:5" ht="12.75">
      <c r="A685" s="10"/>
      <c r="B685" s="10"/>
      <c r="C685" s="10"/>
      <c r="D685" s="30"/>
      <c r="E685" s="30"/>
    </row>
    <row r="686" spans="1:5" ht="12.75">
      <c r="A686" s="10"/>
      <c r="B686" s="10"/>
      <c r="C686" s="10"/>
      <c r="D686" s="30"/>
      <c r="E686" s="30"/>
    </row>
    <row r="687" spans="1:5" ht="12.75">
      <c r="A687" s="10"/>
      <c r="B687" s="10"/>
      <c r="C687" s="10"/>
      <c r="D687" s="30"/>
      <c r="E687" s="30"/>
    </row>
    <row r="688" spans="1:5" ht="12.75">
      <c r="A688" s="10"/>
      <c r="B688" s="10"/>
      <c r="C688" s="10"/>
      <c r="D688" s="30"/>
      <c r="E688" s="30"/>
    </row>
    <row r="689" spans="1:5" ht="12.75">
      <c r="A689" s="10"/>
      <c r="B689" s="10"/>
      <c r="C689" s="10"/>
      <c r="D689" s="30"/>
      <c r="E689" s="30"/>
    </row>
    <row r="690" spans="1:5" ht="12.75">
      <c r="A690" s="10"/>
      <c r="B690" s="10"/>
      <c r="C690" s="10"/>
      <c r="D690" s="30"/>
      <c r="E690" s="30"/>
    </row>
    <row r="691" spans="1:5" ht="12.75">
      <c r="A691" s="10"/>
      <c r="B691" s="10"/>
      <c r="C691" s="10"/>
      <c r="D691" s="30"/>
      <c r="E691" s="30"/>
    </row>
    <row r="692" spans="1:5" ht="12.75">
      <c r="A692" s="10"/>
      <c r="B692" s="10"/>
      <c r="C692" s="10"/>
      <c r="D692" s="30"/>
      <c r="E692" s="30"/>
    </row>
    <row r="693" spans="1:5" ht="12.75">
      <c r="A693" s="10"/>
      <c r="B693" s="10"/>
      <c r="C693" s="10"/>
      <c r="D693" s="30"/>
      <c r="E693" s="30"/>
    </row>
    <row r="694" spans="1:5" ht="12.75">
      <c r="A694" s="10"/>
      <c r="B694" s="10"/>
      <c r="C694" s="10"/>
      <c r="D694" s="30"/>
      <c r="E694" s="30"/>
    </row>
    <row r="695" spans="1:5" ht="12.75">
      <c r="A695" s="10"/>
      <c r="B695" s="10"/>
      <c r="C695" s="10"/>
      <c r="D695" s="30"/>
      <c r="E695" s="30"/>
    </row>
    <row r="696" spans="1:5" ht="12.75">
      <c r="A696" s="10"/>
      <c r="B696" s="10"/>
      <c r="C696" s="10"/>
      <c r="D696" s="30"/>
      <c r="E696" s="30"/>
    </row>
    <row r="697" spans="1:5" ht="12.75">
      <c r="A697" s="10"/>
      <c r="B697" s="10"/>
      <c r="C697" s="10"/>
      <c r="D697" s="30"/>
      <c r="E697" s="30"/>
    </row>
    <row r="698" spans="1:5" ht="12.75">
      <c r="A698" s="10"/>
      <c r="B698" s="10"/>
      <c r="C698" s="10"/>
      <c r="D698" s="30"/>
      <c r="E698" s="30"/>
    </row>
    <row r="699" spans="1:5" ht="12.75">
      <c r="A699" s="10"/>
      <c r="B699" s="10"/>
      <c r="C699" s="10"/>
      <c r="D699" s="30"/>
      <c r="E699" s="30"/>
    </row>
    <row r="700" spans="1:5" ht="12.75">
      <c r="A700" s="10"/>
      <c r="B700" s="10"/>
      <c r="C700" s="10"/>
      <c r="D700" s="30"/>
      <c r="E700" s="30"/>
    </row>
    <row r="701" spans="1:5" ht="12.75">
      <c r="A701" s="10"/>
      <c r="B701" s="10"/>
      <c r="C701" s="10"/>
      <c r="D701" s="30"/>
      <c r="E701" s="30"/>
    </row>
    <row r="702" spans="1:5" ht="12.75">
      <c r="A702" s="10"/>
      <c r="B702" s="10"/>
      <c r="C702" s="10"/>
      <c r="D702" s="30"/>
      <c r="E702" s="30"/>
    </row>
    <row r="703" spans="1:5" ht="12.75">
      <c r="A703" s="10"/>
      <c r="B703" s="10"/>
      <c r="C703" s="10"/>
      <c r="D703" s="30"/>
      <c r="E703" s="30"/>
    </row>
    <row r="704" spans="1:5" ht="12.75">
      <c r="A704" s="10"/>
      <c r="B704" s="10"/>
      <c r="C704" s="10"/>
      <c r="D704" s="30"/>
      <c r="E704" s="30"/>
    </row>
    <row r="705" spans="1:5" ht="12.75">
      <c r="A705" s="10"/>
      <c r="B705" s="10"/>
      <c r="C705" s="10"/>
      <c r="D705" s="30"/>
      <c r="E705" s="30"/>
    </row>
    <row r="706" spans="1:5" ht="12.75">
      <c r="A706" s="10"/>
      <c r="B706" s="10"/>
      <c r="C706" s="10"/>
      <c r="D706" s="30"/>
      <c r="E706" s="30"/>
    </row>
    <row r="707" spans="1:5" ht="12.75">
      <c r="A707" s="10"/>
      <c r="B707" s="10"/>
      <c r="C707" s="10"/>
      <c r="D707" s="30"/>
      <c r="E707" s="30"/>
    </row>
    <row r="708" spans="1:5" ht="12.75">
      <c r="A708" s="10"/>
      <c r="B708" s="10"/>
      <c r="C708" s="10"/>
      <c r="D708" s="30"/>
      <c r="E708" s="30"/>
    </row>
    <row r="709" spans="1:5" ht="12.75">
      <c r="A709" s="10"/>
      <c r="B709" s="10"/>
      <c r="C709" s="10"/>
      <c r="D709" s="30"/>
      <c r="E709" s="30"/>
    </row>
    <row r="710" spans="1:5" ht="12.75">
      <c r="A710" s="10"/>
      <c r="B710" s="10"/>
      <c r="C710" s="10"/>
      <c r="D710" s="30"/>
      <c r="E710" s="30"/>
    </row>
    <row r="711" spans="1:5" ht="12.75">
      <c r="A711" s="10"/>
      <c r="B711" s="10"/>
      <c r="C711" s="10"/>
      <c r="D711" s="30"/>
      <c r="E711" s="30"/>
    </row>
    <row r="712" spans="1:5" ht="12.75">
      <c r="A712" s="10"/>
      <c r="B712" s="10"/>
      <c r="C712" s="10"/>
      <c r="D712" s="30"/>
      <c r="E712" s="30"/>
    </row>
    <row r="713" spans="1:5" ht="12.75">
      <c r="A713" s="10"/>
      <c r="B713" s="10"/>
      <c r="C713" s="10"/>
      <c r="D713" s="30"/>
      <c r="E713" s="30"/>
    </row>
    <row r="714" spans="1:5" ht="12.75">
      <c r="A714" s="10"/>
      <c r="B714" s="10"/>
      <c r="C714" s="10"/>
      <c r="D714" s="30"/>
      <c r="E714" s="30"/>
    </row>
    <row r="715" spans="1:5" ht="12.75">
      <c r="A715" s="10"/>
      <c r="B715" s="10"/>
      <c r="C715" s="10"/>
      <c r="D715" s="30"/>
      <c r="E715" s="30"/>
    </row>
    <row r="716" spans="1:5" ht="12.75">
      <c r="A716" s="10"/>
      <c r="B716" s="10"/>
      <c r="C716" s="10"/>
      <c r="D716" s="30"/>
      <c r="E716" s="30"/>
    </row>
    <row r="717" spans="1:5" ht="12.75">
      <c r="A717" s="10"/>
      <c r="B717" s="10"/>
      <c r="C717" s="10"/>
      <c r="D717" s="30"/>
      <c r="E717" s="30"/>
    </row>
    <row r="718" spans="1:5" ht="12.75">
      <c r="A718" s="10"/>
      <c r="B718" s="10"/>
      <c r="C718" s="10"/>
      <c r="D718" s="30"/>
      <c r="E718" s="30"/>
    </row>
    <row r="719" spans="1:5" ht="12.75">
      <c r="A719" s="10"/>
      <c r="B719" s="10"/>
      <c r="C719" s="10"/>
      <c r="D719" s="30"/>
      <c r="E719" s="30"/>
    </row>
    <row r="720" spans="1:5" ht="12.75">
      <c r="A720" s="10"/>
      <c r="B720" s="10"/>
      <c r="C720" s="10"/>
      <c r="D720" s="30"/>
      <c r="E720" s="30"/>
    </row>
    <row r="721" spans="1:5" ht="12.75">
      <c r="A721" s="10"/>
      <c r="B721" s="10"/>
      <c r="C721" s="10"/>
      <c r="D721" s="30"/>
      <c r="E721" s="30"/>
    </row>
    <row r="722" spans="1:5" ht="12.75">
      <c r="A722" s="10"/>
      <c r="B722" s="10"/>
      <c r="C722" s="10"/>
      <c r="D722" s="30"/>
      <c r="E722" s="30"/>
    </row>
    <row r="723" spans="1:5" ht="12.75">
      <c r="A723" s="10"/>
      <c r="B723" s="10"/>
      <c r="C723" s="10"/>
      <c r="D723" s="30"/>
      <c r="E723" s="30"/>
    </row>
    <row r="724" spans="1:5" ht="12.75">
      <c r="A724" s="10"/>
      <c r="B724" s="10"/>
      <c r="C724" s="10"/>
      <c r="D724" s="30"/>
      <c r="E724" s="30"/>
    </row>
    <row r="725" spans="1:5" ht="12.75">
      <c r="A725" s="10"/>
      <c r="B725" s="10"/>
      <c r="C725" s="10"/>
      <c r="D725" s="30"/>
      <c r="E725" s="30"/>
    </row>
    <row r="726" spans="1:5" ht="12.75">
      <c r="A726" s="10"/>
      <c r="B726" s="10"/>
      <c r="C726" s="10"/>
      <c r="D726" s="30"/>
      <c r="E726" s="30"/>
    </row>
    <row r="727" spans="1:5" ht="12.75">
      <c r="A727" s="10"/>
      <c r="B727" s="10"/>
      <c r="C727" s="10"/>
      <c r="D727" s="30"/>
      <c r="E727" s="30"/>
    </row>
    <row r="728" spans="1:5" ht="12.75">
      <c r="A728" s="10"/>
      <c r="B728" s="10"/>
      <c r="C728" s="10"/>
      <c r="D728" s="30"/>
      <c r="E728" s="30"/>
    </row>
    <row r="729" spans="1:5" ht="12.75">
      <c r="A729" s="10"/>
      <c r="B729" s="10"/>
      <c r="C729" s="10"/>
      <c r="D729" s="30"/>
      <c r="E729" s="30"/>
    </row>
    <row r="730" spans="1:5" ht="12.75">
      <c r="A730" s="10"/>
      <c r="B730" s="10"/>
      <c r="C730" s="10"/>
      <c r="D730" s="30"/>
      <c r="E730" s="30"/>
    </row>
    <row r="731" spans="1:5" ht="12.75">
      <c r="A731" s="10"/>
      <c r="B731" s="10"/>
      <c r="C731" s="10"/>
      <c r="D731" s="30"/>
      <c r="E731" s="30"/>
    </row>
    <row r="732" spans="1:5" ht="12.75">
      <c r="A732" s="10"/>
      <c r="B732" s="10"/>
      <c r="C732" s="10"/>
      <c r="D732" s="30"/>
      <c r="E732" s="30"/>
    </row>
    <row r="733" spans="1:5" ht="12.75">
      <c r="A733" s="10"/>
      <c r="B733" s="10"/>
      <c r="C733" s="10"/>
      <c r="D733" s="30"/>
      <c r="E733" s="30"/>
    </row>
    <row r="734" spans="1:5" ht="12.75">
      <c r="A734" s="10"/>
      <c r="B734" s="10"/>
      <c r="C734" s="10"/>
      <c r="D734" s="30"/>
      <c r="E734" s="30"/>
    </row>
    <row r="735" spans="1:5" ht="12.75">
      <c r="A735" s="10"/>
      <c r="B735" s="10"/>
      <c r="C735" s="10"/>
      <c r="D735" s="30"/>
      <c r="E735" s="30"/>
    </row>
    <row r="736" spans="1:5" ht="12.75">
      <c r="A736" s="10"/>
      <c r="B736" s="10"/>
      <c r="C736" s="10"/>
      <c r="D736" s="30"/>
      <c r="E736" s="30"/>
    </row>
    <row r="737" spans="1:5" ht="12.75">
      <c r="A737" s="10"/>
      <c r="B737" s="10"/>
      <c r="C737" s="10"/>
      <c r="D737" s="30"/>
      <c r="E737" s="30"/>
    </row>
    <row r="738" spans="1:5" ht="12.75">
      <c r="A738" s="10"/>
      <c r="B738" s="10"/>
      <c r="C738" s="10"/>
      <c r="D738" s="30"/>
      <c r="E738" s="30"/>
    </row>
    <row r="739" spans="1:5" ht="12.75">
      <c r="A739" s="10"/>
      <c r="B739" s="10"/>
      <c r="C739" s="10"/>
      <c r="D739" s="30"/>
      <c r="E739" s="30"/>
    </row>
    <row r="740" spans="1:5" ht="12.75">
      <c r="A740" s="10"/>
      <c r="B740" s="10"/>
      <c r="C740" s="10"/>
      <c r="D740" s="30"/>
      <c r="E740" s="30"/>
    </row>
    <row r="741" spans="1:5" ht="12.75">
      <c r="A741" s="10"/>
      <c r="B741" s="10"/>
      <c r="C741" s="10"/>
      <c r="D741" s="30"/>
      <c r="E741" s="30"/>
    </row>
    <row r="742" spans="1:5" ht="12.75">
      <c r="A742" s="10"/>
      <c r="B742" s="10"/>
      <c r="C742" s="10"/>
      <c r="D742" s="30"/>
      <c r="E742" s="30"/>
    </row>
    <row r="743" spans="1:5" ht="12.75">
      <c r="A743" s="10"/>
      <c r="B743" s="10"/>
      <c r="C743" s="10"/>
      <c r="D743" s="30"/>
      <c r="E743" s="30"/>
    </row>
    <row r="744" spans="1:5" ht="12.75">
      <c r="A744" s="10"/>
      <c r="B744" s="10"/>
      <c r="C744" s="10"/>
      <c r="D744" s="30"/>
      <c r="E744" s="30"/>
    </row>
    <row r="745" spans="1:5" ht="12.75">
      <c r="A745" s="10"/>
      <c r="B745" s="10"/>
      <c r="C745" s="10"/>
      <c r="D745" s="30"/>
      <c r="E745" s="30"/>
    </row>
    <row r="746" spans="1:5" ht="12.75">
      <c r="A746" s="10"/>
      <c r="B746" s="10"/>
      <c r="C746" s="10"/>
      <c r="D746" s="30"/>
      <c r="E746" s="30"/>
    </row>
    <row r="747" spans="1:5" ht="12.75">
      <c r="A747" s="10"/>
      <c r="B747" s="10"/>
      <c r="C747" s="10"/>
      <c r="D747" s="30"/>
      <c r="E747" s="30"/>
    </row>
    <row r="748" spans="1:5" ht="12.75">
      <c r="A748" s="10"/>
      <c r="B748" s="10"/>
      <c r="C748" s="10"/>
      <c r="D748" s="30"/>
      <c r="E748" s="30"/>
    </row>
    <row r="749" spans="1:5" ht="12.75">
      <c r="A749" s="10"/>
      <c r="B749" s="10"/>
      <c r="C749" s="10"/>
      <c r="D749" s="30"/>
      <c r="E749" s="30"/>
    </row>
    <row r="750" spans="1:5" ht="12.75">
      <c r="A750" s="10"/>
      <c r="B750" s="10"/>
      <c r="C750" s="10"/>
      <c r="D750" s="30"/>
      <c r="E750" s="30"/>
    </row>
    <row r="751" spans="1:5" ht="12.75">
      <c r="A751" s="10"/>
      <c r="B751" s="10"/>
      <c r="C751" s="10"/>
      <c r="D751" s="30"/>
      <c r="E751" s="30"/>
    </row>
    <row r="752" spans="1:5" ht="12.75">
      <c r="A752" s="10"/>
      <c r="B752" s="10"/>
      <c r="C752" s="10"/>
      <c r="D752" s="30"/>
      <c r="E752" s="30"/>
    </row>
    <row r="753" spans="1:5" ht="12.75">
      <c r="A753" s="10"/>
      <c r="B753" s="10"/>
      <c r="C753" s="10"/>
      <c r="D753" s="30"/>
      <c r="E753" s="30"/>
    </row>
    <row r="754" spans="1:5" ht="12.75">
      <c r="A754" s="10"/>
      <c r="B754" s="10"/>
      <c r="C754" s="10"/>
      <c r="D754" s="30"/>
      <c r="E754" s="30"/>
    </row>
    <row r="755" spans="1:5" ht="12.75">
      <c r="A755" s="10"/>
      <c r="B755" s="10"/>
      <c r="C755" s="10"/>
      <c r="D755" s="30"/>
      <c r="E755" s="30"/>
    </row>
    <row r="756" spans="1:5" ht="12.75">
      <c r="A756" s="10"/>
      <c r="B756" s="10"/>
      <c r="C756" s="10"/>
      <c r="D756" s="30"/>
      <c r="E756" s="30"/>
    </row>
    <row r="757" spans="1:5" ht="12.75">
      <c r="A757" s="10"/>
      <c r="B757" s="10"/>
      <c r="C757" s="10"/>
      <c r="D757" s="30"/>
      <c r="E757" s="30"/>
    </row>
    <row r="758" spans="1:5" ht="12.75">
      <c r="A758" s="10"/>
      <c r="B758" s="10"/>
      <c r="C758" s="10"/>
      <c r="D758" s="30"/>
      <c r="E758" s="30"/>
    </row>
    <row r="759" spans="1:5" ht="12.75">
      <c r="A759" s="10"/>
      <c r="B759" s="10"/>
      <c r="C759" s="10"/>
      <c r="D759" s="30"/>
      <c r="E759" s="30"/>
    </row>
    <row r="760" spans="1:5" ht="12.75">
      <c r="A760" s="10"/>
      <c r="B760" s="10"/>
      <c r="C760" s="10"/>
      <c r="D760" s="30"/>
      <c r="E760" s="30"/>
    </row>
    <row r="761" spans="1:5" ht="12.75">
      <c r="A761" s="10"/>
      <c r="B761" s="10"/>
      <c r="C761" s="10"/>
      <c r="D761" s="30"/>
      <c r="E761" s="30"/>
    </row>
    <row r="762" spans="1:5" ht="12.75">
      <c r="A762" s="10"/>
      <c r="B762" s="10"/>
      <c r="C762" s="10"/>
      <c r="D762" s="30"/>
      <c r="E762" s="30"/>
    </row>
    <row r="763" spans="1:5" ht="12.75">
      <c r="A763" s="10"/>
      <c r="B763" s="10"/>
      <c r="C763" s="10"/>
      <c r="D763" s="30"/>
      <c r="E763" s="30"/>
    </row>
    <row r="764" spans="1:5" ht="12.75">
      <c r="A764" s="10"/>
      <c r="B764" s="10"/>
      <c r="C764" s="10"/>
      <c r="D764" s="30"/>
      <c r="E764" s="30"/>
    </row>
    <row r="765" spans="1:5" ht="12.75">
      <c r="A765" s="10"/>
      <c r="B765" s="10"/>
      <c r="C765" s="10"/>
      <c r="D765" s="30"/>
      <c r="E765" s="30"/>
    </row>
    <row r="766" spans="1:5" ht="12.75">
      <c r="A766" s="10"/>
      <c r="B766" s="10"/>
      <c r="C766" s="10"/>
      <c r="D766" s="30"/>
      <c r="E766" s="30"/>
    </row>
    <row r="767" spans="1:5" ht="12.75">
      <c r="A767" s="10"/>
      <c r="B767" s="10"/>
      <c r="C767" s="10"/>
      <c r="D767" s="30"/>
      <c r="E767" s="30"/>
    </row>
    <row r="768" spans="1:5" ht="12.75">
      <c r="A768" s="10"/>
      <c r="B768" s="10"/>
      <c r="C768" s="10"/>
      <c r="D768" s="30"/>
      <c r="E768" s="30"/>
    </row>
    <row r="769" spans="1:5" ht="12.75">
      <c r="A769" s="10"/>
      <c r="B769" s="10"/>
      <c r="C769" s="10"/>
      <c r="D769" s="30"/>
      <c r="E769" s="30"/>
    </row>
    <row r="770" spans="1:5" ht="12.75">
      <c r="A770" s="10"/>
      <c r="B770" s="10"/>
      <c r="C770" s="10"/>
      <c r="D770" s="30"/>
      <c r="E770" s="30"/>
    </row>
    <row r="771" spans="1:5" ht="12.75">
      <c r="A771" s="10"/>
      <c r="B771" s="10"/>
      <c r="C771" s="10"/>
      <c r="D771" s="30"/>
      <c r="E771" s="30"/>
    </row>
    <row r="772" spans="1:5" ht="12.75">
      <c r="A772" s="10"/>
      <c r="B772" s="10"/>
      <c r="C772" s="10"/>
      <c r="D772" s="30"/>
      <c r="E772" s="30"/>
    </row>
    <row r="773" spans="1:5" ht="12.75">
      <c r="A773" s="10"/>
      <c r="B773" s="10"/>
      <c r="C773" s="10"/>
      <c r="D773" s="30"/>
      <c r="E773" s="30"/>
    </row>
    <row r="774" spans="1:5" ht="12.75">
      <c r="A774" s="10"/>
      <c r="B774" s="10"/>
      <c r="C774" s="10"/>
      <c r="D774" s="30"/>
      <c r="E774" s="30"/>
    </row>
    <row r="775" spans="1:5" ht="12.75">
      <c r="A775" s="10"/>
      <c r="B775" s="10"/>
      <c r="C775" s="10"/>
      <c r="D775" s="30"/>
      <c r="E775" s="30"/>
    </row>
    <row r="776" spans="1:5" ht="12.75">
      <c r="A776" s="10"/>
      <c r="B776" s="10"/>
      <c r="C776" s="10"/>
      <c r="D776" s="30"/>
      <c r="E776" s="30"/>
    </row>
    <row r="777" spans="1:5" ht="12.75">
      <c r="A777" s="10"/>
      <c r="B777" s="10"/>
      <c r="C777" s="10"/>
      <c r="D777" s="30"/>
      <c r="E777" s="30"/>
    </row>
    <row r="778" spans="1:5" ht="12.75">
      <c r="A778" s="10"/>
      <c r="B778" s="10"/>
      <c r="C778" s="10"/>
      <c r="D778" s="30"/>
      <c r="E778" s="30"/>
    </row>
    <row r="779" spans="1:5" ht="12.75">
      <c r="A779" s="10"/>
      <c r="B779" s="10"/>
      <c r="C779" s="10"/>
      <c r="D779" s="30"/>
      <c r="E779" s="30"/>
    </row>
    <row r="780" spans="1:5" ht="12.75">
      <c r="A780" s="10"/>
      <c r="B780" s="10"/>
      <c r="C780" s="10"/>
      <c r="D780" s="30"/>
      <c r="E780" s="30"/>
    </row>
    <row r="781" spans="1:5" ht="12.75">
      <c r="A781" s="10"/>
      <c r="B781" s="10"/>
      <c r="C781" s="10"/>
      <c r="D781" s="30"/>
      <c r="E781" s="30"/>
    </row>
    <row r="782" spans="1:5" ht="12.75">
      <c r="A782" s="10"/>
      <c r="B782" s="10"/>
      <c r="C782" s="10"/>
      <c r="D782" s="30"/>
      <c r="E782" s="30"/>
    </row>
    <row r="783" spans="1:5" ht="12.75">
      <c r="A783" s="10"/>
      <c r="B783" s="10"/>
      <c r="C783" s="10"/>
      <c r="D783" s="30"/>
      <c r="E783" s="30"/>
    </row>
    <row r="784" spans="1:5" ht="12.75">
      <c r="A784" s="10"/>
      <c r="B784" s="10"/>
      <c r="C784" s="10"/>
      <c r="D784" s="30"/>
      <c r="E784" s="30"/>
    </row>
    <row r="785" spans="1:5" ht="12.75">
      <c r="A785" s="10"/>
      <c r="B785" s="10"/>
      <c r="C785" s="10"/>
      <c r="D785" s="30"/>
      <c r="E785" s="30"/>
    </row>
    <row r="786" spans="1:5" ht="12.75">
      <c r="A786" s="10"/>
      <c r="B786" s="10"/>
      <c r="C786" s="10"/>
      <c r="D786" s="30"/>
      <c r="E786" s="30"/>
    </row>
    <row r="787" spans="1:5" ht="12.75">
      <c r="A787" s="10"/>
      <c r="B787" s="10"/>
      <c r="C787" s="10"/>
      <c r="D787" s="30"/>
      <c r="E787" s="30"/>
    </row>
    <row r="788" spans="1:5" ht="12.75">
      <c r="A788" s="10"/>
      <c r="B788" s="10"/>
      <c r="C788" s="10"/>
      <c r="D788" s="30"/>
      <c r="E788" s="30"/>
    </row>
    <row r="789" spans="1:5" ht="12.75">
      <c r="A789" s="10"/>
      <c r="B789" s="10"/>
      <c r="C789" s="10"/>
      <c r="D789" s="30"/>
      <c r="E789" s="30"/>
    </row>
    <row r="790" spans="1:5" ht="12.75">
      <c r="A790" s="10"/>
      <c r="B790" s="10"/>
      <c r="C790" s="10"/>
      <c r="D790" s="30"/>
      <c r="E790" s="30"/>
    </row>
    <row r="791" spans="1:5" ht="12.75">
      <c r="A791" s="10"/>
      <c r="B791" s="10"/>
      <c r="C791" s="10"/>
      <c r="D791" s="30"/>
      <c r="E791" s="30"/>
    </row>
    <row r="792" spans="1:5" ht="12.75">
      <c r="A792" s="10"/>
      <c r="B792" s="10"/>
      <c r="C792" s="10"/>
      <c r="D792" s="30"/>
      <c r="E792" s="30"/>
    </row>
    <row r="793" spans="1:5" ht="12.75">
      <c r="A793" s="10"/>
      <c r="B793" s="10"/>
      <c r="C793" s="10"/>
      <c r="D793" s="30"/>
      <c r="E793" s="30"/>
    </row>
    <row r="794" spans="1:5" ht="12.75">
      <c r="A794" s="10"/>
      <c r="B794" s="10"/>
      <c r="C794" s="10"/>
      <c r="D794" s="30"/>
      <c r="E794" s="30"/>
    </row>
    <row r="795" spans="1:5" ht="12.75">
      <c r="A795" s="10"/>
      <c r="B795" s="10"/>
      <c r="C795" s="10"/>
      <c r="D795" s="30"/>
      <c r="E795" s="30"/>
    </row>
    <row r="796" spans="1:5" ht="12.75">
      <c r="A796" s="10"/>
      <c r="B796" s="10"/>
      <c r="C796" s="10"/>
      <c r="D796" s="30"/>
      <c r="E796" s="30"/>
    </row>
    <row r="797" spans="1:5" ht="12.75">
      <c r="A797" s="10"/>
      <c r="B797" s="10"/>
      <c r="C797" s="10"/>
      <c r="D797" s="30"/>
      <c r="E797" s="30"/>
    </row>
    <row r="798" spans="1:5" ht="12.75">
      <c r="A798" s="10"/>
      <c r="B798" s="10"/>
      <c r="C798" s="10"/>
      <c r="D798" s="30"/>
      <c r="E798" s="30"/>
    </row>
    <row r="799" spans="1:5" ht="12.75">
      <c r="A799" s="10"/>
      <c r="B799" s="10"/>
      <c r="C799" s="10"/>
      <c r="D799" s="30"/>
      <c r="E799" s="30"/>
    </row>
    <row r="800" spans="1:5" ht="12.75">
      <c r="A800" s="10"/>
      <c r="B800" s="10"/>
      <c r="C800" s="10"/>
      <c r="D800" s="30"/>
      <c r="E800" s="30"/>
    </row>
    <row r="801" spans="1:5" ht="12.75">
      <c r="A801" s="10"/>
      <c r="B801" s="10"/>
      <c r="C801" s="10"/>
      <c r="D801" s="30"/>
      <c r="E801" s="30"/>
    </row>
    <row r="802" spans="1:5" ht="12.75">
      <c r="A802" s="10"/>
      <c r="B802" s="10"/>
      <c r="C802" s="10"/>
      <c r="D802" s="30"/>
      <c r="E802" s="30"/>
    </row>
    <row r="803" spans="1:5" ht="12.75">
      <c r="A803" s="10"/>
      <c r="B803" s="10"/>
      <c r="C803" s="10"/>
      <c r="D803" s="30"/>
      <c r="E803" s="30"/>
    </row>
    <row r="804" spans="1:5" ht="12.75">
      <c r="A804" s="10"/>
      <c r="B804" s="10"/>
      <c r="C804" s="10"/>
      <c r="D804" s="30"/>
      <c r="E804" s="30"/>
    </row>
    <row r="805" spans="1:5" ht="12.75">
      <c r="A805" s="10"/>
      <c r="B805" s="10"/>
      <c r="C805" s="10"/>
      <c r="D805" s="30"/>
      <c r="E805" s="30"/>
    </row>
    <row r="806" spans="1:5" ht="12.75">
      <c r="A806" s="10"/>
      <c r="B806" s="10"/>
      <c r="C806" s="10"/>
      <c r="D806" s="30"/>
      <c r="E806" s="30"/>
    </row>
    <row r="807" spans="1:5" ht="12.75">
      <c r="A807" s="10"/>
      <c r="B807" s="10"/>
      <c r="C807" s="10"/>
      <c r="D807" s="30"/>
      <c r="E807" s="30"/>
    </row>
    <row r="808" spans="1:5" ht="12.75">
      <c r="A808" s="10"/>
      <c r="B808" s="10"/>
      <c r="C808" s="10"/>
      <c r="D808" s="30"/>
      <c r="E808" s="30"/>
    </row>
    <row r="809" spans="1:5" ht="12.75">
      <c r="A809" s="10"/>
      <c r="B809" s="10"/>
      <c r="C809" s="10"/>
      <c r="D809" s="30"/>
      <c r="E809" s="30"/>
    </row>
    <row r="810" spans="1:5" ht="12.75">
      <c r="A810" s="10"/>
      <c r="B810" s="10"/>
      <c r="C810" s="10"/>
      <c r="D810" s="30"/>
      <c r="E810" s="30"/>
    </row>
    <row r="811" spans="1:5" ht="12.75">
      <c r="A811" s="10"/>
      <c r="B811" s="10"/>
      <c r="C811" s="10"/>
      <c r="D811" s="30"/>
      <c r="E811" s="30"/>
    </row>
    <row r="812" spans="1:5" ht="12.75">
      <c r="A812" s="10"/>
      <c r="B812" s="10"/>
      <c r="C812" s="10"/>
      <c r="D812" s="30"/>
      <c r="E812" s="30"/>
    </row>
    <row r="813" spans="1:5" ht="12.75">
      <c r="A813" s="10"/>
      <c r="B813" s="10"/>
      <c r="C813" s="10"/>
      <c r="D813" s="30"/>
      <c r="E813" s="30"/>
    </row>
    <row r="814" spans="1:5" ht="12.75">
      <c r="A814" s="10"/>
      <c r="B814" s="10"/>
      <c r="C814" s="10"/>
      <c r="D814" s="30"/>
      <c r="E814" s="30"/>
    </row>
    <row r="815" spans="1:5" ht="12.75">
      <c r="A815" s="10"/>
      <c r="B815" s="10"/>
      <c r="C815" s="10"/>
      <c r="D815" s="30"/>
      <c r="E815" s="30"/>
    </row>
    <row r="816" spans="1:5" ht="12.75">
      <c r="A816" s="10"/>
      <c r="B816" s="10"/>
      <c r="C816" s="10"/>
      <c r="D816" s="30"/>
      <c r="E816" s="30"/>
    </row>
    <row r="817" spans="1:5" ht="12.75">
      <c r="A817" s="10"/>
      <c r="B817" s="10"/>
      <c r="C817" s="10"/>
      <c r="D817" s="30"/>
      <c r="E817" s="30"/>
    </row>
    <row r="818" spans="1:5" ht="12.75">
      <c r="A818" s="10"/>
      <c r="B818" s="10"/>
      <c r="C818" s="10"/>
      <c r="D818" s="30"/>
      <c r="E818" s="30"/>
    </row>
    <row r="819" spans="1:5" ht="12.75">
      <c r="A819" s="10"/>
      <c r="B819" s="10"/>
      <c r="C819" s="10"/>
      <c r="D819" s="30"/>
      <c r="E819" s="30"/>
    </row>
    <row r="820" spans="1:5" ht="12.75">
      <c r="A820" s="10"/>
      <c r="B820" s="10"/>
      <c r="C820" s="10"/>
      <c r="D820" s="30"/>
      <c r="E820" s="30"/>
    </row>
    <row r="821" spans="1:5" ht="12.75">
      <c r="A821" s="10"/>
      <c r="B821" s="10"/>
      <c r="C821" s="10"/>
      <c r="D821" s="30"/>
      <c r="E821" s="30"/>
    </row>
    <row r="822" spans="1:5" ht="12.75">
      <c r="A822" s="10"/>
      <c r="B822" s="10"/>
      <c r="C822" s="10"/>
      <c r="D822" s="30"/>
      <c r="E822" s="30"/>
    </row>
    <row r="823" spans="1:5" ht="12.75">
      <c r="A823" s="10"/>
      <c r="B823" s="10"/>
      <c r="C823" s="10"/>
      <c r="D823" s="30"/>
      <c r="E823" s="30"/>
    </row>
    <row r="824" spans="1:5" ht="12.75">
      <c r="A824" s="10"/>
      <c r="B824" s="10"/>
      <c r="C824" s="10"/>
      <c r="D824" s="30"/>
      <c r="E824" s="30"/>
    </row>
    <row r="825" spans="1:5" ht="12.75">
      <c r="A825" s="10"/>
      <c r="B825" s="10"/>
      <c r="C825" s="10"/>
      <c r="D825" s="30"/>
      <c r="E825" s="30"/>
    </row>
    <row r="826" spans="1:5" ht="12.75">
      <c r="A826" s="10"/>
      <c r="B826" s="10"/>
      <c r="C826" s="10"/>
      <c r="D826" s="30"/>
      <c r="E826" s="30"/>
    </row>
    <row r="827" spans="1:5" ht="12.75">
      <c r="A827" s="10"/>
      <c r="B827" s="10"/>
      <c r="C827" s="10"/>
      <c r="D827" s="30"/>
      <c r="E827" s="30"/>
    </row>
    <row r="828" spans="1:5" ht="12.75">
      <c r="A828" s="10"/>
      <c r="B828" s="10"/>
      <c r="C828" s="10"/>
      <c r="D828" s="30"/>
      <c r="E828" s="30"/>
    </row>
    <row r="829" spans="1:5" ht="12.75">
      <c r="A829" s="10"/>
      <c r="B829" s="10"/>
      <c r="C829" s="10"/>
      <c r="D829" s="30"/>
      <c r="E829" s="30"/>
    </row>
    <row r="830" spans="1:5" ht="12.75">
      <c r="A830" s="10"/>
      <c r="B830" s="10"/>
      <c r="C830" s="10"/>
      <c r="D830" s="30"/>
      <c r="E830" s="30"/>
    </row>
    <row r="831" spans="1:5" ht="12.75">
      <c r="A831" s="10"/>
      <c r="B831" s="10"/>
      <c r="C831" s="10"/>
      <c r="D831" s="30"/>
      <c r="E831" s="30"/>
    </row>
    <row r="832" spans="1:5" ht="12.75">
      <c r="A832" s="10"/>
      <c r="B832" s="10"/>
      <c r="C832" s="10"/>
      <c r="D832" s="30"/>
      <c r="E832" s="30"/>
    </row>
    <row r="833" spans="1:5" ht="12.75">
      <c r="A833" s="10"/>
      <c r="B833" s="10"/>
      <c r="C833" s="10"/>
      <c r="D833" s="30"/>
      <c r="E833" s="30"/>
    </row>
    <row r="834" spans="1:5" ht="12.75">
      <c r="A834" s="10"/>
      <c r="B834" s="10"/>
      <c r="C834" s="10"/>
      <c r="D834" s="30"/>
      <c r="E834" s="30"/>
    </row>
    <row r="835" spans="1:5" ht="12.75">
      <c r="A835" s="10"/>
      <c r="B835" s="10"/>
      <c r="C835" s="10"/>
      <c r="D835" s="30"/>
      <c r="E835" s="30"/>
    </row>
    <row r="836" spans="1:5" ht="12.75">
      <c r="A836" s="10"/>
      <c r="B836" s="10"/>
      <c r="C836" s="10"/>
      <c r="D836" s="30"/>
      <c r="E836" s="30"/>
    </row>
    <row r="837" spans="1:5" ht="12.75">
      <c r="A837" s="10"/>
      <c r="B837" s="10"/>
      <c r="C837" s="10"/>
      <c r="D837" s="30"/>
      <c r="E837" s="30"/>
    </row>
    <row r="838" spans="1:5" ht="12.75">
      <c r="A838" s="10"/>
      <c r="B838" s="10"/>
      <c r="C838" s="10"/>
      <c r="D838" s="30"/>
      <c r="E838" s="30"/>
    </row>
    <row r="839" spans="1:5" ht="12.75">
      <c r="A839" s="10"/>
      <c r="B839" s="10"/>
      <c r="C839" s="10"/>
      <c r="D839" s="30"/>
      <c r="E839" s="30"/>
    </row>
    <row r="840" spans="1:5" ht="12.75">
      <c r="A840" s="10"/>
      <c r="B840" s="10"/>
      <c r="C840" s="10"/>
      <c r="D840" s="30"/>
      <c r="E840" s="30"/>
    </row>
    <row r="841" spans="1:5" ht="12.75">
      <c r="A841" s="10"/>
      <c r="B841" s="10"/>
      <c r="C841" s="10"/>
      <c r="D841" s="30"/>
      <c r="E841" s="30"/>
    </row>
    <row r="842" spans="1:5" ht="12.75">
      <c r="A842" s="10"/>
      <c r="B842" s="10"/>
      <c r="C842" s="10"/>
      <c r="D842" s="30"/>
      <c r="E842" s="30"/>
    </row>
    <row r="843" spans="1:5" ht="12.75">
      <c r="A843" s="10"/>
      <c r="B843" s="10"/>
      <c r="C843" s="10"/>
      <c r="D843" s="30"/>
      <c r="E843" s="30"/>
    </row>
    <row r="844" spans="1:5" ht="12.75">
      <c r="A844" s="10"/>
      <c r="B844" s="10"/>
      <c r="C844" s="10"/>
      <c r="D844" s="30"/>
      <c r="E844" s="30"/>
    </row>
    <row r="845" spans="1:5" ht="12.75">
      <c r="A845" s="10"/>
      <c r="B845" s="10"/>
      <c r="C845" s="10"/>
      <c r="D845" s="30"/>
      <c r="E845" s="30"/>
    </row>
    <row r="846" spans="1:5" ht="12.75">
      <c r="A846" s="10"/>
      <c r="B846" s="10"/>
      <c r="C846" s="10"/>
      <c r="D846" s="30"/>
      <c r="E846" s="30"/>
    </row>
    <row r="847" spans="1:5" ht="12.75">
      <c r="A847" s="10"/>
      <c r="B847" s="10"/>
      <c r="C847" s="10"/>
      <c r="D847" s="30"/>
      <c r="E847" s="30"/>
    </row>
    <row r="848" spans="1:5" ht="12.75">
      <c r="A848" s="10"/>
      <c r="B848" s="10"/>
      <c r="C848" s="10"/>
      <c r="D848" s="30"/>
      <c r="E848" s="30"/>
    </row>
    <row r="849" spans="1:5" ht="12.75">
      <c r="A849" s="10"/>
      <c r="B849" s="10"/>
      <c r="C849" s="10"/>
      <c r="D849" s="30"/>
      <c r="E849" s="30"/>
    </row>
    <row r="850" spans="1:5" ht="12.75">
      <c r="A850" s="10"/>
      <c r="B850" s="10"/>
      <c r="C850" s="10"/>
      <c r="D850" s="30"/>
      <c r="E850" s="30"/>
    </row>
    <row r="851" spans="1:5" ht="12.75">
      <c r="A851" s="10"/>
      <c r="B851" s="10"/>
      <c r="C851" s="10"/>
      <c r="D851" s="30"/>
      <c r="E851" s="30"/>
    </row>
    <row r="852" spans="1:5" ht="12.75">
      <c r="A852" s="10"/>
      <c r="B852" s="10"/>
      <c r="C852" s="10"/>
      <c r="D852" s="30"/>
      <c r="E852" s="30"/>
    </row>
    <row r="853" spans="1:5" ht="12.75">
      <c r="A853" s="10"/>
      <c r="B853" s="10"/>
      <c r="C853" s="10"/>
      <c r="D853" s="30"/>
      <c r="E853" s="30"/>
    </row>
    <row r="854" spans="1:5" ht="12.75">
      <c r="A854" s="10"/>
      <c r="B854" s="10"/>
      <c r="C854" s="10"/>
      <c r="D854" s="30"/>
      <c r="E854" s="30"/>
    </row>
    <row r="855" spans="1:5" ht="12.75">
      <c r="A855" s="10"/>
      <c r="B855" s="10"/>
      <c r="C855" s="10"/>
      <c r="D855" s="30"/>
      <c r="E855" s="30"/>
    </row>
    <row r="856" spans="1:5" ht="12.75">
      <c r="A856" s="10"/>
      <c r="B856" s="10"/>
      <c r="C856" s="10"/>
      <c r="D856" s="30"/>
      <c r="E856" s="30"/>
    </row>
    <row r="857" spans="1:5" ht="12.75">
      <c r="A857" s="10"/>
      <c r="B857" s="10"/>
      <c r="C857" s="10"/>
      <c r="D857" s="30"/>
      <c r="E857" s="30"/>
    </row>
    <row r="858" spans="1:5" ht="12.75">
      <c r="A858" s="10"/>
      <c r="B858" s="10"/>
      <c r="C858" s="10"/>
      <c r="D858" s="30"/>
      <c r="E858" s="30"/>
    </row>
    <row r="859" spans="1:5" ht="12.75">
      <c r="A859" s="10"/>
      <c r="B859" s="10"/>
      <c r="C859" s="10"/>
      <c r="D859" s="30"/>
      <c r="E859" s="30"/>
    </row>
    <row r="860" spans="1:5" ht="12.75">
      <c r="A860" s="10"/>
      <c r="B860" s="10"/>
      <c r="C860" s="10"/>
      <c r="D860" s="30"/>
      <c r="E860" s="30"/>
    </row>
    <row r="861" spans="1:5" ht="12.75">
      <c r="A861" s="10"/>
      <c r="B861" s="10"/>
      <c r="C861" s="10"/>
      <c r="D861" s="30"/>
      <c r="E861" s="30"/>
    </row>
    <row r="862" spans="1:5" ht="12.75">
      <c r="A862" s="10"/>
      <c r="B862" s="10"/>
      <c r="C862" s="10"/>
      <c r="D862" s="30"/>
      <c r="E862" s="30"/>
    </row>
    <row r="863" spans="1:5" ht="12.75">
      <c r="A863" s="10"/>
      <c r="B863" s="10"/>
      <c r="C863" s="10"/>
      <c r="D863" s="30"/>
      <c r="E863" s="30"/>
    </row>
    <row r="864" spans="1:5" ht="12.75">
      <c r="A864" s="10"/>
      <c r="B864" s="10"/>
      <c r="C864" s="10"/>
      <c r="D864" s="30"/>
      <c r="E864" s="30"/>
    </row>
    <row r="865" spans="1:5" ht="12.75">
      <c r="A865" s="10"/>
      <c r="B865" s="10"/>
      <c r="C865" s="10"/>
      <c r="D865" s="30"/>
      <c r="E865" s="30"/>
    </row>
    <row r="866" spans="1:5" ht="12.75">
      <c r="A866" s="10"/>
      <c r="B866" s="10"/>
      <c r="C866" s="10"/>
      <c r="D866" s="30"/>
      <c r="E866" s="30"/>
    </row>
    <row r="867" spans="1:5" ht="12.75">
      <c r="A867" s="10"/>
      <c r="B867" s="10"/>
      <c r="C867" s="10"/>
      <c r="D867" s="30"/>
      <c r="E867" s="30"/>
    </row>
    <row r="868" spans="1:5" ht="12.75">
      <c r="A868" s="10"/>
      <c r="B868" s="10"/>
      <c r="C868" s="10"/>
      <c r="D868" s="30"/>
      <c r="E868" s="30"/>
    </row>
    <row r="869" spans="1:5" ht="12.75">
      <c r="A869" s="10"/>
      <c r="B869" s="10"/>
      <c r="C869" s="10"/>
      <c r="D869" s="30"/>
      <c r="E869" s="30"/>
    </row>
    <row r="870" spans="1:5" ht="12.75">
      <c r="A870" s="10"/>
      <c r="B870" s="10"/>
      <c r="C870" s="10"/>
      <c r="D870" s="30"/>
      <c r="E870" s="30"/>
    </row>
    <row r="871" spans="1:5" ht="12.75">
      <c r="A871" s="10"/>
      <c r="B871" s="10"/>
      <c r="C871" s="10"/>
      <c r="D871" s="30"/>
      <c r="E871" s="30"/>
    </row>
    <row r="872" spans="1:5" ht="12.75">
      <c r="A872" s="10"/>
      <c r="B872" s="10"/>
      <c r="C872" s="10"/>
      <c r="D872" s="30"/>
      <c r="E872" s="30"/>
    </row>
    <row r="873" spans="1:5" ht="12.75">
      <c r="A873" s="10"/>
      <c r="B873" s="10"/>
      <c r="C873" s="10"/>
      <c r="D873" s="30"/>
      <c r="E873" s="30"/>
    </row>
    <row r="874" spans="1:5" ht="12.75">
      <c r="A874" s="10"/>
      <c r="B874" s="10"/>
      <c r="C874" s="10"/>
      <c r="D874" s="30"/>
      <c r="E874" s="30"/>
    </row>
    <row r="875" spans="1:5" ht="12.75">
      <c r="A875" s="10"/>
      <c r="B875" s="10"/>
      <c r="C875" s="10"/>
      <c r="D875" s="30"/>
      <c r="E875" s="30"/>
    </row>
    <row r="876" spans="1:5" ht="12.75">
      <c r="A876" s="10"/>
      <c r="B876" s="10"/>
      <c r="C876" s="10"/>
      <c r="D876" s="30"/>
      <c r="E876" s="30"/>
    </row>
    <row r="877" spans="1:5" ht="12.75">
      <c r="A877" s="10"/>
      <c r="B877" s="10"/>
      <c r="C877" s="10"/>
      <c r="D877" s="30"/>
      <c r="E877" s="30"/>
    </row>
    <row r="878" spans="1:5" ht="12.75">
      <c r="A878" s="10"/>
      <c r="B878" s="10"/>
      <c r="C878" s="10"/>
      <c r="D878" s="30"/>
      <c r="E878" s="30"/>
    </row>
    <row r="879" spans="1:5" ht="12.75">
      <c r="A879" s="10"/>
      <c r="B879" s="10"/>
      <c r="C879" s="10"/>
      <c r="D879" s="30"/>
      <c r="E879" s="30"/>
    </row>
    <row r="880" spans="1:5" ht="12.75">
      <c r="A880" s="10"/>
      <c r="B880" s="10"/>
      <c r="C880" s="10"/>
      <c r="D880" s="30"/>
      <c r="E880" s="30"/>
    </row>
    <row r="881" spans="1:5" ht="12.75">
      <c r="A881" s="10"/>
      <c r="B881" s="10"/>
      <c r="C881" s="10"/>
      <c r="D881" s="30"/>
      <c r="E881" s="30"/>
    </row>
    <row r="882" spans="1:5" ht="12.75">
      <c r="A882" s="10"/>
      <c r="B882" s="10"/>
      <c r="C882" s="10"/>
      <c r="D882" s="30"/>
      <c r="E882" s="30"/>
    </row>
    <row r="883" spans="1:5" ht="12.75">
      <c r="A883" s="10"/>
      <c r="B883" s="10"/>
      <c r="C883" s="10"/>
      <c r="D883" s="30"/>
      <c r="E883" s="30"/>
    </row>
    <row r="884" spans="1:5" ht="12.75">
      <c r="A884" s="10"/>
      <c r="B884" s="10"/>
      <c r="C884" s="10"/>
      <c r="D884" s="30"/>
      <c r="E884" s="30"/>
    </row>
    <row r="885" spans="1:5" ht="12.75">
      <c r="A885" s="10"/>
      <c r="B885" s="10"/>
      <c r="C885" s="10"/>
      <c r="D885" s="30"/>
      <c r="E885" s="30"/>
    </row>
    <row r="886" spans="1:5" ht="12.75">
      <c r="A886" s="10"/>
      <c r="B886" s="10"/>
      <c r="C886" s="10"/>
      <c r="D886" s="30"/>
      <c r="E886" s="30"/>
    </row>
    <row r="887" spans="1:5" ht="12.75">
      <c r="A887" s="10"/>
      <c r="B887" s="10"/>
      <c r="C887" s="10"/>
      <c r="D887" s="30"/>
      <c r="E887" s="30"/>
    </row>
    <row r="888" spans="1:5" ht="12.75">
      <c r="A888" s="10"/>
      <c r="B888" s="10"/>
      <c r="C888" s="10"/>
      <c r="D888" s="30"/>
      <c r="E888" s="30"/>
    </row>
    <row r="889" spans="1:5" ht="12.75">
      <c r="A889" s="10"/>
      <c r="B889" s="10"/>
      <c r="C889" s="10"/>
      <c r="D889" s="30"/>
      <c r="E889" s="30"/>
    </row>
    <row r="890" spans="1:5" ht="12.75">
      <c r="A890" s="10"/>
      <c r="B890" s="10"/>
      <c r="C890" s="10"/>
      <c r="D890" s="30"/>
      <c r="E890" s="30"/>
    </row>
    <row r="891" spans="1:5" ht="12.75">
      <c r="A891" s="10"/>
      <c r="B891" s="10"/>
      <c r="C891" s="10"/>
      <c r="D891" s="30"/>
      <c r="E891" s="30"/>
    </row>
    <row r="892" spans="1:5" ht="12.75">
      <c r="A892" s="10"/>
      <c r="B892" s="10"/>
      <c r="C892" s="10"/>
      <c r="D892" s="30"/>
      <c r="E892" s="30"/>
    </row>
    <row r="893" spans="1:5" ht="12.75">
      <c r="A893" s="10"/>
      <c r="B893" s="10"/>
      <c r="C893" s="10"/>
      <c r="D893" s="30"/>
      <c r="E893" s="30"/>
    </row>
    <row r="894" spans="1:5" ht="12.75">
      <c r="A894" s="10"/>
      <c r="B894" s="10"/>
      <c r="C894" s="10"/>
      <c r="D894" s="30"/>
      <c r="E894" s="30"/>
    </row>
    <row r="895" spans="1:5" ht="12.75">
      <c r="A895" s="10"/>
      <c r="B895" s="10"/>
      <c r="C895" s="10"/>
      <c r="D895" s="30"/>
      <c r="E895" s="30"/>
    </row>
    <row r="896" spans="1:5" ht="12.75">
      <c r="A896" s="10"/>
      <c r="B896" s="10"/>
      <c r="C896" s="10"/>
      <c r="D896" s="30"/>
      <c r="E896" s="30"/>
    </row>
    <row r="897" spans="1:5" ht="12.75">
      <c r="A897" s="10"/>
      <c r="B897" s="10"/>
      <c r="C897" s="10"/>
      <c r="D897" s="30"/>
      <c r="E897" s="30"/>
    </row>
    <row r="898" spans="1:5" ht="12.75">
      <c r="A898" s="10"/>
      <c r="B898" s="10"/>
      <c r="C898" s="10"/>
      <c r="D898" s="30"/>
      <c r="E898" s="30"/>
    </row>
    <row r="899" spans="1:5" ht="12.75">
      <c r="A899" s="10"/>
      <c r="B899" s="10"/>
      <c r="C899" s="10"/>
      <c r="D899" s="30"/>
      <c r="E899" s="30"/>
    </row>
    <row r="900" spans="1:5" ht="12.75">
      <c r="A900" s="10"/>
      <c r="B900" s="10"/>
      <c r="C900" s="10"/>
      <c r="D900" s="30"/>
      <c r="E900" s="30"/>
    </row>
    <row r="901" spans="1:5" ht="12.75">
      <c r="A901" s="10"/>
      <c r="B901" s="10"/>
      <c r="C901" s="10"/>
      <c r="D901" s="30"/>
      <c r="E901" s="30"/>
    </row>
    <row r="902" spans="1:5" ht="12.75">
      <c r="A902" s="10"/>
      <c r="B902" s="10"/>
      <c r="C902" s="10"/>
      <c r="D902" s="30"/>
      <c r="E902" s="30"/>
    </row>
    <row r="903" spans="1:5" ht="12.75">
      <c r="A903" s="10"/>
      <c r="B903" s="10"/>
      <c r="C903" s="10"/>
      <c r="D903" s="30"/>
      <c r="E903" s="30"/>
    </row>
    <row r="904" spans="1:5" ht="12.75">
      <c r="A904" s="10"/>
      <c r="B904" s="10"/>
      <c r="C904" s="10"/>
      <c r="D904" s="30"/>
      <c r="E904" s="30"/>
    </row>
    <row r="905" spans="1:5" ht="12.75">
      <c r="A905" s="10"/>
      <c r="B905" s="10"/>
      <c r="C905" s="10"/>
      <c r="D905" s="30"/>
      <c r="E905" s="30"/>
    </row>
    <row r="906" spans="1:5" ht="12.75">
      <c r="A906" s="10"/>
      <c r="B906" s="10"/>
      <c r="C906" s="10"/>
      <c r="D906" s="30"/>
      <c r="E906" s="30"/>
    </row>
    <row r="907" spans="1:5" ht="12.75">
      <c r="A907" s="10"/>
      <c r="B907" s="10"/>
      <c r="C907" s="10"/>
      <c r="D907" s="30"/>
      <c r="E907" s="30"/>
    </row>
    <row r="908" spans="1:5" ht="12.75">
      <c r="A908" s="10"/>
      <c r="B908" s="10"/>
      <c r="C908" s="10"/>
      <c r="D908" s="30"/>
      <c r="E908" s="30"/>
    </row>
    <row r="909" spans="1:5" ht="12.75">
      <c r="A909" s="10"/>
      <c r="B909" s="10"/>
      <c r="C909" s="10"/>
      <c r="D909" s="30"/>
      <c r="E909" s="30"/>
    </row>
    <row r="910" spans="1:5" ht="12.75">
      <c r="A910" s="10"/>
      <c r="B910" s="10"/>
      <c r="C910" s="10"/>
      <c r="D910" s="30"/>
      <c r="E910" s="30"/>
    </row>
    <row r="911" spans="1:5" ht="12.75">
      <c r="A911" s="10"/>
      <c r="B911" s="10"/>
      <c r="C911" s="10"/>
      <c r="D911" s="30"/>
      <c r="E911" s="30"/>
    </row>
    <row r="912" spans="1:5" ht="12.75">
      <c r="A912" s="10"/>
      <c r="B912" s="10"/>
      <c r="C912" s="10"/>
      <c r="D912" s="30"/>
      <c r="E912" s="30"/>
    </row>
    <row r="913" spans="1:13" ht="12.75">
      <c r="A913" s="10"/>
      <c r="B913" s="10"/>
      <c r="C913" s="10"/>
      <c r="D913" s="30"/>
      <c r="E913" s="30"/>
    </row>
    <row r="914" spans="1:13" ht="12.75">
      <c r="A914" s="10"/>
      <c r="B914" s="10"/>
      <c r="C914" s="10"/>
      <c r="D914" s="30"/>
      <c r="E914" s="30"/>
    </row>
    <row r="915" spans="1:13" ht="12.75">
      <c r="A915" s="10"/>
      <c r="B915" s="10"/>
      <c r="C915" s="10"/>
      <c r="D915" s="30"/>
      <c r="E915" s="30"/>
    </row>
    <row r="916" spans="1:13" ht="12.75">
      <c r="A916" s="10"/>
      <c r="B916" s="10"/>
      <c r="C916" s="10"/>
      <c r="D916" s="30"/>
      <c r="E916" s="30"/>
    </row>
    <row r="917" spans="1:13" ht="12.75">
      <c r="A917" s="10"/>
      <c r="B917" s="10"/>
      <c r="C917" s="10"/>
      <c r="D917" s="30"/>
      <c r="E917" s="30"/>
    </row>
    <row r="918" spans="1:13" ht="12.75">
      <c r="A918" s="10"/>
      <c r="B918" s="10"/>
      <c r="C918" s="10"/>
      <c r="D918" s="30"/>
      <c r="E918" s="30"/>
    </row>
    <row r="919" spans="1:13" ht="12.75">
      <c r="A919" s="10"/>
      <c r="B919" s="10"/>
      <c r="C919" s="10"/>
      <c r="D919" s="30"/>
      <c r="E919" s="30"/>
    </row>
    <row r="920" spans="1:13" ht="12.75">
      <c r="A920" s="10"/>
      <c r="B920" s="10"/>
      <c r="C920" s="10"/>
      <c r="D920" s="30"/>
      <c r="E920" s="30"/>
    </row>
    <row r="921" spans="1:13" ht="12.75">
      <c r="A921" s="10"/>
      <c r="B921" s="10"/>
      <c r="C921" s="10"/>
      <c r="D921" s="30"/>
      <c r="E921" s="30"/>
    </row>
    <row r="922" spans="1:13" ht="12.75">
      <c r="A922" s="10"/>
      <c r="B922" s="10"/>
      <c r="C922" s="10"/>
      <c r="D922" s="30"/>
      <c r="E922" s="30"/>
    </row>
    <row r="923" spans="1:13" ht="12.75">
      <c r="A923" s="10"/>
      <c r="B923" s="10"/>
      <c r="C923" s="10"/>
      <c r="D923" s="30"/>
      <c r="E923" s="30"/>
    </row>
    <row r="924" spans="1:13" ht="12.75">
      <c r="A924" s="10"/>
      <c r="B924" s="10"/>
      <c r="C924" s="10"/>
      <c r="D924" s="30"/>
      <c r="E924" s="30"/>
    </row>
    <row r="925" spans="1:13" ht="12.75">
      <c r="A925" s="10"/>
      <c r="B925" s="10"/>
      <c r="C925" s="10"/>
      <c r="D925" s="30"/>
      <c r="E925" s="30"/>
    </row>
    <row r="926" spans="1:13" ht="12.75">
      <c r="A926" s="10"/>
      <c r="B926" s="10"/>
      <c r="C926" s="10"/>
      <c r="D926" s="30"/>
      <c r="E926" s="30"/>
    </row>
    <row r="927" spans="1:13" ht="12.75">
      <c r="A927" s="10"/>
      <c r="B927" s="10"/>
      <c r="C927" s="10"/>
      <c r="D927" s="30"/>
      <c r="E927" s="30"/>
      <c r="H927" s="420"/>
      <c r="I927" s="420"/>
      <c r="J927" s="420"/>
      <c r="L927" s="420"/>
      <c r="M927" s="420"/>
    </row>
    <row r="928" spans="1:13" ht="12.75">
      <c r="A928" s="10"/>
      <c r="B928" s="10"/>
      <c r="C928" s="10"/>
      <c r="D928" s="30"/>
      <c r="E928" s="30"/>
    </row>
    <row r="929" spans="1:13" ht="12.75">
      <c r="A929" s="10"/>
      <c r="B929" s="10"/>
      <c r="C929" s="10"/>
      <c r="D929" s="30"/>
      <c r="E929" s="30"/>
    </row>
    <row r="930" spans="1:13" ht="12.75">
      <c r="A930" s="10"/>
      <c r="B930" s="10"/>
      <c r="C930" s="10"/>
      <c r="D930" s="30"/>
      <c r="E930" s="30"/>
    </row>
    <row r="931" spans="1:13" ht="12.75">
      <c r="A931" s="10"/>
      <c r="B931" s="10"/>
      <c r="C931" s="10"/>
      <c r="D931" s="30"/>
      <c r="E931" s="30"/>
    </row>
    <row r="932" spans="1:13" ht="12.75">
      <c r="A932" s="10"/>
      <c r="B932" s="10"/>
      <c r="C932" s="10"/>
      <c r="D932" s="30"/>
      <c r="E932" s="30"/>
    </row>
    <row r="933" spans="1:13" ht="12.75">
      <c r="A933" s="10"/>
      <c r="B933" s="10"/>
      <c r="C933" s="10"/>
      <c r="D933" s="30"/>
      <c r="E933" s="30"/>
    </row>
    <row r="934" spans="1:13" ht="12.75">
      <c r="A934" s="10"/>
      <c r="B934" s="10"/>
      <c r="C934" s="10"/>
      <c r="D934" s="30"/>
      <c r="E934" s="30"/>
    </row>
    <row r="935" spans="1:13" ht="12.75">
      <c r="A935" s="10"/>
      <c r="B935" s="10"/>
      <c r="C935" s="10"/>
      <c r="D935" s="30"/>
      <c r="E935" s="30"/>
    </row>
    <row r="936" spans="1:13" ht="12.75">
      <c r="A936" s="10"/>
      <c r="B936" s="10"/>
      <c r="C936" s="10"/>
      <c r="D936" s="30"/>
      <c r="E936" s="30"/>
    </row>
    <row r="937" spans="1:13" ht="12.75">
      <c r="A937" s="10"/>
      <c r="B937" s="10"/>
      <c r="C937" s="10"/>
      <c r="D937" s="30"/>
      <c r="E937" s="30"/>
    </row>
    <row r="938" spans="1:13" ht="12.75">
      <c r="A938" s="10"/>
      <c r="B938" s="10"/>
      <c r="C938" s="10"/>
      <c r="D938" s="30"/>
      <c r="E938" s="30"/>
      <c r="H938" s="420"/>
      <c r="I938" s="420"/>
      <c r="J938" s="420"/>
      <c r="L938" s="420"/>
      <c r="M938" s="420"/>
    </row>
    <row r="939" spans="1:13" ht="12.75">
      <c r="A939" s="10"/>
      <c r="B939" s="10"/>
      <c r="C939" s="10"/>
      <c r="D939" s="30"/>
      <c r="E939" s="30"/>
    </row>
    <row r="940" spans="1:13" ht="12.75">
      <c r="A940" s="10"/>
      <c r="B940" s="10"/>
      <c r="C940" s="10"/>
      <c r="D940" s="30"/>
      <c r="E940" s="30"/>
    </row>
    <row r="941" spans="1:13" ht="12.75">
      <c r="A941" s="10"/>
      <c r="B941" s="10"/>
      <c r="C941" s="10"/>
      <c r="D941" s="30"/>
      <c r="E941" s="30"/>
    </row>
    <row r="942" spans="1:13" ht="12.75">
      <c r="A942" s="10"/>
      <c r="B942" s="10"/>
      <c r="C942" s="10"/>
      <c r="D942" s="30"/>
      <c r="E942" s="30"/>
    </row>
    <row r="943" spans="1:13" ht="12.75">
      <c r="A943" s="10"/>
      <c r="B943" s="10"/>
      <c r="C943" s="10"/>
      <c r="D943" s="30"/>
      <c r="E943" s="30"/>
    </row>
    <row r="944" spans="1:13" ht="12.75">
      <c r="A944" s="10"/>
      <c r="B944" s="10"/>
      <c r="C944" s="10"/>
      <c r="D944" s="30"/>
      <c r="E944" s="30"/>
    </row>
    <row r="945" spans="1:13" ht="12.75">
      <c r="A945" s="10"/>
      <c r="B945" s="10"/>
      <c r="C945" s="10"/>
      <c r="D945" s="30"/>
      <c r="E945" s="30"/>
    </row>
    <row r="946" spans="1:13" ht="12.75">
      <c r="A946" s="10"/>
      <c r="B946" s="10"/>
      <c r="C946" s="10"/>
      <c r="D946" s="30"/>
      <c r="E946" s="30"/>
    </row>
    <row r="947" spans="1:13" ht="12.75">
      <c r="A947" s="10"/>
      <c r="B947" s="10"/>
      <c r="C947" s="10"/>
      <c r="D947" s="30"/>
      <c r="E947" s="30"/>
    </row>
    <row r="948" spans="1:13" ht="12.75">
      <c r="A948" s="10"/>
      <c r="B948" s="10"/>
      <c r="C948" s="10"/>
      <c r="D948" s="30"/>
      <c r="E948" s="30"/>
    </row>
    <row r="949" spans="1:13" ht="12.75">
      <c r="A949" s="10"/>
      <c r="B949" s="10"/>
      <c r="C949" s="10"/>
      <c r="D949" s="30"/>
      <c r="E949" s="30"/>
      <c r="H949" s="420"/>
      <c r="I949" s="420"/>
      <c r="J949" s="420"/>
      <c r="L949" s="420"/>
      <c r="M949" s="420"/>
    </row>
    <row r="950" spans="1:13" ht="12.75">
      <c r="A950" s="10"/>
      <c r="B950" s="10"/>
      <c r="C950" s="10"/>
      <c r="D950" s="30"/>
      <c r="E950" s="30"/>
    </row>
    <row r="951" spans="1:13" ht="12.75">
      <c r="A951" s="10"/>
      <c r="B951" s="10"/>
      <c r="C951" s="10"/>
      <c r="D951" s="30"/>
      <c r="E951" s="30"/>
    </row>
    <row r="952" spans="1:13" ht="12.75">
      <c r="A952" s="10"/>
      <c r="B952" s="10"/>
      <c r="C952" s="10"/>
      <c r="D952" s="30"/>
      <c r="E952" s="30"/>
    </row>
    <row r="953" spans="1:13" ht="12.75">
      <c r="A953" s="10"/>
      <c r="B953" s="10"/>
      <c r="C953" s="10"/>
      <c r="D953" s="30"/>
      <c r="E953" s="30"/>
    </row>
    <row r="954" spans="1:13" ht="12.75">
      <c r="A954" s="10"/>
      <c r="B954" s="10"/>
      <c r="C954" s="10"/>
      <c r="D954" s="30"/>
      <c r="E954" s="30"/>
    </row>
    <row r="955" spans="1:13" ht="12.75">
      <c r="A955" s="10"/>
      <c r="B955" s="10"/>
      <c r="C955" s="10"/>
      <c r="D955" s="30"/>
      <c r="E955" s="30"/>
    </row>
    <row r="956" spans="1:13" ht="12.75">
      <c r="A956" s="10"/>
      <c r="B956" s="10"/>
      <c r="C956" s="10"/>
      <c r="D956" s="30"/>
      <c r="E956" s="30"/>
    </row>
    <row r="957" spans="1:13" ht="12.75">
      <c r="A957" s="10"/>
      <c r="B957" s="10"/>
      <c r="C957" s="10"/>
      <c r="D957" s="30"/>
      <c r="E957" s="30"/>
    </row>
    <row r="958" spans="1:13" ht="12.75">
      <c r="A958" s="10"/>
      <c r="B958" s="10"/>
      <c r="C958" s="10"/>
      <c r="D958" s="30"/>
      <c r="E958" s="30"/>
    </row>
    <row r="959" spans="1:13" ht="12.75">
      <c r="A959" s="10"/>
      <c r="B959" s="10"/>
      <c r="C959" s="10"/>
      <c r="D959" s="30"/>
      <c r="E959" s="30"/>
    </row>
    <row r="960" spans="1:13" ht="12.75">
      <c r="A960" s="10"/>
      <c r="B960" s="10"/>
      <c r="C960" s="10"/>
      <c r="D960" s="30"/>
      <c r="E960" s="30"/>
      <c r="H960" s="420"/>
      <c r="I960" s="420"/>
      <c r="J960" s="420"/>
      <c r="L960" s="420"/>
      <c r="M960" s="420"/>
    </row>
    <row r="961" spans="1:13" ht="12.75">
      <c r="A961" s="10"/>
      <c r="B961" s="10"/>
      <c r="C961" s="10"/>
      <c r="D961" s="30"/>
      <c r="E961" s="30"/>
    </row>
    <row r="962" spans="1:13" ht="12.75">
      <c r="A962" s="10"/>
      <c r="B962" s="10"/>
      <c r="C962" s="10"/>
      <c r="D962" s="30"/>
      <c r="E962" s="30"/>
    </row>
    <row r="963" spans="1:13" ht="12.75">
      <c r="A963" s="10"/>
      <c r="B963" s="10"/>
      <c r="C963" s="10"/>
      <c r="D963" s="30"/>
      <c r="E963" s="30"/>
    </row>
    <row r="964" spans="1:13" ht="12.75">
      <c r="A964" s="10"/>
      <c r="B964" s="10"/>
      <c r="C964" s="10"/>
      <c r="D964" s="30"/>
      <c r="E964" s="30"/>
    </row>
    <row r="965" spans="1:13" ht="12.75">
      <c r="A965" s="10"/>
      <c r="B965" s="10"/>
      <c r="C965" s="10"/>
      <c r="D965" s="30"/>
      <c r="E965" s="30"/>
    </row>
    <row r="966" spans="1:13" ht="12.75">
      <c r="A966" s="10"/>
      <c r="B966" s="10"/>
      <c r="C966" s="10"/>
      <c r="D966" s="30"/>
      <c r="E966" s="30"/>
    </row>
    <row r="967" spans="1:13" ht="12.75">
      <c r="A967" s="10"/>
      <c r="B967" s="10"/>
      <c r="C967" s="10"/>
      <c r="D967" s="30"/>
      <c r="E967" s="30"/>
    </row>
    <row r="968" spans="1:13" ht="12.75">
      <c r="A968" s="10"/>
      <c r="B968" s="10"/>
      <c r="C968" s="10"/>
      <c r="D968" s="30"/>
      <c r="E968" s="30"/>
    </row>
    <row r="969" spans="1:13" ht="12.75">
      <c r="A969" s="10"/>
      <c r="B969" s="10"/>
      <c r="C969" s="10"/>
      <c r="D969" s="30"/>
      <c r="E969" s="30"/>
    </row>
    <row r="970" spans="1:13" ht="12.75">
      <c r="A970" s="10"/>
      <c r="B970" s="10"/>
      <c r="C970" s="10"/>
      <c r="D970" s="30"/>
      <c r="E970" s="30"/>
    </row>
    <row r="971" spans="1:13" ht="12.75">
      <c r="A971" s="10"/>
      <c r="B971" s="10"/>
      <c r="C971" s="10"/>
      <c r="D971" s="30"/>
      <c r="E971" s="30"/>
      <c r="H971" s="420"/>
      <c r="I971" s="420"/>
      <c r="J971" s="420"/>
      <c r="L971" s="420"/>
      <c r="M971" s="420"/>
    </row>
    <row r="972" spans="1:13" ht="12.75">
      <c r="A972" s="10"/>
      <c r="B972" s="10"/>
      <c r="C972" s="10"/>
      <c r="D972" s="30"/>
      <c r="E972" s="30"/>
    </row>
    <row r="973" spans="1:13" ht="12.75">
      <c r="A973" s="10"/>
      <c r="B973" s="10"/>
      <c r="C973" s="10"/>
      <c r="D973" s="30"/>
      <c r="E973" s="30"/>
    </row>
    <row r="974" spans="1:13" ht="12.75">
      <c r="A974" s="10"/>
      <c r="B974" s="10"/>
      <c r="C974" s="10"/>
      <c r="D974" s="30"/>
      <c r="E974" s="30"/>
    </row>
    <row r="975" spans="1:13" ht="12.75">
      <c r="A975" s="10"/>
      <c r="B975" s="10"/>
      <c r="C975" s="10"/>
      <c r="D975" s="30"/>
      <c r="E975" s="30"/>
    </row>
    <row r="976" spans="1:13" ht="12.75">
      <c r="A976" s="10"/>
      <c r="B976" s="10"/>
      <c r="C976" s="10"/>
      <c r="D976" s="30"/>
      <c r="E976" s="30"/>
    </row>
    <row r="977" spans="1:13" ht="12.75">
      <c r="A977" s="10"/>
      <c r="B977" s="10"/>
      <c r="C977" s="10"/>
      <c r="D977" s="30"/>
      <c r="E977" s="30"/>
    </row>
    <row r="978" spans="1:13" ht="12.75">
      <c r="A978" s="10"/>
      <c r="B978" s="10"/>
      <c r="C978" s="10"/>
      <c r="D978" s="30"/>
      <c r="E978" s="30"/>
    </row>
    <row r="979" spans="1:13" ht="12.75">
      <c r="A979" s="10"/>
      <c r="B979" s="10"/>
      <c r="C979" s="10"/>
      <c r="D979" s="30"/>
      <c r="E979" s="30"/>
    </row>
    <row r="980" spans="1:13" ht="12.75">
      <c r="A980" s="10"/>
      <c r="B980" s="10"/>
      <c r="C980" s="10"/>
      <c r="D980" s="30"/>
      <c r="E980" s="30"/>
    </row>
    <row r="981" spans="1:13" ht="12.75">
      <c r="A981" s="10"/>
      <c r="B981" s="10"/>
      <c r="C981" s="10"/>
      <c r="D981" s="30"/>
      <c r="E981" s="30"/>
    </row>
    <row r="982" spans="1:13" ht="12.75">
      <c r="A982" s="10"/>
      <c r="B982" s="10"/>
      <c r="C982" s="10"/>
      <c r="D982" s="30"/>
      <c r="E982" s="30"/>
      <c r="H982" s="420"/>
      <c r="I982" s="420"/>
      <c r="J982" s="420"/>
      <c r="L982" s="420"/>
      <c r="M982" s="420"/>
    </row>
    <row r="983" spans="1:13" ht="12.75">
      <c r="A983" s="10"/>
      <c r="B983" s="10"/>
      <c r="C983" s="10"/>
      <c r="D983" s="30"/>
      <c r="E983" s="30"/>
    </row>
    <row r="984" spans="1:13" ht="12.75">
      <c r="A984" s="10"/>
      <c r="B984" s="10"/>
      <c r="C984" s="10"/>
      <c r="D984" s="30"/>
      <c r="E984" s="30"/>
    </row>
    <row r="985" spans="1:13" ht="12.75">
      <c r="A985" s="10"/>
      <c r="B985" s="10"/>
      <c r="C985" s="10"/>
      <c r="D985" s="30"/>
      <c r="E985" s="30"/>
    </row>
    <row r="986" spans="1:13" ht="12.75">
      <c r="A986" s="10"/>
      <c r="B986" s="10"/>
      <c r="C986" s="10"/>
      <c r="D986" s="30"/>
      <c r="E986" s="30"/>
    </row>
    <row r="987" spans="1:13" ht="12.75">
      <c r="A987" s="10"/>
      <c r="B987" s="10"/>
      <c r="C987" s="10"/>
      <c r="D987" s="30"/>
      <c r="E987" s="30"/>
    </row>
    <row r="988" spans="1:13" ht="12.75">
      <c r="A988" s="10"/>
      <c r="B988" s="10"/>
      <c r="C988" s="10"/>
      <c r="D988" s="30"/>
      <c r="E988" s="30"/>
    </row>
    <row r="989" spans="1:13" ht="12.75">
      <c r="A989" s="10"/>
      <c r="B989" s="10"/>
      <c r="C989" s="10"/>
      <c r="D989" s="30"/>
      <c r="E989" s="30"/>
    </row>
    <row r="990" spans="1:13" ht="12.75">
      <c r="A990" s="10"/>
      <c r="B990" s="10"/>
      <c r="C990" s="10"/>
      <c r="D990" s="30"/>
      <c r="E990" s="30"/>
    </row>
    <row r="991" spans="1:13" ht="12.75">
      <c r="A991" s="10"/>
      <c r="B991" s="10"/>
      <c r="C991" s="10"/>
      <c r="D991" s="30"/>
      <c r="E991" s="30"/>
    </row>
    <row r="992" spans="1:13" ht="12.75">
      <c r="A992" s="10"/>
      <c r="B992" s="10"/>
      <c r="C992" s="10"/>
      <c r="D992" s="30"/>
      <c r="E992" s="30"/>
    </row>
    <row r="993" spans="1:13" ht="12.75">
      <c r="A993" s="10"/>
      <c r="B993" s="10"/>
      <c r="C993" s="10"/>
      <c r="D993" s="30"/>
      <c r="E993" s="30"/>
      <c r="H993" s="420"/>
      <c r="I993" s="420"/>
      <c r="J993" s="420"/>
      <c r="L993" s="420"/>
      <c r="M993" s="420"/>
    </row>
    <row r="994" spans="1:13" ht="12.75">
      <c r="A994" s="10"/>
      <c r="B994" s="10"/>
      <c r="C994" s="10"/>
      <c r="D994" s="30"/>
      <c r="E994" s="30"/>
    </row>
    <row r="995" spans="1:13" ht="12.75">
      <c r="A995" s="10"/>
      <c r="B995" s="10"/>
      <c r="C995" s="10"/>
      <c r="D995" s="30"/>
      <c r="E995" s="30"/>
    </row>
    <row r="996" spans="1:13" ht="12.75">
      <c r="A996" s="10"/>
      <c r="B996" s="10"/>
      <c r="C996" s="10"/>
      <c r="D996" s="30"/>
      <c r="E996" s="30"/>
    </row>
    <row r="997" spans="1:13" ht="12.75">
      <c r="A997" s="10"/>
      <c r="B997" s="10"/>
      <c r="C997" s="10"/>
      <c r="D997" s="30"/>
      <c r="E997" s="30"/>
    </row>
    <row r="998" spans="1:13" ht="12.75">
      <c r="A998" s="10"/>
      <c r="B998" s="10"/>
      <c r="C998" s="10"/>
      <c r="D998" s="30"/>
      <c r="E998" s="30"/>
    </row>
    <row r="999" spans="1:13" ht="12.75">
      <c r="A999" s="10"/>
      <c r="B999" s="10"/>
      <c r="C999" s="10"/>
      <c r="D999" s="30"/>
      <c r="E999" s="30"/>
    </row>
    <row r="1000" spans="1:13" ht="12.75">
      <c r="A1000" s="10"/>
      <c r="B1000" s="10"/>
      <c r="C1000" s="10"/>
      <c r="D1000" s="30"/>
      <c r="E1000" s="30"/>
    </row>
    <row r="1001" spans="1:13" ht="12.75">
      <c r="A1001" s="10"/>
      <c r="B1001" s="10"/>
      <c r="C1001" s="10"/>
      <c r="D1001" s="30"/>
      <c r="E1001" s="30"/>
    </row>
    <row r="1002" spans="1:13" ht="12.75">
      <c r="A1002" s="10"/>
      <c r="B1002" s="10"/>
      <c r="C1002" s="10"/>
      <c r="D1002" s="30"/>
      <c r="E1002" s="30"/>
    </row>
    <row r="1003" spans="1:13" ht="12.75">
      <c r="A1003" s="10"/>
      <c r="B1003" s="10"/>
      <c r="C1003" s="10"/>
      <c r="D1003" s="30"/>
      <c r="E1003" s="30"/>
    </row>
    <row r="1004" spans="1:13" ht="12.75">
      <c r="A1004" s="10"/>
      <c r="B1004" s="10"/>
      <c r="C1004" s="10"/>
      <c r="D1004" s="30"/>
      <c r="E1004" s="30"/>
      <c r="H1004" s="420"/>
      <c r="I1004" s="420"/>
      <c r="J1004" s="420"/>
      <c r="L1004" s="420"/>
      <c r="M1004" s="420"/>
    </row>
    <row r="1005" spans="1:13" ht="12.75">
      <c r="A1005" s="10"/>
      <c r="B1005" s="10"/>
      <c r="C1005" s="10"/>
      <c r="D1005" s="30"/>
      <c r="E1005" s="30"/>
    </row>
    <row r="1006" spans="1:13" ht="12.75">
      <c r="A1006" s="10"/>
      <c r="B1006" s="10"/>
      <c r="C1006" s="10"/>
      <c r="D1006" s="30"/>
      <c r="E1006" s="30"/>
    </row>
    <row r="1007" spans="1:13" ht="12.75">
      <c r="A1007" s="10"/>
      <c r="B1007" s="10"/>
      <c r="C1007" s="10"/>
      <c r="D1007" s="30"/>
      <c r="E1007" s="30"/>
    </row>
    <row r="1008" spans="1:13" ht="12.75">
      <c r="A1008" s="10"/>
      <c r="B1008" s="10"/>
      <c r="C1008" s="10"/>
      <c r="D1008" s="30"/>
      <c r="E1008" s="30"/>
    </row>
    <row r="1009" spans="1:13" ht="12.75">
      <c r="A1009" s="10"/>
      <c r="B1009" s="10"/>
      <c r="C1009" s="10"/>
      <c r="D1009" s="30"/>
      <c r="E1009" s="30"/>
    </row>
    <row r="1010" spans="1:13" ht="12.75">
      <c r="A1010" s="10"/>
      <c r="B1010" s="10"/>
      <c r="C1010" s="10"/>
      <c r="D1010" s="30"/>
      <c r="E1010" s="30"/>
    </row>
    <row r="1011" spans="1:13" ht="12.75">
      <c r="A1011" s="10"/>
      <c r="B1011" s="10"/>
      <c r="C1011" s="10"/>
      <c r="D1011" s="30"/>
      <c r="E1011" s="30"/>
    </row>
    <row r="1012" spans="1:13" ht="12.75">
      <c r="A1012" s="10"/>
      <c r="B1012" s="10"/>
      <c r="C1012" s="10"/>
      <c r="D1012" s="30"/>
      <c r="E1012" s="30"/>
    </row>
    <row r="1013" spans="1:13" ht="12.75">
      <c r="A1013" s="10"/>
      <c r="B1013" s="10"/>
      <c r="C1013" s="10"/>
      <c r="D1013" s="30"/>
      <c r="E1013" s="30"/>
    </row>
    <row r="1014" spans="1:13" ht="12.75">
      <c r="A1014" s="10"/>
      <c r="B1014" s="10"/>
      <c r="C1014" s="10"/>
      <c r="D1014" s="30"/>
      <c r="E1014" s="30"/>
    </row>
    <row r="1015" spans="1:13" ht="12.75">
      <c r="A1015" s="10"/>
      <c r="B1015" s="10"/>
      <c r="C1015" s="10"/>
      <c r="D1015" s="30"/>
      <c r="E1015" s="30"/>
      <c r="H1015" s="420"/>
      <c r="I1015" s="420"/>
      <c r="J1015" s="420"/>
      <c r="L1015" s="420"/>
      <c r="M1015" s="420"/>
    </row>
    <row r="1016" spans="1:13" ht="12.75">
      <c r="A1016" s="10"/>
      <c r="B1016" s="10"/>
      <c r="C1016" s="10"/>
      <c r="D1016" s="30"/>
      <c r="E1016" s="30"/>
    </row>
    <row r="1017" spans="1:13" ht="12.75">
      <c r="A1017" s="10"/>
      <c r="B1017" s="10"/>
      <c r="C1017" s="10"/>
      <c r="D1017" s="30"/>
      <c r="E1017" s="30"/>
    </row>
    <row r="1018" spans="1:13" ht="12.75">
      <c r="A1018" s="10"/>
      <c r="B1018" s="10"/>
      <c r="C1018" s="10"/>
      <c r="D1018" s="30"/>
      <c r="E1018" s="30"/>
    </row>
    <row r="1019" spans="1:13" ht="12.75">
      <c r="A1019" s="10"/>
      <c r="B1019" s="10"/>
      <c r="C1019" s="10"/>
      <c r="D1019" s="30"/>
      <c r="E1019" s="30"/>
    </row>
    <row r="1020" spans="1:13" ht="12.75">
      <c r="A1020" s="10"/>
      <c r="B1020" s="10"/>
      <c r="C1020" s="10"/>
      <c r="D1020" s="30"/>
      <c r="E1020" s="30"/>
    </row>
    <row r="1021" spans="1:13" ht="12.75">
      <c r="A1021" s="10"/>
      <c r="B1021" s="10"/>
      <c r="C1021" s="10"/>
      <c r="D1021" s="30"/>
      <c r="E1021" s="30"/>
    </row>
    <row r="1022" spans="1:13" ht="12.75">
      <c r="A1022" s="10"/>
      <c r="B1022" s="10"/>
      <c r="C1022" s="10"/>
      <c r="D1022" s="30"/>
      <c r="E1022" s="30"/>
    </row>
    <row r="1023" spans="1:13" ht="12.75">
      <c r="A1023" s="10"/>
      <c r="B1023" s="10"/>
      <c r="C1023" s="10"/>
      <c r="D1023" s="30"/>
      <c r="E1023" s="30"/>
    </row>
    <row r="1024" spans="1:13" ht="12.75">
      <c r="A1024" s="10"/>
      <c r="B1024" s="10"/>
      <c r="C1024" s="10"/>
      <c r="D1024" s="30"/>
      <c r="E1024" s="30"/>
    </row>
    <row r="1025" spans="1:13" ht="12.75">
      <c r="A1025" s="10"/>
      <c r="B1025" s="10"/>
      <c r="C1025" s="10"/>
      <c r="D1025" s="30"/>
      <c r="E1025" s="30"/>
    </row>
    <row r="1026" spans="1:13" ht="12.75">
      <c r="A1026" s="10"/>
      <c r="B1026" s="10"/>
      <c r="C1026" s="10"/>
      <c r="D1026" s="30"/>
      <c r="E1026" s="30"/>
      <c r="H1026" s="420"/>
      <c r="I1026" s="420"/>
      <c r="J1026" s="420"/>
      <c r="L1026" s="420"/>
      <c r="M1026" s="420"/>
    </row>
    <row r="1027" spans="1:13" ht="12.75">
      <c r="A1027" s="10"/>
      <c r="B1027" s="10"/>
      <c r="C1027" s="10"/>
      <c r="D1027" s="30"/>
      <c r="E1027" s="30"/>
    </row>
    <row r="1028" spans="1:13" ht="12.75">
      <c r="A1028" s="10"/>
      <c r="B1028" s="10"/>
      <c r="C1028" s="10"/>
      <c r="D1028" s="30"/>
      <c r="E1028" s="30"/>
    </row>
    <row r="1029" spans="1:13" ht="12.75">
      <c r="A1029" s="10"/>
      <c r="B1029" s="10"/>
      <c r="C1029" s="10"/>
      <c r="D1029" s="30"/>
      <c r="E1029" s="30"/>
    </row>
    <row r="1030" spans="1:13" ht="12.75">
      <c r="A1030" s="10"/>
      <c r="B1030" s="10"/>
      <c r="C1030" s="10"/>
      <c r="D1030" s="30"/>
      <c r="E1030" s="30"/>
    </row>
    <row r="1031" spans="1:13" ht="12.75">
      <c r="A1031" s="10"/>
      <c r="B1031" s="10"/>
      <c r="C1031" s="10"/>
      <c r="D1031" s="30"/>
      <c r="E1031" s="30"/>
    </row>
    <row r="1032" spans="1:13" ht="12.75">
      <c r="A1032" s="10"/>
      <c r="B1032" s="10"/>
      <c r="C1032" s="10"/>
      <c r="D1032" s="30"/>
      <c r="E1032" s="30"/>
    </row>
    <row r="1033" spans="1:13" ht="12.75">
      <c r="A1033" s="10"/>
      <c r="B1033" s="10"/>
      <c r="C1033" s="10"/>
      <c r="D1033" s="30"/>
      <c r="E1033" s="30"/>
    </row>
    <row r="1034" spans="1:13" ht="12.75">
      <c r="A1034" s="10"/>
      <c r="B1034" s="10"/>
      <c r="C1034" s="10"/>
      <c r="D1034" s="30"/>
      <c r="E1034" s="30"/>
    </row>
    <row r="1035" spans="1:13" ht="12.75">
      <c r="A1035" s="10"/>
      <c r="B1035" s="10"/>
      <c r="C1035" s="10"/>
      <c r="D1035" s="30"/>
      <c r="E1035" s="30"/>
    </row>
    <row r="1036" spans="1:13" ht="12.75">
      <c r="A1036" s="10"/>
      <c r="B1036" s="10"/>
      <c r="C1036" s="10"/>
      <c r="D1036" s="30"/>
      <c r="E1036" s="30"/>
    </row>
    <row r="1037" spans="1:13" ht="12.75">
      <c r="A1037" s="10"/>
      <c r="B1037" s="10"/>
      <c r="C1037" s="10"/>
      <c r="D1037" s="30"/>
      <c r="E1037" s="30"/>
      <c r="H1037" s="420"/>
      <c r="I1037" s="420"/>
      <c r="J1037" s="420"/>
      <c r="L1037" s="420"/>
      <c r="M1037" s="420"/>
    </row>
    <row r="1038" spans="1:13" ht="12.75">
      <c r="A1038" s="10"/>
      <c r="B1038" s="10"/>
      <c r="C1038" s="10"/>
      <c r="D1038" s="30"/>
      <c r="E1038" s="30"/>
    </row>
    <row r="1039" spans="1:13" ht="12.75">
      <c r="A1039" s="10"/>
      <c r="B1039" s="10"/>
      <c r="C1039" s="10"/>
      <c r="D1039" s="30"/>
      <c r="E1039" s="30"/>
    </row>
    <row r="1040" spans="1:13" ht="12.75">
      <c r="A1040" s="10"/>
      <c r="B1040" s="10"/>
      <c r="C1040" s="10"/>
      <c r="D1040" s="30"/>
      <c r="E1040" s="30"/>
    </row>
    <row r="1041" spans="1:13" ht="12.75">
      <c r="A1041" s="10"/>
      <c r="B1041" s="10"/>
      <c r="C1041" s="10"/>
      <c r="D1041" s="30"/>
      <c r="E1041" s="30"/>
    </row>
    <row r="1042" spans="1:13" ht="12.75">
      <c r="A1042" s="10"/>
      <c r="B1042" s="10"/>
      <c r="C1042" s="10"/>
      <c r="D1042" s="30"/>
      <c r="E1042" s="30"/>
    </row>
    <row r="1043" spans="1:13" ht="12.75">
      <c r="A1043" s="10"/>
      <c r="B1043" s="10"/>
      <c r="C1043" s="10"/>
      <c r="D1043" s="30"/>
      <c r="E1043" s="30"/>
    </row>
    <row r="1044" spans="1:13" ht="12.75">
      <c r="A1044" s="10"/>
      <c r="B1044" s="10"/>
      <c r="C1044" s="10"/>
      <c r="D1044" s="30"/>
      <c r="E1044" s="30"/>
    </row>
    <row r="1045" spans="1:13" ht="12.75">
      <c r="A1045" s="10"/>
      <c r="B1045" s="10"/>
      <c r="C1045" s="10"/>
      <c r="D1045" s="30"/>
      <c r="E1045" s="30"/>
    </row>
    <row r="1046" spans="1:13" ht="12.75">
      <c r="A1046" s="10"/>
      <c r="B1046" s="10"/>
      <c r="C1046" s="10"/>
      <c r="D1046" s="30"/>
      <c r="E1046" s="30"/>
    </row>
    <row r="1047" spans="1:13" ht="12.75">
      <c r="A1047" s="10"/>
      <c r="B1047" s="10"/>
      <c r="C1047" s="10"/>
      <c r="D1047" s="30"/>
      <c r="E1047" s="30"/>
    </row>
    <row r="1048" spans="1:13" ht="12.75">
      <c r="A1048" s="10"/>
      <c r="B1048" s="10"/>
      <c r="C1048" s="10"/>
      <c r="D1048" s="30"/>
      <c r="E1048" s="30"/>
      <c r="H1048" s="420"/>
      <c r="I1048" s="420"/>
      <c r="J1048" s="420"/>
      <c r="L1048" s="420"/>
      <c r="M1048" s="420"/>
    </row>
    <row r="1049" spans="1:13" ht="12.75">
      <c r="A1049" s="10"/>
      <c r="B1049" s="10"/>
      <c r="C1049" s="10"/>
      <c r="D1049" s="30"/>
      <c r="E1049" s="30"/>
    </row>
    <row r="1050" spans="1:13" ht="12.75">
      <c r="A1050" s="10"/>
      <c r="B1050" s="10"/>
      <c r="C1050" s="10"/>
      <c r="D1050" s="30"/>
      <c r="E1050" s="30"/>
    </row>
    <row r="1051" spans="1:13" ht="12.75">
      <c r="A1051" s="10"/>
      <c r="B1051" s="10"/>
      <c r="C1051" s="10"/>
      <c r="D1051" s="30"/>
      <c r="E1051" s="30"/>
    </row>
    <row r="1052" spans="1:13" ht="12.75">
      <c r="A1052" s="10"/>
      <c r="B1052" s="10"/>
      <c r="C1052" s="10"/>
      <c r="D1052" s="30"/>
      <c r="E1052" s="30"/>
    </row>
    <row r="1053" spans="1:13" ht="12.75">
      <c r="A1053" s="10"/>
      <c r="B1053" s="10"/>
      <c r="C1053" s="10"/>
      <c r="D1053" s="30"/>
      <c r="E1053" s="30"/>
    </row>
    <row r="1054" spans="1:13" ht="12.75">
      <c r="A1054" s="10"/>
      <c r="B1054" s="10"/>
      <c r="C1054" s="10"/>
      <c r="D1054" s="30"/>
      <c r="E1054" s="30"/>
    </row>
    <row r="1055" spans="1:13" ht="12.75">
      <c r="A1055" s="10"/>
      <c r="B1055" s="10"/>
      <c r="C1055" s="10"/>
      <c r="D1055" s="30"/>
      <c r="E1055" s="30"/>
    </row>
    <row r="1056" spans="1:13" ht="12.75">
      <c r="A1056" s="10"/>
      <c r="B1056" s="10"/>
      <c r="C1056" s="10"/>
      <c r="D1056" s="30"/>
      <c r="E1056" s="30"/>
    </row>
    <row r="1057" spans="1:13" ht="12.75">
      <c r="A1057" s="10"/>
      <c r="B1057" s="10"/>
      <c r="C1057" s="10"/>
      <c r="D1057" s="30"/>
      <c r="E1057" s="30"/>
    </row>
    <row r="1058" spans="1:13" ht="12.75">
      <c r="A1058" s="10"/>
      <c r="B1058" s="10"/>
      <c r="C1058" s="10"/>
      <c r="D1058" s="30"/>
      <c r="E1058" s="30"/>
    </row>
    <row r="1059" spans="1:13" ht="12.75">
      <c r="A1059" s="10"/>
      <c r="B1059" s="10"/>
      <c r="C1059" s="10"/>
      <c r="D1059" s="30"/>
      <c r="E1059" s="30"/>
      <c r="H1059" s="420"/>
      <c r="I1059" s="420"/>
      <c r="J1059" s="420"/>
      <c r="L1059" s="420"/>
      <c r="M1059" s="420"/>
    </row>
    <row r="1060" spans="1:13" ht="12.75">
      <c r="A1060" s="10"/>
      <c r="B1060" s="10"/>
      <c r="C1060" s="10"/>
      <c r="D1060" s="30"/>
      <c r="E1060" s="30"/>
    </row>
    <row r="1061" spans="1:13" ht="12.75">
      <c r="A1061" s="10"/>
      <c r="B1061" s="10"/>
      <c r="C1061" s="10"/>
      <c r="D1061" s="30"/>
      <c r="E1061" s="30"/>
    </row>
    <row r="1062" spans="1:13" ht="12.75">
      <c r="A1062" s="10"/>
      <c r="B1062" s="10"/>
      <c r="C1062" s="10"/>
      <c r="D1062" s="30"/>
      <c r="E1062" s="30"/>
    </row>
    <row r="1063" spans="1:13" ht="12.75">
      <c r="A1063" s="10"/>
      <c r="B1063" s="10"/>
      <c r="C1063" s="10"/>
      <c r="D1063" s="30"/>
      <c r="E1063" s="30"/>
    </row>
    <row r="1064" spans="1:13" ht="12.75">
      <c r="A1064" s="10"/>
      <c r="B1064" s="10"/>
      <c r="C1064" s="10"/>
      <c r="D1064" s="30"/>
      <c r="E1064" s="30"/>
    </row>
    <row r="1065" spans="1:13" ht="12.75">
      <c r="A1065" s="10"/>
      <c r="B1065" s="10"/>
      <c r="C1065" s="10"/>
      <c r="D1065" s="30"/>
      <c r="E1065" s="30"/>
    </row>
    <row r="1066" spans="1:13" ht="12.75">
      <c r="A1066" s="10"/>
      <c r="B1066" s="10"/>
      <c r="C1066" s="10"/>
      <c r="D1066" s="30"/>
      <c r="E1066" s="30"/>
    </row>
    <row r="1067" spans="1:13" ht="12.75">
      <c r="A1067" s="10"/>
      <c r="B1067" s="10"/>
      <c r="C1067" s="10"/>
      <c r="D1067" s="30"/>
      <c r="E1067" s="30"/>
    </row>
    <row r="1068" spans="1:13" ht="12.75">
      <c r="A1068" s="10"/>
      <c r="B1068" s="10"/>
      <c r="C1068" s="10"/>
      <c r="D1068" s="30"/>
      <c r="E1068" s="30"/>
    </row>
    <row r="1069" spans="1:13" ht="12.75">
      <c r="A1069" s="10"/>
      <c r="B1069" s="10"/>
      <c r="C1069" s="10"/>
      <c r="D1069" s="30"/>
      <c r="E1069" s="30"/>
    </row>
    <row r="1070" spans="1:13" ht="12.75">
      <c r="A1070" s="10"/>
      <c r="B1070" s="10"/>
      <c r="C1070" s="10"/>
      <c r="D1070" s="30"/>
      <c r="E1070" s="30"/>
      <c r="H1070" s="420"/>
      <c r="I1070" s="420"/>
      <c r="J1070" s="420"/>
      <c r="L1070" s="420"/>
      <c r="M1070" s="420"/>
    </row>
    <row r="1071" spans="1:13" ht="12.75">
      <c r="A1071" s="10"/>
      <c r="B1071" s="10"/>
      <c r="C1071" s="10"/>
      <c r="D1071" s="30"/>
      <c r="E1071" s="30"/>
    </row>
    <row r="1072" spans="1:13" ht="12.75">
      <c r="A1072" s="10"/>
      <c r="B1072" s="10"/>
      <c r="C1072" s="10"/>
      <c r="D1072" s="30"/>
      <c r="E1072" s="30"/>
    </row>
    <row r="1073" spans="1:13" ht="12.75">
      <c r="A1073" s="10"/>
      <c r="B1073" s="10"/>
      <c r="C1073" s="10"/>
      <c r="D1073" s="30"/>
      <c r="E1073" s="30"/>
    </row>
    <row r="1074" spans="1:13" ht="12.75">
      <c r="A1074" s="10"/>
      <c r="B1074" s="10"/>
      <c r="C1074" s="10"/>
      <c r="D1074" s="30"/>
      <c r="E1074" s="30"/>
    </row>
    <row r="1075" spans="1:13" ht="12.75">
      <c r="A1075" s="10"/>
      <c r="B1075" s="10"/>
      <c r="C1075" s="10"/>
      <c r="D1075" s="30"/>
      <c r="E1075" s="30"/>
    </row>
    <row r="1076" spans="1:13" ht="12.75">
      <c r="A1076" s="10"/>
      <c r="B1076" s="10"/>
      <c r="C1076" s="10"/>
      <c r="D1076" s="30"/>
      <c r="E1076" s="30"/>
    </row>
    <row r="1077" spans="1:13" ht="12.75">
      <c r="A1077" s="10"/>
      <c r="B1077" s="10"/>
      <c r="C1077" s="10"/>
      <c r="D1077" s="30"/>
      <c r="E1077" s="30"/>
    </row>
    <row r="1078" spans="1:13" ht="12.75">
      <c r="A1078" s="10"/>
      <c r="B1078" s="10"/>
      <c r="C1078" s="10"/>
      <c r="D1078" s="30"/>
      <c r="E1078" s="30"/>
    </row>
    <row r="1079" spans="1:13" ht="12.75">
      <c r="A1079" s="10"/>
      <c r="B1079" s="10"/>
      <c r="C1079" s="10"/>
      <c r="D1079" s="30"/>
      <c r="E1079" s="30"/>
    </row>
    <row r="1080" spans="1:13" ht="12.75">
      <c r="A1080" s="10"/>
      <c r="B1080" s="10"/>
      <c r="C1080" s="10"/>
      <c r="D1080" s="30"/>
      <c r="E1080" s="30"/>
    </row>
    <row r="1081" spans="1:13" ht="12.75">
      <c r="A1081" s="10"/>
      <c r="B1081" s="10"/>
      <c r="C1081" s="10"/>
      <c r="D1081" s="30"/>
      <c r="E1081" s="30"/>
      <c r="H1081" s="420"/>
      <c r="I1081" s="420"/>
      <c r="J1081" s="420"/>
      <c r="L1081" s="420"/>
      <c r="M1081" s="420"/>
    </row>
    <row r="1082" spans="1:13" ht="12.75">
      <c r="A1082" s="10"/>
      <c r="B1082" s="10"/>
      <c r="C1082" s="10"/>
      <c r="D1082" s="30"/>
      <c r="E1082" s="30"/>
    </row>
    <row r="1083" spans="1:13" ht="12.75">
      <c r="A1083" s="10"/>
      <c r="B1083" s="10"/>
      <c r="C1083" s="10"/>
      <c r="D1083" s="30"/>
      <c r="E1083" s="30"/>
    </row>
    <row r="1084" spans="1:13" ht="12.75">
      <c r="A1084" s="10"/>
      <c r="B1084" s="10"/>
      <c r="C1084" s="10"/>
      <c r="D1084" s="30"/>
      <c r="E1084" s="30"/>
    </row>
    <row r="1085" spans="1:13" ht="12.75">
      <c r="A1085" s="10"/>
      <c r="B1085" s="10"/>
      <c r="C1085" s="10"/>
      <c r="D1085" s="30"/>
      <c r="E1085" s="30"/>
    </row>
    <row r="1086" spans="1:13" ht="12.75">
      <c r="A1086" s="10"/>
      <c r="B1086" s="10"/>
      <c r="C1086" s="10"/>
      <c r="D1086" s="30"/>
      <c r="E1086" s="30"/>
    </row>
    <row r="1087" spans="1:13" ht="12.75">
      <c r="A1087" s="10"/>
      <c r="B1087" s="10"/>
      <c r="C1087" s="10"/>
      <c r="D1087" s="30"/>
      <c r="E1087" s="30"/>
    </row>
    <row r="1088" spans="1:13" ht="12.75">
      <c r="A1088" s="10"/>
      <c r="B1088" s="10"/>
      <c r="C1088" s="10"/>
      <c r="D1088" s="30"/>
      <c r="E1088" s="30"/>
    </row>
    <row r="1089" spans="1:13" ht="12.75">
      <c r="A1089" s="10"/>
      <c r="B1089" s="10"/>
      <c r="C1089" s="10"/>
      <c r="D1089" s="30"/>
      <c r="E1089" s="30"/>
    </row>
    <row r="1090" spans="1:13" ht="12.75">
      <c r="A1090" s="10"/>
      <c r="B1090" s="10"/>
      <c r="C1090" s="10"/>
      <c r="D1090" s="30"/>
      <c r="E1090" s="30"/>
    </row>
    <row r="1091" spans="1:13" ht="12.75">
      <c r="A1091" s="10"/>
      <c r="B1091" s="10"/>
      <c r="C1091" s="10"/>
      <c r="D1091" s="30"/>
      <c r="E1091" s="30"/>
    </row>
    <row r="1092" spans="1:13" ht="12.75">
      <c r="A1092" s="10"/>
      <c r="B1092" s="10"/>
      <c r="C1092" s="10"/>
      <c r="D1092" s="30"/>
      <c r="E1092" s="30"/>
      <c r="H1092" s="420"/>
      <c r="I1092" s="420"/>
      <c r="J1092" s="420"/>
      <c r="L1092" s="420"/>
      <c r="M1092" s="420"/>
    </row>
    <row r="1093" spans="1:13" ht="12.75">
      <c r="A1093" s="10"/>
      <c r="B1093" s="10"/>
      <c r="C1093" s="10"/>
      <c r="D1093" s="30"/>
      <c r="E1093" s="30"/>
    </row>
    <row r="1094" spans="1:13" ht="12.75">
      <c r="A1094" s="10"/>
      <c r="B1094" s="10"/>
      <c r="C1094" s="10"/>
      <c r="D1094" s="30"/>
      <c r="E1094" s="30"/>
    </row>
    <row r="1095" spans="1:13" ht="12.75">
      <c r="A1095" s="10"/>
      <c r="B1095" s="10"/>
      <c r="C1095" s="10"/>
      <c r="D1095" s="30"/>
      <c r="E1095" s="30"/>
    </row>
    <row r="1096" spans="1:13" ht="12.75">
      <c r="A1096" s="10"/>
      <c r="B1096" s="10"/>
      <c r="C1096" s="10"/>
      <c r="D1096" s="30"/>
      <c r="E1096" s="30"/>
    </row>
    <row r="1097" spans="1:13" ht="12.75">
      <c r="A1097" s="10"/>
      <c r="B1097" s="10"/>
      <c r="C1097" s="10"/>
      <c r="D1097" s="30"/>
      <c r="E1097" s="30"/>
    </row>
    <row r="1098" spans="1:13" ht="12.75">
      <c r="A1098" s="10"/>
      <c r="B1098" s="10"/>
      <c r="C1098" s="10"/>
      <c r="D1098" s="30"/>
      <c r="E1098" s="30"/>
    </row>
    <row r="1099" spans="1:13" ht="12.75">
      <c r="A1099" s="10"/>
      <c r="B1099" s="10"/>
      <c r="C1099" s="10"/>
      <c r="D1099" s="30"/>
      <c r="E1099" s="30"/>
    </row>
    <row r="1100" spans="1:13" ht="12.75">
      <c r="A1100" s="10"/>
      <c r="B1100" s="10"/>
      <c r="C1100" s="10"/>
      <c r="D1100" s="30"/>
      <c r="E1100" s="30"/>
    </row>
    <row r="1101" spans="1:13" ht="12.75">
      <c r="A1101" s="10"/>
      <c r="B1101" s="10"/>
      <c r="C1101" s="10"/>
      <c r="D1101" s="30"/>
      <c r="E1101" s="30"/>
    </row>
    <row r="1102" spans="1:13" ht="12.75">
      <c r="A1102" s="10"/>
      <c r="B1102" s="10"/>
      <c r="C1102" s="10"/>
      <c r="D1102" s="30"/>
      <c r="E1102" s="30"/>
    </row>
    <row r="1103" spans="1:13" ht="12.75">
      <c r="A1103" s="10"/>
      <c r="B1103" s="10"/>
      <c r="C1103" s="10"/>
      <c r="D1103" s="30"/>
      <c r="E1103" s="30"/>
      <c r="H1103" s="420"/>
      <c r="I1103" s="420"/>
      <c r="J1103" s="420"/>
      <c r="L1103" s="420"/>
      <c r="M1103" s="420"/>
    </row>
    <row r="1104" spans="1:13" ht="12.75">
      <c r="A1104" s="10"/>
      <c r="B1104" s="10"/>
      <c r="C1104" s="10"/>
      <c r="D1104" s="30"/>
      <c r="E1104" s="30"/>
    </row>
    <row r="1105" spans="1:13" ht="12.75">
      <c r="A1105" s="10"/>
      <c r="B1105" s="10"/>
      <c r="C1105" s="10"/>
      <c r="D1105" s="30"/>
      <c r="E1105" s="30"/>
    </row>
    <row r="1106" spans="1:13" ht="12.75">
      <c r="A1106" s="10"/>
      <c r="B1106" s="10"/>
      <c r="C1106" s="10"/>
      <c r="D1106" s="30"/>
      <c r="E1106" s="30"/>
    </row>
    <row r="1107" spans="1:13" ht="12.75">
      <c r="A1107" s="10"/>
      <c r="B1107" s="10"/>
      <c r="C1107" s="10"/>
      <c r="D1107" s="30"/>
      <c r="E1107" s="30"/>
    </row>
    <row r="1108" spans="1:13" ht="12.75">
      <c r="A1108" s="10"/>
      <c r="B1108" s="10"/>
      <c r="C1108" s="10"/>
      <c r="D1108" s="30"/>
      <c r="E1108" s="30"/>
    </row>
    <row r="1109" spans="1:13" ht="12.75">
      <c r="A1109" s="10"/>
      <c r="B1109" s="10"/>
      <c r="C1109" s="10"/>
      <c r="D1109" s="30"/>
      <c r="E1109" s="30"/>
    </row>
    <row r="1110" spans="1:13" ht="12.75">
      <c r="A1110" s="10"/>
      <c r="B1110" s="10"/>
      <c r="C1110" s="10"/>
      <c r="D1110" s="30"/>
      <c r="E1110" s="30"/>
    </row>
    <row r="1111" spans="1:13" ht="12.75">
      <c r="A1111" s="10"/>
      <c r="B1111" s="10"/>
      <c r="C1111" s="10"/>
      <c r="D1111" s="30"/>
      <c r="E1111" s="30"/>
    </row>
    <row r="1112" spans="1:13" ht="12.75">
      <c r="A1112" s="10"/>
      <c r="B1112" s="10"/>
      <c r="C1112" s="10"/>
      <c r="D1112" s="30"/>
      <c r="E1112" s="30"/>
    </row>
    <row r="1113" spans="1:13" ht="12.75">
      <c r="A1113" s="10"/>
      <c r="B1113" s="10"/>
      <c r="C1113" s="10"/>
      <c r="D1113" s="30"/>
      <c r="E1113" s="30"/>
    </row>
    <row r="1114" spans="1:13" ht="12.75">
      <c r="A1114" s="10"/>
      <c r="B1114" s="10"/>
      <c r="C1114" s="10"/>
      <c r="D1114" s="30"/>
      <c r="E1114" s="30"/>
      <c r="H1114" s="420"/>
      <c r="I1114" s="420"/>
      <c r="J1114" s="420"/>
      <c r="L1114" s="420"/>
      <c r="M1114" s="420"/>
    </row>
    <row r="1115" spans="1:13" ht="12.75">
      <c r="A1115" s="10"/>
      <c r="B1115" s="10"/>
      <c r="C1115" s="10"/>
      <c r="D1115" s="30"/>
      <c r="E1115" s="30"/>
    </row>
    <row r="1116" spans="1:13" ht="12.75">
      <c r="A1116" s="10"/>
      <c r="B1116" s="10"/>
      <c r="C1116" s="10"/>
      <c r="D1116" s="30"/>
      <c r="E1116" s="30"/>
    </row>
    <row r="1117" spans="1:13" ht="12.75">
      <c r="A1117" s="10"/>
      <c r="B1117" s="10"/>
      <c r="C1117" s="10"/>
      <c r="D1117" s="10"/>
    </row>
    <row r="1118" spans="1:13" ht="12.75">
      <c r="A1118" s="10"/>
      <c r="B1118" s="10"/>
      <c r="C1118" s="10"/>
      <c r="D1118" s="10"/>
    </row>
    <row r="1119" spans="1:13" ht="12.75">
      <c r="A1119" s="10"/>
      <c r="B1119" s="10"/>
      <c r="C1119" s="10"/>
      <c r="D1119" s="10"/>
    </row>
    <row r="1120" spans="1:13" ht="12.75">
      <c r="A1120" s="10"/>
      <c r="B1120" s="10"/>
      <c r="C1120" s="10"/>
      <c r="D1120" s="10"/>
    </row>
    <row r="1121" spans="1:13" ht="12.75">
      <c r="A1121" s="10"/>
      <c r="B1121" s="10"/>
      <c r="C1121" s="10"/>
      <c r="D1121" s="10"/>
    </row>
    <row r="1122" spans="1:13" ht="12.75">
      <c r="A1122" s="10"/>
      <c r="B1122" s="10"/>
      <c r="C1122" s="10"/>
      <c r="D1122" s="10"/>
    </row>
    <row r="1123" spans="1:13" ht="12.75">
      <c r="A1123" s="10"/>
      <c r="B1123" s="10"/>
      <c r="C1123" s="10"/>
      <c r="D1123" s="10"/>
    </row>
    <row r="1124" spans="1:13" ht="12.75">
      <c r="A1124" s="10"/>
      <c r="B1124" s="10"/>
      <c r="C1124" s="10"/>
      <c r="D1124" s="10"/>
    </row>
    <row r="1125" spans="1:13" ht="12.75">
      <c r="A1125" s="10"/>
      <c r="B1125" s="10"/>
      <c r="C1125" s="10"/>
      <c r="D1125" s="10"/>
      <c r="H1125" s="420"/>
      <c r="I1125" s="420"/>
      <c r="J1125" s="420"/>
      <c r="L1125" s="420"/>
      <c r="M1125" s="420"/>
    </row>
    <row r="1126" spans="1:13" ht="12.75">
      <c r="A1126" s="10"/>
      <c r="B1126" s="10"/>
      <c r="C1126" s="10"/>
      <c r="D1126" s="10"/>
    </row>
    <row r="1127" spans="1:13" ht="12.75">
      <c r="A1127" s="10"/>
      <c r="B1127" s="10"/>
      <c r="C1127" s="10"/>
      <c r="D1127" s="10"/>
    </row>
    <row r="1128" spans="1:13" ht="12.75">
      <c r="A1128" s="10"/>
      <c r="B1128" s="10"/>
      <c r="C1128" s="10"/>
      <c r="D1128" s="10"/>
    </row>
    <row r="1129" spans="1:13" ht="12.75">
      <c r="A1129" s="10"/>
      <c r="B1129" s="10"/>
      <c r="C1129" s="10"/>
      <c r="D1129" s="10"/>
    </row>
    <row r="1130" spans="1:13" ht="12.75">
      <c r="A1130" s="10"/>
      <c r="B1130" s="10"/>
      <c r="C1130" s="10"/>
      <c r="D1130" s="10"/>
    </row>
    <row r="1131" spans="1:13" ht="12.75">
      <c r="A1131" s="10"/>
      <c r="B1131" s="10"/>
      <c r="C1131" s="10"/>
      <c r="D1131" s="10"/>
    </row>
    <row r="1132" spans="1:13" ht="12.75">
      <c r="A1132" s="10"/>
      <c r="B1132" s="10"/>
      <c r="C1132" s="10"/>
      <c r="D1132" s="10"/>
    </row>
    <row r="1133" spans="1:13" ht="12.75">
      <c r="A1133" s="10"/>
      <c r="B1133" s="10"/>
      <c r="C1133" s="10"/>
      <c r="D1133" s="10"/>
    </row>
    <row r="1134" spans="1:13" ht="12.75">
      <c r="A1134" s="10"/>
      <c r="B1134" s="10"/>
      <c r="C1134" s="10"/>
      <c r="D1134" s="10"/>
    </row>
    <row r="1135" spans="1:13" ht="12.75">
      <c r="A1135" s="10"/>
      <c r="B1135" s="10"/>
      <c r="C1135" s="10"/>
      <c r="D1135" s="10"/>
    </row>
    <row r="1136" spans="1:13" ht="12.75">
      <c r="A1136" s="10"/>
      <c r="B1136" s="10"/>
      <c r="C1136" s="10"/>
      <c r="D1136" s="10"/>
      <c r="H1136" s="420"/>
      <c r="I1136" s="420"/>
      <c r="J1136" s="420"/>
      <c r="L1136" s="420"/>
      <c r="M1136" s="420"/>
    </row>
    <row r="1137" spans="1:13" ht="12.75">
      <c r="A1137" s="10"/>
      <c r="B1137" s="10"/>
      <c r="C1137" s="10"/>
      <c r="D1137" s="10"/>
    </row>
    <row r="1138" spans="1:13" ht="12.75">
      <c r="A1138" s="10"/>
      <c r="B1138" s="10"/>
      <c r="C1138" s="10"/>
      <c r="D1138" s="10"/>
    </row>
    <row r="1139" spans="1:13" ht="12.75">
      <c r="A1139" s="10"/>
      <c r="B1139" s="10"/>
      <c r="C1139" s="10"/>
      <c r="D1139" s="10"/>
    </row>
    <row r="1140" spans="1:13" ht="12.75">
      <c r="A1140" s="10"/>
      <c r="B1140" s="10"/>
      <c r="C1140" s="10"/>
      <c r="D1140" s="10"/>
    </row>
    <row r="1141" spans="1:13" ht="12.75">
      <c r="A1141" s="10"/>
      <c r="B1141" s="10"/>
      <c r="C1141" s="10"/>
      <c r="D1141" s="10"/>
    </row>
    <row r="1142" spans="1:13" ht="12.75">
      <c r="A1142" s="10"/>
      <c r="B1142" s="10"/>
      <c r="C1142" s="10"/>
      <c r="D1142" s="10"/>
    </row>
    <row r="1143" spans="1:13" ht="12.75">
      <c r="A1143" s="10"/>
      <c r="B1143" s="10"/>
      <c r="C1143" s="10"/>
      <c r="D1143" s="10"/>
    </row>
    <row r="1144" spans="1:13" ht="12.75">
      <c r="A1144" s="10"/>
      <c r="B1144" s="10"/>
      <c r="C1144" s="10"/>
      <c r="D1144" s="10"/>
    </row>
    <row r="1145" spans="1:13" ht="12.75">
      <c r="A1145" s="10"/>
      <c r="B1145" s="10"/>
      <c r="C1145" s="10"/>
      <c r="D1145" s="10"/>
    </row>
    <row r="1146" spans="1:13" ht="12.75">
      <c r="A1146" s="10"/>
      <c r="B1146" s="10"/>
      <c r="C1146" s="10"/>
      <c r="D1146" s="10"/>
    </row>
    <row r="1147" spans="1:13" ht="12.75">
      <c r="A1147" s="10"/>
      <c r="B1147" s="10"/>
      <c r="C1147" s="10"/>
      <c r="D1147" s="10"/>
      <c r="H1147" s="420"/>
      <c r="I1147" s="420"/>
      <c r="J1147" s="420"/>
      <c r="L1147" s="420"/>
      <c r="M1147" s="420"/>
    </row>
    <row r="1148" spans="1:13" ht="12.75">
      <c r="A1148" s="10"/>
      <c r="B1148" s="10"/>
      <c r="C1148" s="10"/>
      <c r="D1148" s="10"/>
    </row>
    <row r="1149" spans="1:13" ht="12.75">
      <c r="A1149" s="10"/>
      <c r="B1149" s="10"/>
      <c r="C1149" s="10"/>
      <c r="D1149" s="10"/>
    </row>
    <row r="1150" spans="1:13" ht="12.75">
      <c r="A1150" s="10"/>
      <c r="B1150" s="10"/>
      <c r="C1150" s="10"/>
      <c r="D1150" s="10"/>
    </row>
    <row r="1151" spans="1:13" ht="12.75">
      <c r="A1151" s="10"/>
      <c r="B1151" s="10"/>
      <c r="C1151" s="10"/>
      <c r="D1151" s="10"/>
    </row>
    <row r="1152" spans="1:13" ht="12.75">
      <c r="A1152" s="10"/>
      <c r="B1152" s="10"/>
      <c r="C1152" s="10"/>
      <c r="D1152" s="10"/>
    </row>
    <row r="1153" spans="1:13" ht="12.75">
      <c r="A1153" s="10"/>
      <c r="B1153" s="10"/>
      <c r="C1153" s="10"/>
      <c r="D1153" s="10"/>
    </row>
    <row r="1154" spans="1:13" ht="12.75">
      <c r="A1154" s="10"/>
      <c r="B1154" s="10"/>
      <c r="C1154" s="10"/>
      <c r="D1154" s="10"/>
    </row>
    <row r="1155" spans="1:13" ht="12.75">
      <c r="A1155" s="10"/>
      <c r="B1155" s="10"/>
      <c r="C1155" s="10"/>
      <c r="D1155" s="10"/>
    </row>
    <row r="1156" spans="1:13" ht="12.75">
      <c r="A1156" s="10"/>
      <c r="B1156" s="10"/>
      <c r="C1156" s="10"/>
      <c r="D1156" s="10"/>
    </row>
    <row r="1157" spans="1:13" ht="12.75">
      <c r="A1157" s="10"/>
      <c r="B1157" s="10"/>
      <c r="C1157" s="10"/>
      <c r="D1157" s="10"/>
    </row>
    <row r="1158" spans="1:13" ht="12.75">
      <c r="A1158" s="10"/>
      <c r="B1158" s="10"/>
      <c r="C1158" s="10"/>
      <c r="D1158" s="10"/>
      <c r="H1158" s="420"/>
      <c r="I1158" s="420"/>
      <c r="J1158" s="420"/>
      <c r="L1158" s="420"/>
      <c r="M1158" s="420"/>
    </row>
    <row r="1159" spans="1:13" ht="12.75">
      <c r="A1159" s="10"/>
      <c r="B1159" s="10"/>
      <c r="C1159" s="10"/>
      <c r="D1159" s="10"/>
    </row>
    <row r="1160" spans="1:13" ht="12.75">
      <c r="A1160" s="10"/>
      <c r="B1160" s="10"/>
      <c r="C1160" s="10"/>
      <c r="D1160" s="10"/>
    </row>
    <row r="1161" spans="1:13" ht="12.75">
      <c r="A1161" s="10"/>
      <c r="B1161" s="10"/>
      <c r="C1161" s="10"/>
      <c r="D1161" s="10"/>
    </row>
    <row r="1162" spans="1:13" ht="12.75">
      <c r="A1162" s="10"/>
      <c r="B1162" s="10"/>
      <c r="C1162" s="10"/>
      <c r="D1162" s="10"/>
    </row>
    <row r="1163" spans="1:13" ht="12.75">
      <c r="A1163" s="10"/>
      <c r="B1163" s="10"/>
      <c r="C1163" s="10"/>
      <c r="D1163" s="10"/>
    </row>
    <row r="1164" spans="1:13" ht="12.75">
      <c r="A1164" s="10"/>
      <c r="B1164" s="10"/>
      <c r="C1164" s="10"/>
      <c r="D1164" s="10"/>
    </row>
    <row r="1165" spans="1:13" ht="12.75">
      <c r="A1165" s="10"/>
      <c r="B1165" s="10"/>
      <c r="C1165" s="10"/>
      <c r="D1165" s="10"/>
    </row>
    <row r="1166" spans="1:13" ht="12.75">
      <c r="A1166" s="10"/>
      <c r="B1166" s="10"/>
      <c r="C1166" s="10"/>
      <c r="D1166" s="10"/>
    </row>
    <row r="1167" spans="1:13" ht="12.75">
      <c r="A1167" s="10"/>
      <c r="B1167" s="10"/>
      <c r="C1167" s="10"/>
      <c r="D1167" s="10"/>
    </row>
    <row r="1168" spans="1:13" ht="12.75">
      <c r="A1168" s="10"/>
      <c r="B1168" s="10"/>
      <c r="C1168" s="10"/>
      <c r="D1168" s="10"/>
    </row>
    <row r="1169" spans="1:13" ht="12.75">
      <c r="A1169" s="10"/>
      <c r="B1169" s="10"/>
      <c r="C1169" s="10"/>
      <c r="D1169" s="10"/>
      <c r="H1169" s="420"/>
      <c r="I1169" s="420"/>
      <c r="J1169" s="420"/>
      <c r="L1169" s="420"/>
      <c r="M1169" s="420"/>
    </row>
    <row r="1170" spans="1:13" ht="12.75">
      <c r="A1170" s="10"/>
      <c r="B1170" s="10"/>
      <c r="C1170" s="10"/>
      <c r="D1170" s="10"/>
    </row>
    <row r="1171" spans="1:13" ht="12.75">
      <c r="A1171" s="10"/>
      <c r="B1171" s="10"/>
      <c r="C1171" s="10"/>
      <c r="D1171" s="10"/>
    </row>
    <row r="1172" spans="1:13" ht="12.75">
      <c r="A1172" s="10"/>
      <c r="B1172" s="10"/>
      <c r="C1172" s="10"/>
      <c r="D1172" s="10"/>
    </row>
    <row r="1173" spans="1:13" ht="12.75">
      <c r="A1173" s="10"/>
      <c r="B1173" s="10"/>
      <c r="C1173" s="10"/>
      <c r="D1173" s="10"/>
    </row>
    <row r="1174" spans="1:13" ht="12.75">
      <c r="A1174" s="10"/>
      <c r="B1174" s="10"/>
      <c r="C1174" s="10"/>
      <c r="D1174" s="10"/>
    </row>
    <row r="1175" spans="1:13" ht="12.75">
      <c r="A1175" s="10"/>
      <c r="B1175" s="10"/>
      <c r="C1175" s="10"/>
      <c r="D1175" s="10"/>
    </row>
    <row r="1176" spans="1:13" ht="12.75">
      <c r="A1176" s="10"/>
      <c r="B1176" s="10"/>
      <c r="C1176" s="10"/>
      <c r="D1176" s="10"/>
    </row>
    <row r="1177" spans="1:13" ht="12.75">
      <c r="A1177" s="10"/>
      <c r="B1177" s="10"/>
      <c r="C1177" s="10"/>
      <c r="D1177" s="10"/>
    </row>
    <row r="1178" spans="1:13" ht="12.75">
      <c r="A1178" s="10"/>
      <c r="B1178" s="10"/>
      <c r="C1178" s="10"/>
      <c r="D1178" s="10"/>
    </row>
    <row r="1179" spans="1:13" ht="12.75">
      <c r="A1179" s="10"/>
      <c r="B1179" s="10"/>
      <c r="C1179" s="10"/>
      <c r="D1179" s="10"/>
    </row>
    <row r="1180" spans="1:13" ht="12.75">
      <c r="A1180" s="10"/>
      <c r="B1180" s="10"/>
      <c r="C1180" s="10"/>
      <c r="D1180" s="10"/>
      <c r="H1180" s="420"/>
      <c r="I1180" s="420"/>
      <c r="J1180" s="420"/>
      <c r="L1180" s="420"/>
      <c r="M1180" s="420"/>
    </row>
    <row r="1181" spans="1:13" ht="12.75">
      <c r="A1181" s="10"/>
      <c r="B1181" s="10"/>
      <c r="C1181" s="10"/>
      <c r="D1181" s="10"/>
    </row>
    <row r="1182" spans="1:13" ht="12.75">
      <c r="A1182" s="10"/>
      <c r="B1182" s="10"/>
      <c r="C1182" s="10"/>
      <c r="D1182" s="10"/>
    </row>
    <row r="1183" spans="1:13" ht="12.75">
      <c r="A1183" s="10"/>
      <c r="B1183" s="10"/>
      <c r="C1183" s="10"/>
      <c r="D1183" s="10"/>
    </row>
    <row r="1184" spans="1:13" ht="12.75">
      <c r="A1184" s="10"/>
      <c r="B1184" s="10"/>
      <c r="C1184" s="10"/>
      <c r="D1184" s="10"/>
    </row>
    <row r="1185" spans="1:13" ht="12.75">
      <c r="A1185" s="10"/>
      <c r="B1185" s="10"/>
      <c r="C1185" s="10"/>
      <c r="D1185" s="10"/>
    </row>
    <row r="1186" spans="1:13" ht="12.75">
      <c r="A1186" s="10"/>
      <c r="B1186" s="10"/>
      <c r="C1186" s="10"/>
      <c r="D1186" s="10"/>
    </row>
    <row r="1187" spans="1:13" ht="12.75">
      <c r="A1187" s="10"/>
      <c r="B1187" s="10"/>
      <c r="C1187" s="10"/>
      <c r="D1187" s="10"/>
    </row>
    <row r="1188" spans="1:13" ht="12.75">
      <c r="A1188" s="10"/>
      <c r="B1188" s="10"/>
      <c r="C1188" s="10"/>
      <c r="D1188" s="10"/>
    </row>
    <row r="1189" spans="1:13" ht="12.75">
      <c r="A1189" s="10"/>
      <c r="B1189" s="10"/>
      <c r="C1189" s="10"/>
      <c r="D1189" s="10"/>
    </row>
    <row r="1190" spans="1:13" ht="12.75">
      <c r="A1190" s="10"/>
      <c r="B1190" s="10"/>
      <c r="C1190" s="10"/>
      <c r="D1190" s="10"/>
    </row>
    <row r="1191" spans="1:13" ht="12.75">
      <c r="A1191" s="10"/>
      <c r="B1191" s="10"/>
      <c r="C1191" s="10"/>
      <c r="D1191" s="10"/>
      <c r="H1191" s="420"/>
      <c r="I1191" s="420"/>
      <c r="J1191" s="420"/>
      <c r="L1191" s="420"/>
      <c r="M1191" s="420"/>
    </row>
    <row r="1192" spans="1:13" ht="12.75">
      <c r="A1192" s="10"/>
      <c r="B1192" s="10"/>
      <c r="C1192" s="10"/>
      <c r="D1192" s="10"/>
    </row>
    <row r="1193" spans="1:13" ht="12.75">
      <c r="A1193" s="10"/>
      <c r="B1193" s="10"/>
      <c r="C1193" s="10"/>
      <c r="D1193" s="10"/>
    </row>
    <row r="1194" spans="1:13" ht="12.75">
      <c r="A1194" s="10"/>
      <c r="B1194" s="10"/>
      <c r="C1194" s="10"/>
      <c r="D1194" s="10"/>
    </row>
    <row r="1195" spans="1:13" ht="12.75">
      <c r="A1195" s="10"/>
      <c r="B1195" s="10"/>
      <c r="C1195" s="10"/>
      <c r="D1195" s="10"/>
    </row>
    <row r="1196" spans="1:13" ht="12.75">
      <c r="A1196" s="10"/>
      <c r="B1196" s="10"/>
      <c r="C1196" s="10"/>
      <c r="D1196" s="10"/>
    </row>
    <row r="1197" spans="1:13" ht="12.75">
      <c r="A1197" s="10"/>
      <c r="B1197" s="10"/>
      <c r="C1197" s="10"/>
      <c r="D1197" s="10"/>
    </row>
    <row r="1198" spans="1:13" ht="12.75">
      <c r="A1198" s="10"/>
      <c r="B1198" s="10"/>
      <c r="C1198" s="10"/>
      <c r="D1198" s="10"/>
    </row>
    <row r="1199" spans="1:13" ht="12.75">
      <c r="A1199" s="10"/>
      <c r="B1199" s="10"/>
      <c r="C1199" s="10"/>
      <c r="D1199" s="10"/>
    </row>
    <row r="1200" spans="1:13" ht="12.75">
      <c r="A1200" s="10"/>
      <c r="B1200" s="10"/>
      <c r="C1200" s="10"/>
      <c r="D1200" s="10"/>
    </row>
    <row r="1201" spans="1:13" ht="12.75">
      <c r="A1201" s="10"/>
      <c r="B1201" s="10"/>
      <c r="C1201" s="10"/>
      <c r="D1201" s="10"/>
    </row>
    <row r="1202" spans="1:13" ht="12.75">
      <c r="A1202" s="10"/>
      <c r="B1202" s="10"/>
      <c r="C1202" s="10"/>
      <c r="D1202" s="10"/>
      <c r="H1202" s="420"/>
      <c r="I1202" s="420"/>
      <c r="J1202" s="420"/>
      <c r="L1202" s="420"/>
      <c r="M1202" s="420"/>
    </row>
    <row r="1203" spans="1:13" ht="12.75">
      <c r="A1203" s="10"/>
      <c r="B1203" s="10"/>
      <c r="C1203" s="10"/>
      <c r="D1203" s="10"/>
    </row>
    <row r="1204" spans="1:13" ht="12.75">
      <c r="A1204" s="10"/>
      <c r="B1204" s="10"/>
      <c r="C1204" s="10"/>
      <c r="D1204" s="10"/>
    </row>
    <row r="1205" spans="1:13" ht="12.75">
      <c r="A1205" s="10"/>
      <c r="B1205" s="10"/>
      <c r="C1205" s="10"/>
      <c r="D1205" s="10"/>
    </row>
    <row r="1206" spans="1:13" ht="12.75">
      <c r="A1206" s="10"/>
      <c r="B1206" s="10"/>
      <c r="C1206" s="10"/>
      <c r="D1206" s="10"/>
    </row>
    <row r="1207" spans="1:13" ht="12.75">
      <c r="A1207" s="10"/>
      <c r="B1207" s="10"/>
      <c r="C1207" s="10"/>
      <c r="D1207" s="10"/>
    </row>
    <row r="1208" spans="1:13" ht="12.75">
      <c r="A1208" s="10"/>
      <c r="B1208" s="10"/>
      <c r="C1208" s="10"/>
      <c r="D1208" s="10"/>
    </row>
    <row r="1209" spans="1:13" ht="12.75">
      <c r="A1209" s="10"/>
      <c r="B1209" s="10"/>
      <c r="C1209" s="10"/>
      <c r="D1209" s="10"/>
    </row>
    <row r="1210" spans="1:13" ht="12.75">
      <c r="A1210" s="10"/>
      <c r="B1210" s="10"/>
      <c r="C1210" s="10"/>
      <c r="D1210" s="10"/>
    </row>
    <row r="1211" spans="1:13" ht="12.75">
      <c r="A1211" s="10"/>
      <c r="B1211" s="10"/>
      <c r="C1211" s="10"/>
      <c r="D1211" s="10"/>
    </row>
    <row r="1212" spans="1:13" ht="12.75">
      <c r="A1212" s="10"/>
      <c r="B1212" s="10"/>
      <c r="C1212" s="10"/>
      <c r="D1212" s="10"/>
    </row>
    <row r="1213" spans="1:13" ht="12.75">
      <c r="A1213" s="10"/>
      <c r="B1213" s="10"/>
      <c r="C1213" s="10"/>
      <c r="D1213" s="10"/>
      <c r="H1213" s="420"/>
      <c r="I1213" s="420"/>
      <c r="J1213" s="420"/>
      <c r="L1213" s="420"/>
      <c r="M1213" s="420"/>
    </row>
    <row r="1214" spans="1:13" ht="12.75">
      <c r="A1214" s="10"/>
      <c r="B1214" s="10"/>
      <c r="C1214" s="10"/>
      <c r="D1214" s="10"/>
    </row>
    <row r="1215" spans="1:13" ht="12.75">
      <c r="A1215" s="10"/>
      <c r="B1215" s="10"/>
      <c r="C1215" s="10"/>
      <c r="D1215" s="10"/>
    </row>
    <row r="1216" spans="1:13" ht="12.75">
      <c r="A1216" s="10"/>
      <c r="B1216" s="10"/>
      <c r="C1216" s="10"/>
      <c r="D1216" s="10"/>
    </row>
    <row r="1217" spans="1:13" ht="12.75">
      <c r="A1217" s="10"/>
      <c r="B1217" s="10"/>
      <c r="C1217" s="10"/>
      <c r="D1217" s="10"/>
    </row>
    <row r="1218" spans="1:13" ht="12.75">
      <c r="A1218" s="10"/>
      <c r="B1218" s="10"/>
      <c r="C1218" s="10"/>
      <c r="D1218" s="10"/>
    </row>
    <row r="1219" spans="1:13" ht="12.75">
      <c r="A1219" s="10"/>
      <c r="B1219" s="10"/>
      <c r="C1219" s="10"/>
      <c r="D1219" s="10"/>
    </row>
    <row r="1220" spans="1:13" ht="12.75">
      <c r="A1220" s="10"/>
      <c r="B1220" s="10"/>
      <c r="C1220" s="10"/>
      <c r="D1220" s="10"/>
    </row>
    <row r="1221" spans="1:13" ht="12.75">
      <c r="A1221" s="10"/>
      <c r="B1221" s="10"/>
      <c r="C1221" s="10"/>
      <c r="D1221" s="10"/>
    </row>
    <row r="1222" spans="1:13" ht="12.75">
      <c r="A1222" s="10"/>
      <c r="B1222" s="10"/>
      <c r="C1222" s="10"/>
      <c r="D1222" s="10"/>
    </row>
    <row r="1223" spans="1:13" ht="12.75">
      <c r="A1223" s="10"/>
      <c r="B1223" s="10"/>
      <c r="C1223" s="10"/>
      <c r="D1223" s="10"/>
    </row>
    <row r="1224" spans="1:13" ht="12.75">
      <c r="A1224" s="10"/>
      <c r="B1224" s="10"/>
      <c r="C1224" s="10"/>
      <c r="D1224" s="10"/>
      <c r="H1224" s="420"/>
      <c r="I1224" s="420"/>
      <c r="J1224" s="420"/>
      <c r="L1224" s="420"/>
      <c r="M1224" s="420"/>
    </row>
    <row r="1225" spans="1:13" ht="12.75">
      <c r="A1225" s="10"/>
      <c r="B1225" s="10"/>
      <c r="C1225" s="10"/>
      <c r="D1225" s="10"/>
    </row>
    <row r="1226" spans="1:13" ht="12.75">
      <c r="A1226" s="10"/>
      <c r="B1226" s="10"/>
      <c r="C1226" s="10"/>
      <c r="D1226" s="10"/>
    </row>
    <row r="1227" spans="1:13" ht="12.75">
      <c r="A1227" s="10"/>
      <c r="B1227" s="10"/>
      <c r="C1227" s="10"/>
      <c r="D1227" s="10"/>
    </row>
    <row r="1228" spans="1:13" ht="12.75">
      <c r="A1228" s="10"/>
      <c r="B1228" s="10"/>
      <c r="C1228" s="10"/>
      <c r="D1228" s="10"/>
    </row>
    <row r="1229" spans="1:13" ht="12.75">
      <c r="A1229" s="10"/>
      <c r="B1229" s="10"/>
      <c r="C1229" s="10"/>
      <c r="D1229" s="10"/>
    </row>
    <row r="1230" spans="1:13" ht="12.75">
      <c r="A1230" s="10"/>
      <c r="B1230" s="10"/>
      <c r="C1230" s="10"/>
      <c r="D1230" s="10"/>
    </row>
    <row r="1231" spans="1:13" ht="12.75">
      <c r="A1231" s="10"/>
      <c r="B1231" s="10"/>
      <c r="C1231" s="10"/>
      <c r="D1231" s="10"/>
    </row>
    <row r="1232" spans="1:13" ht="12.75">
      <c r="A1232" s="10"/>
      <c r="B1232" s="10"/>
      <c r="C1232" s="10"/>
      <c r="D1232" s="10"/>
    </row>
    <row r="1233" spans="1:13" ht="12.75">
      <c r="A1233" s="10"/>
      <c r="B1233" s="10"/>
      <c r="C1233" s="10"/>
      <c r="D1233" s="10"/>
    </row>
    <row r="1234" spans="1:13" ht="12.75">
      <c r="A1234" s="10"/>
      <c r="B1234" s="10"/>
      <c r="C1234" s="10"/>
      <c r="D1234" s="10"/>
    </row>
    <row r="1235" spans="1:13" ht="12.75">
      <c r="A1235" s="10"/>
      <c r="B1235" s="10"/>
      <c r="C1235" s="10"/>
      <c r="D1235" s="10"/>
      <c r="H1235" s="420"/>
      <c r="I1235" s="420"/>
      <c r="J1235" s="420"/>
      <c r="L1235" s="420"/>
      <c r="M1235" s="420"/>
    </row>
    <row r="1236" spans="1:13" ht="12.75">
      <c r="A1236" s="10"/>
      <c r="B1236" s="10"/>
      <c r="C1236" s="10"/>
      <c r="D1236" s="10"/>
    </row>
    <row r="1237" spans="1:13" ht="12.75">
      <c r="A1237" s="10"/>
      <c r="B1237" s="10"/>
      <c r="C1237" s="10"/>
      <c r="D1237" s="10"/>
    </row>
    <row r="1238" spans="1:13" ht="12.75">
      <c r="A1238" s="10"/>
      <c r="B1238" s="10"/>
      <c r="C1238" s="10"/>
      <c r="D1238" s="10"/>
    </row>
    <row r="1239" spans="1:13" ht="12.75">
      <c r="A1239" s="10"/>
      <c r="B1239" s="10"/>
      <c r="C1239" s="10"/>
      <c r="D1239" s="10"/>
    </row>
    <row r="1240" spans="1:13" ht="12.75">
      <c r="A1240" s="10"/>
      <c r="B1240" s="10"/>
      <c r="C1240" s="10"/>
      <c r="D1240" s="10"/>
    </row>
    <row r="1241" spans="1:13" ht="12.75">
      <c r="A1241" s="10"/>
      <c r="B1241" s="10"/>
      <c r="C1241" s="10"/>
      <c r="D1241" s="10"/>
    </row>
    <row r="1242" spans="1:13" ht="12.75">
      <c r="A1242" s="10"/>
      <c r="B1242" s="10"/>
      <c r="C1242" s="10"/>
      <c r="D1242" s="10"/>
    </row>
    <row r="1243" spans="1:13" ht="12.75">
      <c r="A1243" s="10"/>
      <c r="B1243" s="10"/>
      <c r="C1243" s="10"/>
      <c r="D1243" s="10"/>
    </row>
    <row r="1244" spans="1:13" ht="12.75">
      <c r="A1244" s="10"/>
      <c r="B1244" s="10"/>
      <c r="C1244" s="10"/>
      <c r="D1244" s="10"/>
    </row>
    <row r="1245" spans="1:13" ht="12.75">
      <c r="A1245" s="10"/>
      <c r="B1245" s="10"/>
      <c r="C1245" s="10"/>
      <c r="D1245" s="10"/>
    </row>
    <row r="1246" spans="1:13" ht="12.75">
      <c r="A1246" s="10"/>
      <c r="B1246" s="10"/>
      <c r="C1246" s="10"/>
      <c r="D1246" s="10"/>
      <c r="H1246" s="420"/>
      <c r="I1246" s="420"/>
      <c r="J1246" s="420"/>
      <c r="L1246" s="420"/>
      <c r="M1246" s="420"/>
    </row>
    <row r="1247" spans="1:13" ht="12.75">
      <c r="A1247" s="10"/>
      <c r="B1247" s="10"/>
      <c r="C1247" s="10"/>
      <c r="D1247" s="10"/>
    </row>
    <row r="1248" spans="1:13" ht="12.75">
      <c r="A1248" s="10"/>
      <c r="B1248" s="10"/>
      <c r="C1248" s="10"/>
      <c r="D1248" s="10"/>
    </row>
    <row r="1249" spans="1:13" ht="12.75">
      <c r="A1249" s="10"/>
      <c r="B1249" s="10"/>
      <c r="C1249" s="10"/>
      <c r="D1249" s="10"/>
    </row>
    <row r="1250" spans="1:13" ht="12.75">
      <c r="A1250" s="10"/>
      <c r="B1250" s="10"/>
      <c r="C1250" s="10"/>
      <c r="D1250" s="10"/>
    </row>
    <row r="1251" spans="1:13" ht="12.75">
      <c r="A1251" s="10"/>
      <c r="B1251" s="10"/>
      <c r="C1251" s="10"/>
      <c r="D1251" s="10"/>
    </row>
    <row r="1252" spans="1:13" ht="12.75">
      <c r="A1252" s="10"/>
      <c r="B1252" s="10"/>
      <c r="C1252" s="10"/>
      <c r="D1252" s="10"/>
    </row>
    <row r="1253" spans="1:13" ht="12.75">
      <c r="A1253" s="10"/>
      <c r="B1253" s="10"/>
      <c r="C1253" s="10"/>
      <c r="D1253" s="10"/>
    </row>
    <row r="1254" spans="1:13" ht="12.75">
      <c r="A1254" s="10"/>
      <c r="B1254" s="10"/>
      <c r="C1254" s="10"/>
      <c r="D1254" s="10"/>
    </row>
    <row r="1255" spans="1:13" ht="12.75">
      <c r="A1255" s="10"/>
      <c r="B1255" s="10"/>
      <c r="C1255" s="10"/>
      <c r="D1255" s="10"/>
    </row>
    <row r="1256" spans="1:13" ht="12.75">
      <c r="A1256" s="10"/>
      <c r="B1256" s="10"/>
      <c r="C1256" s="10"/>
      <c r="D1256" s="10"/>
    </row>
    <row r="1257" spans="1:13" ht="12.75">
      <c r="A1257" s="10"/>
      <c r="B1257" s="10"/>
      <c r="C1257" s="10"/>
      <c r="D1257" s="10"/>
      <c r="H1257" s="420"/>
      <c r="I1257" s="420"/>
      <c r="J1257" s="420"/>
      <c r="L1257" s="420"/>
      <c r="M1257" s="420"/>
    </row>
    <row r="1258" spans="1:13" ht="12.75">
      <c r="A1258" s="10"/>
      <c r="B1258" s="10"/>
      <c r="C1258" s="10"/>
      <c r="D1258" s="10"/>
    </row>
    <row r="1259" spans="1:13" ht="12.75">
      <c r="A1259" s="10"/>
      <c r="B1259" s="10"/>
      <c r="C1259" s="10"/>
      <c r="D1259" s="10"/>
    </row>
    <row r="1260" spans="1:13" ht="12.75">
      <c r="A1260" s="10"/>
      <c r="B1260" s="10"/>
      <c r="C1260" s="10"/>
      <c r="D1260" s="10"/>
    </row>
    <row r="1261" spans="1:13" ht="12.75">
      <c r="A1261" s="10"/>
      <c r="B1261" s="10"/>
      <c r="C1261" s="10"/>
      <c r="D1261" s="10"/>
    </row>
    <row r="1262" spans="1:13" ht="12.75">
      <c r="A1262" s="10"/>
      <c r="B1262" s="10"/>
      <c r="C1262" s="10"/>
      <c r="D1262" s="10"/>
    </row>
    <row r="1263" spans="1:13" ht="12.75">
      <c r="A1263" s="10"/>
      <c r="B1263" s="10"/>
      <c r="C1263" s="10"/>
      <c r="D1263" s="10"/>
    </row>
    <row r="1264" spans="1:13" ht="12.75">
      <c r="A1264" s="10"/>
      <c r="B1264" s="10"/>
      <c r="C1264" s="10"/>
      <c r="D1264" s="10"/>
    </row>
    <row r="1265" spans="1:13" ht="12.75">
      <c r="A1265" s="10"/>
      <c r="B1265" s="10"/>
      <c r="C1265" s="10"/>
      <c r="D1265" s="10"/>
    </row>
    <row r="1266" spans="1:13" ht="12.75">
      <c r="A1266" s="10"/>
      <c r="B1266" s="10"/>
      <c r="C1266" s="10"/>
      <c r="D1266" s="10"/>
    </row>
    <row r="1267" spans="1:13" ht="12.75">
      <c r="A1267" s="10"/>
      <c r="B1267" s="10"/>
      <c r="C1267" s="10"/>
      <c r="D1267" s="10"/>
    </row>
    <row r="1268" spans="1:13" ht="12.75">
      <c r="A1268" s="10"/>
      <c r="B1268" s="10"/>
      <c r="C1268" s="10"/>
      <c r="D1268" s="10"/>
      <c r="H1268" s="420"/>
      <c r="I1268" s="420"/>
      <c r="J1268" s="420"/>
      <c r="L1268" s="420"/>
      <c r="M1268" s="420"/>
    </row>
    <row r="1269" spans="1:13" ht="12.75">
      <c r="A1269" s="10"/>
      <c r="B1269" s="10"/>
      <c r="C1269" s="10"/>
      <c r="D1269" s="10"/>
    </row>
    <row r="1270" spans="1:13" ht="12.75">
      <c r="A1270" s="10"/>
      <c r="B1270" s="10"/>
      <c r="C1270" s="10"/>
      <c r="D1270" s="10"/>
    </row>
    <row r="1271" spans="1:13" ht="12.75">
      <c r="A1271" s="10"/>
      <c r="B1271" s="10"/>
      <c r="C1271" s="10"/>
      <c r="D1271" s="10"/>
    </row>
    <row r="1272" spans="1:13" ht="12.75">
      <c r="A1272" s="10"/>
      <c r="B1272" s="10"/>
      <c r="C1272" s="10"/>
      <c r="D1272" s="10"/>
    </row>
    <row r="1273" spans="1:13" ht="12.75">
      <c r="A1273" s="10"/>
      <c r="B1273" s="10"/>
      <c r="C1273" s="10"/>
      <c r="D1273" s="10"/>
    </row>
    <row r="1274" spans="1:13" ht="12.75">
      <c r="A1274" s="10"/>
      <c r="B1274" s="10"/>
      <c r="C1274" s="10"/>
      <c r="D1274" s="10"/>
    </row>
    <row r="1275" spans="1:13" ht="12.75">
      <c r="A1275" s="10"/>
      <c r="B1275" s="10"/>
      <c r="C1275" s="10"/>
      <c r="D1275" s="10"/>
    </row>
    <row r="1276" spans="1:13" ht="12.75">
      <c r="A1276" s="10"/>
      <c r="B1276" s="10"/>
      <c r="C1276" s="10"/>
      <c r="D1276" s="10"/>
    </row>
    <row r="1277" spans="1:13" ht="12.75">
      <c r="A1277" s="10"/>
      <c r="B1277" s="10"/>
      <c r="C1277" s="10"/>
      <c r="D1277" s="10"/>
    </row>
    <row r="1278" spans="1:13" ht="12.75">
      <c r="A1278" s="10"/>
      <c r="B1278" s="10"/>
      <c r="C1278" s="10"/>
      <c r="D1278" s="10"/>
    </row>
    <row r="1279" spans="1:13" ht="12.75">
      <c r="A1279" s="10"/>
      <c r="B1279" s="10"/>
      <c r="C1279" s="10"/>
      <c r="D1279" s="10"/>
      <c r="H1279" s="420"/>
      <c r="I1279" s="420"/>
      <c r="J1279" s="420"/>
      <c r="L1279" s="420"/>
      <c r="M1279" s="420"/>
    </row>
    <row r="1280" spans="1:13" ht="12.75">
      <c r="A1280" s="10"/>
      <c r="B1280" s="10"/>
      <c r="C1280" s="10"/>
      <c r="D1280" s="10"/>
    </row>
    <row r="1281" spans="1:13" ht="12.75">
      <c r="A1281" s="10"/>
      <c r="B1281" s="10"/>
      <c r="C1281" s="10"/>
      <c r="D1281" s="10"/>
    </row>
    <row r="1282" spans="1:13" ht="12.75">
      <c r="A1282" s="10"/>
      <c r="B1282" s="10"/>
      <c r="C1282" s="10"/>
      <c r="D1282" s="10"/>
    </row>
    <row r="1283" spans="1:13" ht="12.75">
      <c r="A1283" s="10"/>
      <c r="B1283" s="10"/>
      <c r="C1283" s="10"/>
      <c r="D1283" s="10"/>
    </row>
    <row r="1284" spans="1:13" ht="12.75">
      <c r="A1284" s="10"/>
      <c r="B1284" s="10"/>
      <c r="C1284" s="10"/>
      <c r="D1284" s="10"/>
    </row>
    <row r="1285" spans="1:13" ht="12.75">
      <c r="A1285" s="10"/>
      <c r="B1285" s="10"/>
      <c r="C1285" s="10"/>
      <c r="D1285" s="10"/>
    </row>
    <row r="1286" spans="1:13" ht="12.75">
      <c r="A1286" s="10"/>
      <c r="B1286" s="10"/>
      <c r="C1286" s="10"/>
      <c r="D1286" s="10"/>
    </row>
    <row r="1287" spans="1:13" ht="12.75">
      <c r="A1287" s="10"/>
      <c r="B1287" s="10"/>
      <c r="C1287" s="10"/>
      <c r="D1287" s="10"/>
    </row>
    <row r="1288" spans="1:13" ht="12.75">
      <c r="A1288" s="10"/>
      <c r="B1288" s="10"/>
      <c r="C1288" s="10"/>
      <c r="D1288" s="10"/>
    </row>
    <row r="1289" spans="1:13" ht="12.75">
      <c r="A1289" s="10"/>
      <c r="B1289" s="10"/>
      <c r="C1289" s="10"/>
      <c r="D1289" s="10"/>
    </row>
    <row r="1290" spans="1:13" ht="12.75">
      <c r="A1290" s="10"/>
      <c r="B1290" s="10"/>
      <c r="C1290" s="10"/>
      <c r="D1290" s="10"/>
      <c r="H1290" s="420"/>
      <c r="I1290" s="420"/>
      <c r="J1290" s="420"/>
      <c r="L1290" s="420"/>
      <c r="M1290" s="420"/>
    </row>
    <row r="1291" spans="1:13" ht="12.75">
      <c r="A1291" s="10"/>
      <c r="B1291" s="10"/>
      <c r="C1291" s="10"/>
      <c r="D1291" s="10"/>
    </row>
    <row r="1292" spans="1:13" ht="12.75">
      <c r="A1292" s="10"/>
      <c r="B1292" s="10"/>
      <c r="C1292" s="10"/>
      <c r="D1292" s="10"/>
    </row>
    <row r="1293" spans="1:13" ht="12.75">
      <c r="A1293" s="10"/>
      <c r="B1293" s="10"/>
      <c r="C1293" s="10"/>
      <c r="D1293" s="10"/>
    </row>
    <row r="1294" spans="1:13" ht="12.75">
      <c r="A1294" s="10"/>
      <c r="B1294" s="10"/>
      <c r="C1294" s="10"/>
      <c r="D1294" s="10"/>
    </row>
    <row r="1295" spans="1:13" ht="12.75">
      <c r="A1295" s="10"/>
      <c r="B1295" s="10"/>
      <c r="C1295" s="10"/>
      <c r="D1295" s="10"/>
    </row>
    <row r="1296" spans="1:13" ht="12.75">
      <c r="A1296" s="10"/>
      <c r="B1296" s="10"/>
      <c r="C1296" s="10"/>
      <c r="D1296" s="10"/>
    </row>
    <row r="1297" spans="1:13" ht="12.75">
      <c r="A1297" s="10"/>
      <c r="B1297" s="10"/>
      <c r="C1297" s="10"/>
      <c r="D1297" s="10"/>
    </row>
    <row r="1298" spans="1:13" ht="12.75">
      <c r="A1298" s="10"/>
      <c r="B1298" s="10"/>
      <c r="C1298" s="10"/>
      <c r="D1298" s="10"/>
    </row>
    <row r="1299" spans="1:13" ht="12.75">
      <c r="A1299" s="10"/>
      <c r="B1299" s="10"/>
      <c r="C1299" s="10"/>
      <c r="D1299" s="10"/>
    </row>
    <row r="1300" spans="1:13" ht="12.75">
      <c r="A1300" s="10"/>
      <c r="B1300" s="10"/>
      <c r="C1300" s="10"/>
      <c r="D1300" s="10"/>
    </row>
    <row r="1301" spans="1:13" ht="12.75">
      <c r="A1301" s="10"/>
      <c r="B1301" s="10"/>
      <c r="C1301" s="10"/>
      <c r="D1301" s="10"/>
      <c r="H1301" s="420"/>
      <c r="I1301" s="420"/>
      <c r="J1301" s="420"/>
      <c r="L1301" s="420"/>
      <c r="M1301" s="420"/>
    </row>
    <row r="1302" spans="1:13" ht="12.75">
      <c r="A1302" s="10"/>
      <c r="B1302" s="10"/>
      <c r="C1302" s="10"/>
      <c r="D1302" s="10"/>
    </row>
    <row r="1303" spans="1:13" ht="12.75">
      <c r="A1303" s="10"/>
      <c r="B1303" s="10"/>
      <c r="C1303" s="10"/>
      <c r="D1303" s="10"/>
    </row>
    <row r="1304" spans="1:13" ht="12.75">
      <c r="A1304" s="10"/>
      <c r="B1304" s="10"/>
      <c r="C1304" s="10"/>
      <c r="D1304" s="10"/>
    </row>
    <row r="1305" spans="1:13" ht="12.75">
      <c r="A1305" s="10"/>
      <c r="B1305" s="10"/>
      <c r="C1305" s="10"/>
      <c r="D1305" s="10"/>
    </row>
    <row r="1306" spans="1:13" ht="12.75">
      <c r="A1306" s="10"/>
      <c r="B1306" s="10"/>
      <c r="C1306" s="10"/>
      <c r="D1306" s="10"/>
    </row>
    <row r="1307" spans="1:13" ht="12.75">
      <c r="A1307" s="10"/>
      <c r="B1307" s="10"/>
      <c r="C1307" s="10"/>
      <c r="D1307" s="10"/>
    </row>
    <row r="1308" spans="1:13" ht="12.75">
      <c r="A1308" s="10"/>
      <c r="B1308" s="10"/>
      <c r="C1308" s="10"/>
      <c r="D1308" s="10"/>
    </row>
    <row r="1309" spans="1:13" ht="12.75">
      <c r="A1309" s="10"/>
      <c r="B1309" s="10"/>
      <c r="C1309" s="10"/>
      <c r="D1309" s="10"/>
    </row>
    <row r="1310" spans="1:13" ht="12.75">
      <c r="A1310" s="10"/>
      <c r="B1310" s="10"/>
      <c r="C1310" s="10"/>
      <c r="D1310" s="10"/>
    </row>
    <row r="1311" spans="1:13" ht="12.75">
      <c r="A1311" s="10"/>
      <c r="B1311" s="10"/>
      <c r="C1311" s="10"/>
      <c r="D1311" s="10"/>
    </row>
    <row r="1312" spans="1:13" ht="12.75">
      <c r="A1312" s="10"/>
      <c r="B1312" s="10"/>
      <c r="C1312" s="10"/>
      <c r="D1312" s="10"/>
      <c r="H1312" s="420"/>
      <c r="I1312" s="420"/>
      <c r="J1312" s="420"/>
      <c r="L1312" s="420"/>
      <c r="M1312" s="420"/>
    </row>
    <row r="1313" spans="1:13" ht="12.75">
      <c r="A1313" s="10"/>
      <c r="B1313" s="10"/>
      <c r="C1313" s="10"/>
      <c r="D1313" s="10"/>
    </row>
    <row r="1314" spans="1:13" ht="12.75">
      <c r="A1314" s="10"/>
      <c r="B1314" s="10"/>
      <c r="C1314" s="10"/>
      <c r="D1314" s="10"/>
    </row>
    <row r="1315" spans="1:13" ht="12.75">
      <c r="A1315" s="10"/>
      <c r="B1315" s="10"/>
      <c r="C1315" s="10"/>
      <c r="D1315" s="10"/>
    </row>
    <row r="1316" spans="1:13" ht="12.75">
      <c r="A1316" s="10"/>
      <c r="B1316" s="10"/>
      <c r="C1316" s="10"/>
      <c r="D1316" s="10"/>
    </row>
    <row r="1317" spans="1:13" ht="12.75">
      <c r="A1317" s="10"/>
      <c r="B1317" s="10"/>
      <c r="C1317" s="10"/>
      <c r="D1317" s="10"/>
    </row>
    <row r="1318" spans="1:13" ht="12.75">
      <c r="A1318" s="10"/>
      <c r="B1318" s="10"/>
      <c r="C1318" s="10"/>
      <c r="D1318" s="10"/>
    </row>
    <row r="1319" spans="1:13" ht="12.75">
      <c r="A1319" s="10"/>
      <c r="B1319" s="10"/>
      <c r="C1319" s="10"/>
      <c r="D1319" s="10"/>
    </row>
    <row r="1320" spans="1:13" ht="12.75">
      <c r="A1320" s="10"/>
      <c r="B1320" s="10"/>
      <c r="C1320" s="10"/>
      <c r="D1320" s="10"/>
    </row>
    <row r="1321" spans="1:13" ht="12.75">
      <c r="A1321" s="10"/>
      <c r="B1321" s="10"/>
      <c r="C1321" s="10"/>
      <c r="D1321" s="10"/>
    </row>
    <row r="1322" spans="1:13" ht="12.75">
      <c r="A1322" s="10"/>
      <c r="B1322" s="10"/>
      <c r="C1322" s="10"/>
      <c r="D1322" s="10"/>
    </row>
    <row r="1323" spans="1:13" ht="12.75">
      <c r="A1323" s="10"/>
      <c r="B1323" s="10"/>
      <c r="C1323" s="10"/>
      <c r="D1323" s="10"/>
      <c r="H1323" s="420"/>
      <c r="I1323" s="420"/>
      <c r="J1323" s="420"/>
      <c r="L1323" s="420"/>
      <c r="M1323" s="420"/>
    </row>
    <row r="1324" spans="1:13" ht="12.75">
      <c r="A1324" s="10"/>
      <c r="B1324" s="10"/>
      <c r="C1324" s="10"/>
      <c r="D1324" s="10"/>
    </row>
    <row r="1325" spans="1:13" ht="12.75">
      <c r="A1325" s="10"/>
      <c r="B1325" s="10"/>
      <c r="C1325" s="10"/>
      <c r="D1325" s="10"/>
    </row>
    <row r="1326" spans="1:13" ht="12.75">
      <c r="A1326" s="10"/>
      <c r="B1326" s="10"/>
      <c r="C1326" s="10"/>
      <c r="D1326" s="10"/>
    </row>
    <row r="1327" spans="1:13" ht="12.75">
      <c r="A1327" s="10"/>
      <c r="B1327" s="10"/>
      <c r="C1327" s="10"/>
      <c r="D1327" s="10"/>
    </row>
    <row r="1328" spans="1:13" ht="12.75">
      <c r="A1328" s="10"/>
      <c r="B1328" s="10"/>
      <c r="C1328" s="10"/>
      <c r="D1328" s="10"/>
    </row>
    <row r="1329" spans="1:13" ht="12.75">
      <c r="A1329" s="10"/>
      <c r="B1329" s="10"/>
      <c r="C1329" s="10"/>
      <c r="D1329" s="10"/>
    </row>
    <row r="1330" spans="1:13" ht="12.75">
      <c r="A1330" s="10"/>
      <c r="B1330" s="10"/>
      <c r="C1330" s="10"/>
      <c r="D1330" s="10"/>
    </row>
    <row r="1331" spans="1:13" ht="12.75">
      <c r="A1331" s="10"/>
      <c r="B1331" s="10"/>
      <c r="C1331" s="10"/>
      <c r="D1331" s="10"/>
    </row>
    <row r="1332" spans="1:13" ht="12.75">
      <c r="A1332" s="10"/>
      <c r="B1332" s="10"/>
      <c r="C1332" s="10"/>
      <c r="D1332" s="10"/>
    </row>
    <row r="1333" spans="1:13" ht="12.75">
      <c r="A1333" s="10"/>
      <c r="B1333" s="10"/>
      <c r="C1333" s="10"/>
      <c r="D1333" s="10"/>
    </row>
    <row r="1334" spans="1:13" ht="12.75">
      <c r="A1334" s="10"/>
      <c r="B1334" s="10"/>
      <c r="C1334" s="10"/>
      <c r="D1334" s="10"/>
      <c r="H1334" s="420"/>
      <c r="I1334" s="420"/>
      <c r="J1334" s="420"/>
      <c r="L1334" s="420"/>
      <c r="M1334" s="420"/>
    </row>
    <row r="1335" spans="1:13" ht="12.75">
      <c r="A1335" s="10"/>
      <c r="B1335" s="10"/>
      <c r="C1335" s="10"/>
      <c r="D1335" s="10"/>
    </row>
    <row r="1336" spans="1:13" ht="12.75">
      <c r="A1336" s="10"/>
      <c r="B1336" s="10"/>
      <c r="C1336" s="10"/>
      <c r="D1336" s="10"/>
    </row>
    <row r="1337" spans="1:13" ht="12.75">
      <c r="A1337" s="10"/>
      <c r="B1337" s="10"/>
      <c r="C1337" s="10"/>
      <c r="D1337" s="10"/>
    </row>
    <row r="1338" spans="1:13" ht="12.75">
      <c r="A1338" s="10"/>
      <c r="B1338" s="10"/>
      <c r="C1338" s="10"/>
      <c r="D1338" s="10"/>
    </row>
    <row r="1339" spans="1:13" ht="12.75">
      <c r="A1339" s="10"/>
      <c r="B1339" s="10"/>
      <c r="C1339" s="10"/>
      <c r="D1339" s="10"/>
    </row>
    <row r="1340" spans="1:13" ht="12.75">
      <c r="A1340" s="10"/>
      <c r="B1340" s="10"/>
      <c r="C1340" s="10"/>
      <c r="D1340" s="10"/>
    </row>
    <row r="1341" spans="1:13" ht="12.75">
      <c r="A1341" s="10"/>
      <c r="B1341" s="10"/>
      <c r="C1341" s="10"/>
      <c r="D1341" s="10"/>
    </row>
    <row r="1342" spans="1:13" ht="12.75">
      <c r="A1342" s="10"/>
      <c r="B1342" s="10"/>
      <c r="C1342" s="10"/>
      <c r="D1342" s="10"/>
    </row>
    <row r="1343" spans="1:13" ht="12.75">
      <c r="A1343" s="10"/>
      <c r="B1343" s="10"/>
      <c r="C1343" s="10"/>
      <c r="D1343" s="10"/>
    </row>
    <row r="1344" spans="1:13" ht="12.75">
      <c r="A1344" s="10"/>
      <c r="B1344" s="10"/>
      <c r="C1344" s="10"/>
      <c r="D1344" s="10"/>
    </row>
    <row r="1345" spans="1:13" ht="12.75">
      <c r="A1345" s="10"/>
      <c r="B1345" s="10"/>
      <c r="C1345" s="10"/>
      <c r="D1345" s="10"/>
      <c r="H1345" s="420"/>
      <c r="I1345" s="420"/>
      <c r="J1345" s="420"/>
      <c r="L1345" s="420"/>
      <c r="M1345" s="420"/>
    </row>
    <row r="1346" spans="1:13" ht="12.75">
      <c r="A1346" s="10"/>
      <c r="B1346" s="10"/>
      <c r="C1346" s="10"/>
      <c r="D1346" s="10"/>
    </row>
    <row r="1347" spans="1:13" ht="12.75">
      <c r="A1347" s="10"/>
      <c r="B1347" s="10"/>
      <c r="C1347" s="10"/>
      <c r="D1347" s="10"/>
    </row>
    <row r="1348" spans="1:13" ht="12.75">
      <c r="A1348" s="10"/>
      <c r="B1348" s="10"/>
      <c r="C1348" s="10"/>
      <c r="D1348" s="10"/>
    </row>
    <row r="1349" spans="1:13" ht="12.75">
      <c r="A1349" s="10"/>
      <c r="B1349" s="10"/>
      <c r="C1349" s="10"/>
      <c r="D1349" s="10"/>
    </row>
    <row r="1350" spans="1:13" ht="12.75">
      <c r="A1350" s="10"/>
      <c r="B1350" s="10"/>
      <c r="C1350" s="10"/>
      <c r="D1350" s="10"/>
    </row>
    <row r="1351" spans="1:13" ht="12.75">
      <c r="A1351" s="10"/>
      <c r="B1351" s="10"/>
      <c r="C1351" s="10"/>
      <c r="D1351" s="10"/>
    </row>
    <row r="1352" spans="1:13" ht="12.75">
      <c r="A1352" s="10"/>
      <c r="B1352" s="10"/>
      <c r="C1352" s="10"/>
      <c r="D1352" s="10"/>
    </row>
    <row r="1353" spans="1:13" ht="12.75">
      <c r="A1353" s="10"/>
      <c r="B1353" s="10"/>
      <c r="C1353" s="10"/>
      <c r="D1353" s="10"/>
    </row>
    <row r="1354" spans="1:13" ht="12.75">
      <c r="A1354" s="10"/>
      <c r="B1354" s="10"/>
      <c r="C1354" s="10"/>
      <c r="D1354" s="10"/>
    </row>
    <row r="1355" spans="1:13" ht="12.75">
      <c r="A1355" s="10"/>
      <c r="B1355" s="10"/>
      <c r="C1355" s="10"/>
      <c r="D1355" s="10"/>
    </row>
    <row r="1356" spans="1:13" ht="12.75">
      <c r="A1356" s="10"/>
      <c r="B1356" s="10"/>
      <c r="C1356" s="10"/>
      <c r="D1356" s="10"/>
      <c r="H1356" s="420"/>
      <c r="I1356" s="420"/>
      <c r="J1356" s="420"/>
      <c r="L1356" s="420"/>
      <c r="M1356" s="420"/>
    </row>
    <row r="1357" spans="1:13" ht="12.75">
      <c r="A1357" s="10"/>
      <c r="B1357" s="10"/>
      <c r="C1357" s="10"/>
      <c r="D1357" s="10"/>
    </row>
    <row r="1358" spans="1:13" ht="12.75">
      <c r="A1358" s="10"/>
      <c r="B1358" s="10"/>
      <c r="C1358" s="10"/>
      <c r="D1358" s="10"/>
    </row>
    <row r="1359" spans="1:13" ht="12.75">
      <c r="A1359" s="10"/>
      <c r="B1359" s="10"/>
      <c r="C1359" s="10"/>
      <c r="D1359" s="10"/>
    </row>
    <row r="1360" spans="1:13" ht="12.75">
      <c r="A1360" s="10"/>
      <c r="B1360" s="10"/>
      <c r="C1360" s="10"/>
      <c r="D1360" s="10"/>
    </row>
    <row r="1361" spans="1:13" ht="12.75">
      <c r="A1361" s="10"/>
      <c r="B1361" s="10"/>
      <c r="C1361" s="10"/>
      <c r="D1361" s="10"/>
    </row>
    <row r="1362" spans="1:13" ht="12.75">
      <c r="A1362" s="10"/>
      <c r="B1362" s="10"/>
      <c r="C1362" s="10"/>
      <c r="D1362" s="10"/>
    </row>
    <row r="1363" spans="1:13" ht="12.75">
      <c r="A1363" s="10"/>
      <c r="B1363" s="10"/>
      <c r="C1363" s="10"/>
      <c r="D1363" s="10"/>
    </row>
    <row r="1364" spans="1:13" ht="12.75">
      <c r="A1364" s="10"/>
      <c r="B1364" s="10"/>
      <c r="C1364" s="10"/>
      <c r="D1364" s="10"/>
    </row>
    <row r="1365" spans="1:13" ht="12.75">
      <c r="A1365" s="10"/>
      <c r="B1365" s="10"/>
      <c r="C1365" s="10"/>
      <c r="D1365" s="10"/>
    </row>
    <row r="1366" spans="1:13" ht="12.75">
      <c r="A1366" s="10"/>
      <c r="B1366" s="10"/>
      <c r="C1366" s="10"/>
      <c r="D1366" s="10"/>
    </row>
    <row r="1367" spans="1:13" ht="12.75">
      <c r="A1367" s="10"/>
      <c r="B1367" s="10"/>
      <c r="C1367" s="10"/>
      <c r="D1367" s="10"/>
      <c r="H1367" s="420"/>
      <c r="I1367" s="420"/>
      <c r="J1367" s="420"/>
      <c r="L1367" s="420"/>
      <c r="M1367" s="420"/>
    </row>
    <row r="1368" spans="1:13" ht="12.75">
      <c r="A1368" s="10"/>
      <c r="B1368" s="10"/>
      <c r="C1368" s="10"/>
      <c r="D1368" s="10"/>
    </row>
    <row r="1369" spans="1:13" ht="12.75">
      <c r="A1369" s="10"/>
      <c r="B1369" s="10"/>
      <c r="C1369" s="10"/>
      <c r="D1369" s="10"/>
    </row>
    <row r="1370" spans="1:13" ht="12.75">
      <c r="A1370" s="10"/>
      <c r="B1370" s="10"/>
      <c r="C1370" s="10"/>
      <c r="D1370" s="10"/>
    </row>
    <row r="1371" spans="1:13" ht="12.75">
      <c r="A1371" s="10"/>
      <c r="B1371" s="10"/>
      <c r="C1371" s="10"/>
      <c r="D1371" s="10"/>
    </row>
    <row r="1372" spans="1:13" ht="12.75">
      <c r="A1372" s="10"/>
      <c r="B1372" s="10"/>
      <c r="C1372" s="10"/>
      <c r="D1372" s="10"/>
    </row>
    <row r="1373" spans="1:13" ht="12.75">
      <c r="A1373" s="10"/>
      <c r="B1373" s="10"/>
      <c r="C1373" s="10"/>
      <c r="D1373" s="10"/>
    </row>
    <row r="1374" spans="1:13" ht="12.75">
      <c r="A1374" s="10"/>
      <c r="B1374" s="10"/>
      <c r="C1374" s="10"/>
      <c r="D1374" s="10"/>
    </row>
    <row r="1375" spans="1:13" ht="12.75">
      <c r="A1375" s="10"/>
      <c r="B1375" s="10"/>
      <c r="C1375" s="10"/>
      <c r="D1375" s="10"/>
    </row>
    <row r="1376" spans="1:13" ht="12.75">
      <c r="A1376" s="10"/>
      <c r="B1376" s="10"/>
      <c r="C1376" s="10"/>
      <c r="D1376" s="10"/>
    </row>
    <row r="1377" spans="1:13" ht="12.75">
      <c r="A1377" s="10"/>
      <c r="B1377" s="10"/>
      <c r="C1377" s="10"/>
      <c r="D1377" s="10"/>
    </row>
    <row r="1378" spans="1:13" ht="12.75">
      <c r="A1378" s="10"/>
      <c r="B1378" s="10"/>
      <c r="C1378" s="10"/>
      <c r="D1378" s="10"/>
      <c r="H1378" s="420"/>
      <c r="I1378" s="420"/>
      <c r="J1378" s="420"/>
      <c r="L1378" s="420"/>
      <c r="M1378" s="420"/>
    </row>
    <row r="1379" spans="1:13" ht="12.75">
      <c r="A1379" s="10"/>
      <c r="B1379" s="10"/>
      <c r="C1379" s="10"/>
      <c r="D1379" s="10"/>
    </row>
    <row r="1380" spans="1:13" ht="12.75">
      <c r="A1380" s="10"/>
      <c r="B1380" s="10"/>
      <c r="C1380" s="10"/>
      <c r="D1380" s="10"/>
    </row>
    <row r="1381" spans="1:13" ht="12.75">
      <c r="A1381" s="10"/>
      <c r="B1381" s="10"/>
      <c r="C1381" s="10"/>
      <c r="D1381" s="10"/>
    </row>
    <row r="1382" spans="1:13" ht="12.75">
      <c r="A1382" s="10"/>
      <c r="B1382" s="10"/>
      <c r="C1382" s="10"/>
      <c r="D1382" s="10"/>
    </row>
    <row r="1383" spans="1:13" ht="12.75">
      <c r="A1383" s="10"/>
      <c r="B1383" s="10"/>
      <c r="C1383" s="10"/>
      <c r="D1383" s="10"/>
    </row>
    <row r="1384" spans="1:13" ht="12.75">
      <c r="A1384" s="10"/>
      <c r="B1384" s="10"/>
      <c r="C1384" s="10"/>
      <c r="D1384" s="10"/>
    </row>
    <row r="1385" spans="1:13" ht="12.75">
      <c r="A1385" s="10"/>
      <c r="B1385" s="10"/>
      <c r="C1385" s="10"/>
      <c r="D1385" s="10"/>
    </row>
    <row r="1386" spans="1:13" ht="12.75">
      <c r="A1386" s="10"/>
      <c r="B1386" s="10"/>
      <c r="C1386" s="10"/>
      <c r="D1386" s="10"/>
    </row>
    <row r="1387" spans="1:13" ht="12.75">
      <c r="A1387" s="10"/>
      <c r="B1387" s="10"/>
      <c r="C1387" s="10"/>
      <c r="D1387" s="10"/>
    </row>
    <row r="1388" spans="1:13" ht="12.75">
      <c r="A1388" s="10"/>
      <c r="B1388" s="10"/>
      <c r="C1388" s="10"/>
      <c r="D1388" s="10"/>
    </row>
    <row r="1389" spans="1:13" ht="12.75">
      <c r="A1389" s="10"/>
      <c r="B1389" s="10"/>
      <c r="C1389" s="10"/>
      <c r="D1389" s="10"/>
      <c r="H1389" s="420"/>
      <c r="I1389" s="420"/>
      <c r="J1389" s="420"/>
      <c r="L1389" s="420"/>
      <c r="M1389" s="420"/>
    </row>
    <row r="1390" spans="1:13" ht="12.75">
      <c r="A1390" s="10"/>
      <c r="B1390" s="10"/>
      <c r="C1390" s="10"/>
      <c r="D1390" s="10"/>
    </row>
    <row r="1391" spans="1:13" ht="12.75">
      <c r="A1391" s="10"/>
      <c r="B1391" s="10"/>
      <c r="C1391" s="10"/>
      <c r="D1391" s="10"/>
    </row>
    <row r="1392" spans="1:13" ht="12.75">
      <c r="A1392" s="10"/>
      <c r="B1392" s="10"/>
      <c r="C1392" s="10"/>
      <c r="D1392" s="10"/>
    </row>
    <row r="1393" spans="1:13" ht="12.75">
      <c r="A1393" s="10"/>
      <c r="B1393" s="10"/>
      <c r="C1393" s="10"/>
      <c r="D1393" s="10"/>
    </row>
    <row r="1394" spans="1:13" ht="12.75">
      <c r="A1394" s="10"/>
      <c r="B1394" s="10"/>
      <c r="C1394" s="10"/>
      <c r="D1394" s="10"/>
    </row>
    <row r="1395" spans="1:13" ht="12.75">
      <c r="A1395" s="10"/>
      <c r="B1395" s="10"/>
      <c r="C1395" s="10"/>
      <c r="D1395" s="10"/>
    </row>
    <row r="1396" spans="1:13" ht="12.75">
      <c r="A1396" s="10"/>
      <c r="B1396" s="10"/>
      <c r="C1396" s="10"/>
      <c r="D1396" s="10"/>
    </row>
    <row r="1397" spans="1:13" ht="12.75">
      <c r="A1397" s="10"/>
      <c r="B1397" s="10"/>
      <c r="C1397" s="10"/>
      <c r="D1397" s="10"/>
    </row>
    <row r="1398" spans="1:13" ht="12.75">
      <c r="A1398" s="10"/>
      <c r="B1398" s="10"/>
      <c r="C1398" s="10"/>
      <c r="D1398" s="10"/>
    </row>
    <row r="1399" spans="1:13" ht="12.75">
      <c r="A1399" s="10"/>
      <c r="B1399" s="10"/>
      <c r="C1399" s="10"/>
      <c r="D1399" s="10"/>
    </row>
    <row r="1400" spans="1:13" ht="12.75">
      <c r="A1400" s="10"/>
      <c r="B1400" s="10"/>
      <c r="C1400" s="10"/>
      <c r="D1400" s="10"/>
      <c r="H1400" s="420"/>
      <c r="I1400" s="420"/>
      <c r="J1400" s="420"/>
      <c r="L1400" s="420"/>
      <c r="M1400" s="420"/>
    </row>
    <row r="1401" spans="1:13" ht="12.75">
      <c r="A1401" s="10"/>
      <c r="B1401" s="10"/>
      <c r="C1401" s="10"/>
      <c r="D1401" s="10"/>
    </row>
    <row r="1402" spans="1:13" ht="12.75">
      <c r="A1402" s="10"/>
      <c r="B1402" s="10"/>
      <c r="C1402" s="10"/>
      <c r="D1402" s="10"/>
    </row>
    <row r="1403" spans="1:13" ht="12.75">
      <c r="A1403" s="10"/>
      <c r="B1403" s="10"/>
      <c r="C1403" s="10"/>
      <c r="D1403" s="10"/>
    </row>
    <row r="1404" spans="1:13" ht="12.75">
      <c r="A1404" s="10"/>
      <c r="B1404" s="10"/>
      <c r="C1404" s="10"/>
      <c r="D1404" s="10"/>
    </row>
    <row r="1405" spans="1:13" ht="12.75">
      <c r="A1405" s="10"/>
      <c r="B1405" s="10"/>
      <c r="C1405" s="10"/>
      <c r="D1405" s="10"/>
    </row>
    <row r="1406" spans="1:13" ht="12.75">
      <c r="A1406" s="10"/>
      <c r="B1406" s="10"/>
      <c r="C1406" s="10"/>
      <c r="D1406" s="10"/>
    </row>
    <row r="1407" spans="1:13" ht="12.75">
      <c r="A1407" s="10"/>
      <c r="B1407" s="10"/>
      <c r="C1407" s="10"/>
      <c r="D1407" s="10"/>
    </row>
    <row r="1408" spans="1:13" ht="12.75">
      <c r="A1408" s="10"/>
      <c r="B1408" s="10"/>
      <c r="C1408" s="10"/>
      <c r="D1408" s="10"/>
    </row>
    <row r="1409" spans="1:13" ht="12.75">
      <c r="A1409" s="10"/>
      <c r="B1409" s="10"/>
      <c r="C1409" s="10"/>
      <c r="D1409" s="10"/>
    </row>
    <row r="1410" spans="1:13" ht="12.75">
      <c r="A1410" s="10"/>
      <c r="B1410" s="10"/>
      <c r="C1410" s="10"/>
      <c r="D1410" s="10"/>
    </row>
    <row r="1411" spans="1:13" ht="12.75">
      <c r="A1411" s="10"/>
      <c r="B1411" s="10"/>
      <c r="C1411" s="10"/>
      <c r="D1411" s="10"/>
      <c r="H1411" s="420"/>
      <c r="I1411" s="420"/>
      <c r="J1411" s="420"/>
      <c r="L1411" s="420"/>
      <c r="M1411" s="420"/>
    </row>
    <row r="1412" spans="1:13" ht="12.75">
      <c r="A1412" s="10"/>
      <c r="B1412" s="10"/>
      <c r="C1412" s="10"/>
      <c r="D1412" s="10"/>
    </row>
    <row r="1413" spans="1:13" ht="12.75">
      <c r="A1413" s="10"/>
      <c r="B1413" s="10"/>
      <c r="C1413" s="10"/>
      <c r="D1413" s="10"/>
    </row>
    <row r="1414" spans="1:13" ht="12.75">
      <c r="A1414" s="10"/>
      <c r="B1414" s="10"/>
      <c r="C1414" s="10"/>
      <c r="D1414" s="10"/>
    </row>
    <row r="1415" spans="1:13" ht="12.75">
      <c r="A1415" s="10"/>
      <c r="B1415" s="10"/>
      <c r="C1415" s="10"/>
      <c r="D1415" s="10"/>
    </row>
    <row r="1416" spans="1:13" ht="12.75">
      <c r="A1416" s="10"/>
      <c r="B1416" s="10"/>
      <c r="C1416" s="10"/>
      <c r="D1416" s="10"/>
    </row>
    <row r="1417" spans="1:13" ht="12.75">
      <c r="A1417" s="10"/>
      <c r="B1417" s="10"/>
      <c r="C1417" s="10"/>
      <c r="D1417" s="10"/>
    </row>
    <row r="1418" spans="1:13" ht="12.75">
      <c r="A1418" s="10"/>
      <c r="B1418" s="10"/>
      <c r="C1418" s="10"/>
      <c r="D1418" s="10"/>
    </row>
    <row r="1419" spans="1:13" ht="12.75">
      <c r="A1419" s="10"/>
      <c r="B1419" s="10"/>
      <c r="C1419" s="10"/>
      <c r="D1419" s="10"/>
    </row>
    <row r="1420" spans="1:13" ht="12.75">
      <c r="A1420" s="10"/>
      <c r="B1420" s="10"/>
      <c r="C1420" s="10"/>
      <c r="D1420" s="10"/>
    </row>
    <row r="1421" spans="1:13" ht="12.75">
      <c r="A1421" s="10"/>
      <c r="B1421" s="10"/>
      <c r="C1421" s="10"/>
      <c r="D1421" s="10"/>
    </row>
    <row r="1422" spans="1:13" ht="12.75">
      <c r="A1422" s="10"/>
      <c r="B1422" s="10"/>
      <c r="C1422" s="10"/>
      <c r="D1422" s="10"/>
      <c r="H1422" s="420"/>
      <c r="I1422" s="420"/>
      <c r="J1422" s="420"/>
      <c r="L1422" s="420"/>
      <c r="M1422" s="420"/>
    </row>
    <row r="1423" spans="1:13" ht="12.75">
      <c r="A1423" s="10"/>
      <c r="B1423" s="10"/>
      <c r="C1423" s="10"/>
      <c r="D1423" s="10"/>
    </row>
    <row r="1424" spans="1:13" ht="12.75">
      <c r="A1424" s="10"/>
      <c r="B1424" s="10"/>
      <c r="C1424" s="10"/>
      <c r="D1424" s="10"/>
    </row>
    <row r="1425" spans="1:13" ht="12.75">
      <c r="A1425" s="10"/>
      <c r="B1425" s="10"/>
      <c r="C1425" s="10"/>
      <c r="D1425" s="10"/>
    </row>
    <row r="1426" spans="1:13" ht="12.75">
      <c r="A1426" s="10"/>
      <c r="B1426" s="10"/>
      <c r="C1426" s="10"/>
      <c r="D1426" s="10"/>
    </row>
    <row r="1427" spans="1:13" ht="12.75">
      <c r="A1427" s="10"/>
      <c r="B1427" s="10"/>
      <c r="C1427" s="10"/>
      <c r="D1427" s="10"/>
    </row>
    <row r="1428" spans="1:13" ht="12.75">
      <c r="A1428" s="10"/>
      <c r="B1428" s="10"/>
      <c r="C1428" s="10"/>
      <c r="D1428" s="10"/>
    </row>
    <row r="1429" spans="1:13" ht="12.75">
      <c r="A1429" s="10"/>
      <c r="B1429" s="10"/>
      <c r="C1429" s="10"/>
      <c r="D1429" s="10"/>
    </row>
    <row r="1430" spans="1:13" ht="12.75">
      <c r="A1430" s="10"/>
      <c r="B1430" s="10"/>
      <c r="C1430" s="10"/>
      <c r="D1430" s="10"/>
    </row>
    <row r="1431" spans="1:13" ht="12.75">
      <c r="A1431" s="10"/>
      <c r="B1431" s="10"/>
      <c r="C1431" s="10"/>
      <c r="D1431" s="10"/>
    </row>
    <row r="1432" spans="1:13" ht="12.75">
      <c r="A1432" s="10"/>
      <c r="B1432" s="10"/>
      <c r="C1432" s="10"/>
      <c r="D1432" s="10"/>
    </row>
    <row r="1433" spans="1:13" ht="12.75">
      <c r="A1433" s="10"/>
      <c r="B1433" s="10"/>
      <c r="C1433" s="10"/>
      <c r="D1433" s="10"/>
      <c r="H1433" s="420"/>
      <c r="I1433" s="420"/>
      <c r="J1433" s="420"/>
      <c r="L1433" s="420"/>
      <c r="M1433" s="420"/>
    </row>
    <row r="1434" spans="1:13" ht="12.75">
      <c r="A1434" s="10"/>
      <c r="B1434" s="10"/>
      <c r="C1434" s="10"/>
      <c r="D1434" s="10"/>
    </row>
    <row r="1435" spans="1:13" ht="12.75">
      <c r="A1435" s="10"/>
      <c r="B1435" s="10"/>
      <c r="C1435" s="10"/>
      <c r="D1435" s="10"/>
    </row>
    <row r="1436" spans="1:13" ht="12.75">
      <c r="A1436" s="10"/>
      <c r="B1436" s="10"/>
      <c r="C1436" s="10"/>
      <c r="D1436" s="10"/>
    </row>
    <row r="1437" spans="1:13" ht="12.75">
      <c r="A1437" s="10"/>
      <c r="B1437" s="10"/>
      <c r="C1437" s="10"/>
      <c r="D1437" s="10"/>
    </row>
    <row r="1438" spans="1:13" ht="12.75">
      <c r="A1438" s="10"/>
      <c r="B1438" s="10"/>
      <c r="C1438" s="10"/>
      <c r="D1438" s="10"/>
    </row>
    <row r="1439" spans="1:13" ht="12.75">
      <c r="A1439" s="10"/>
      <c r="B1439" s="10"/>
      <c r="C1439" s="10"/>
      <c r="D1439" s="10"/>
    </row>
    <row r="1440" spans="1:13" ht="12.75">
      <c r="A1440" s="10"/>
      <c r="B1440" s="10"/>
      <c r="C1440" s="10"/>
      <c r="D1440" s="10"/>
    </row>
    <row r="1441" spans="1:13" ht="12.75">
      <c r="A1441" s="10"/>
      <c r="B1441" s="10"/>
      <c r="C1441" s="10"/>
      <c r="D1441" s="10"/>
    </row>
    <row r="1442" spans="1:13" ht="12.75">
      <c r="A1442" s="10"/>
      <c r="B1442" s="10"/>
      <c r="C1442" s="10"/>
      <c r="D1442" s="10"/>
    </row>
    <row r="1443" spans="1:13" ht="12.75">
      <c r="A1443" s="10"/>
      <c r="B1443" s="10"/>
      <c r="C1443" s="10"/>
      <c r="D1443" s="10"/>
    </row>
    <row r="1444" spans="1:13" ht="12.75">
      <c r="A1444" s="10"/>
      <c r="B1444" s="10"/>
      <c r="C1444" s="10"/>
      <c r="D1444" s="10"/>
      <c r="H1444" s="420"/>
      <c r="I1444" s="420"/>
      <c r="J1444" s="420"/>
      <c r="L1444" s="420"/>
      <c r="M1444" s="420"/>
    </row>
    <row r="1445" spans="1:13" ht="12.75">
      <c r="A1445" s="10"/>
      <c r="B1445" s="10"/>
      <c r="C1445" s="10"/>
      <c r="D1445" s="10"/>
    </row>
    <row r="1446" spans="1:13" ht="12.75">
      <c r="A1446" s="10"/>
      <c r="B1446" s="10"/>
      <c r="C1446" s="10"/>
      <c r="D1446" s="10"/>
    </row>
    <row r="1447" spans="1:13" ht="12.75">
      <c r="A1447" s="10"/>
      <c r="B1447" s="10"/>
      <c r="C1447" s="10"/>
      <c r="D1447" s="10"/>
    </row>
    <row r="1448" spans="1:13" ht="12.75">
      <c r="A1448" s="10"/>
      <c r="B1448" s="10"/>
      <c r="C1448" s="10"/>
      <c r="D1448" s="10"/>
    </row>
    <row r="1449" spans="1:13" ht="12.75">
      <c r="A1449" s="10"/>
      <c r="B1449" s="10"/>
      <c r="C1449" s="10"/>
      <c r="D1449" s="10"/>
    </row>
    <row r="1450" spans="1:13" ht="12.75">
      <c r="A1450" s="10"/>
      <c r="B1450" s="10"/>
      <c r="C1450" s="10"/>
      <c r="D1450" s="10"/>
    </row>
    <row r="1451" spans="1:13" ht="12.75">
      <c r="A1451" s="10"/>
      <c r="B1451" s="10"/>
      <c r="C1451" s="10"/>
      <c r="D1451" s="10"/>
    </row>
    <row r="1452" spans="1:13" ht="12.75">
      <c r="A1452" s="10"/>
      <c r="B1452" s="10"/>
      <c r="C1452" s="10"/>
      <c r="D1452" s="10"/>
    </row>
    <row r="1453" spans="1:13" ht="12.75">
      <c r="A1453" s="10"/>
      <c r="B1453" s="10"/>
      <c r="C1453" s="10"/>
      <c r="D1453" s="10"/>
    </row>
    <row r="1454" spans="1:13" ht="12.75">
      <c r="A1454" s="10"/>
      <c r="B1454" s="10"/>
      <c r="C1454" s="10"/>
      <c r="D1454" s="10"/>
    </row>
    <row r="1455" spans="1:13" ht="12.75">
      <c r="A1455" s="10"/>
      <c r="B1455" s="10"/>
      <c r="C1455" s="10"/>
      <c r="D1455" s="10"/>
      <c r="H1455" s="420"/>
      <c r="I1455" s="420"/>
      <c r="J1455" s="420"/>
      <c r="L1455" s="420"/>
      <c r="M1455" s="420"/>
    </row>
    <row r="1456" spans="1:13" ht="12.75">
      <c r="A1456" s="10"/>
      <c r="B1456" s="10"/>
      <c r="C1456" s="10"/>
      <c r="D1456" s="10"/>
    </row>
    <row r="1457" spans="1:13" ht="12.75">
      <c r="A1457" s="10"/>
      <c r="B1457" s="10"/>
      <c r="C1457" s="10"/>
      <c r="D1457" s="10"/>
    </row>
    <row r="1458" spans="1:13" ht="12.75">
      <c r="A1458" s="10"/>
      <c r="B1458" s="10"/>
      <c r="C1458" s="10"/>
      <c r="D1458" s="10"/>
    </row>
    <row r="1459" spans="1:13" ht="12.75">
      <c r="A1459" s="10"/>
      <c r="B1459" s="10"/>
      <c r="C1459" s="10"/>
      <c r="D1459" s="10"/>
    </row>
    <row r="1460" spans="1:13" ht="12.75">
      <c r="A1460" s="10"/>
      <c r="B1460" s="10"/>
      <c r="C1460" s="10"/>
      <c r="D1460" s="10"/>
    </row>
    <row r="1461" spans="1:13" ht="12.75">
      <c r="A1461" s="10"/>
      <c r="B1461" s="10"/>
      <c r="C1461" s="10"/>
      <c r="D1461" s="10"/>
    </row>
    <row r="1462" spans="1:13" ht="12.75">
      <c r="A1462" s="10"/>
      <c r="B1462" s="10"/>
      <c r="C1462" s="10"/>
      <c r="D1462" s="10"/>
    </row>
    <row r="1463" spans="1:13" ht="12.75">
      <c r="A1463" s="10"/>
      <c r="B1463" s="10"/>
      <c r="C1463" s="10"/>
      <c r="D1463" s="10"/>
    </row>
    <row r="1464" spans="1:13" ht="12.75">
      <c r="A1464" s="10"/>
      <c r="B1464" s="10"/>
      <c r="C1464" s="10"/>
      <c r="D1464" s="10"/>
    </row>
    <row r="1465" spans="1:13" ht="12.75">
      <c r="A1465" s="10"/>
      <c r="B1465" s="10"/>
      <c r="C1465" s="10"/>
      <c r="D1465" s="10"/>
    </row>
    <row r="1466" spans="1:13" ht="12.75">
      <c r="A1466" s="10"/>
      <c r="B1466" s="10"/>
      <c r="C1466" s="10"/>
      <c r="D1466" s="10"/>
      <c r="H1466" s="420"/>
      <c r="I1466" s="420"/>
      <c r="J1466" s="420"/>
      <c r="L1466" s="420"/>
      <c r="M1466" s="420"/>
    </row>
    <row r="1467" spans="1:13" ht="12.75">
      <c r="A1467" s="10"/>
      <c r="B1467" s="10"/>
      <c r="C1467" s="10"/>
      <c r="D1467" s="10"/>
    </row>
    <row r="1468" spans="1:13" ht="12.75">
      <c r="A1468" s="10"/>
      <c r="B1468" s="10"/>
      <c r="C1468" s="10"/>
      <c r="D1468" s="10"/>
    </row>
    <row r="1469" spans="1:13" ht="12.75">
      <c r="A1469" s="10"/>
      <c r="B1469" s="10"/>
      <c r="C1469" s="10"/>
      <c r="D1469" s="10"/>
    </row>
    <row r="1470" spans="1:13" ht="12.75">
      <c r="A1470" s="10"/>
      <c r="B1470" s="10"/>
      <c r="C1470" s="10"/>
      <c r="D1470" s="10"/>
    </row>
    <row r="1471" spans="1:13" ht="12.75">
      <c r="A1471" s="10"/>
      <c r="B1471" s="10"/>
      <c r="C1471" s="10"/>
      <c r="D1471" s="10"/>
    </row>
    <row r="1472" spans="1:13" ht="12.75">
      <c r="A1472" s="10"/>
      <c r="B1472" s="10"/>
      <c r="C1472" s="10"/>
      <c r="D1472" s="10"/>
    </row>
    <row r="1473" spans="1:13" ht="12.75">
      <c r="A1473" s="10"/>
      <c r="B1473" s="10"/>
      <c r="C1473" s="10"/>
      <c r="D1473" s="10"/>
    </row>
    <row r="1474" spans="1:13" ht="12.75">
      <c r="A1474" s="10"/>
      <c r="B1474" s="10"/>
      <c r="C1474" s="10"/>
      <c r="D1474" s="10"/>
    </row>
    <row r="1475" spans="1:13" ht="12.75">
      <c r="A1475" s="10"/>
      <c r="B1475" s="10"/>
      <c r="C1475" s="10"/>
      <c r="D1475" s="10"/>
    </row>
    <row r="1476" spans="1:13" ht="12.75">
      <c r="A1476" s="10"/>
      <c r="B1476" s="10"/>
      <c r="C1476" s="10"/>
      <c r="D1476" s="10"/>
    </row>
    <row r="1477" spans="1:13" ht="12.75">
      <c r="A1477" s="10"/>
      <c r="B1477" s="10"/>
      <c r="C1477" s="10"/>
      <c r="D1477" s="10"/>
      <c r="H1477" s="420"/>
      <c r="I1477" s="420"/>
      <c r="J1477" s="420"/>
      <c r="L1477" s="420"/>
      <c r="M1477" s="420"/>
    </row>
    <row r="1478" spans="1:13" ht="12.75">
      <c r="A1478" s="10"/>
      <c r="B1478" s="10"/>
      <c r="C1478" s="10"/>
      <c r="D1478" s="10"/>
    </row>
    <row r="1479" spans="1:13" ht="12.75">
      <c r="A1479" s="10"/>
      <c r="B1479" s="10"/>
      <c r="C1479" s="10"/>
      <c r="D1479" s="10"/>
    </row>
    <row r="1480" spans="1:13" ht="12.75">
      <c r="A1480" s="10"/>
      <c r="B1480" s="10"/>
      <c r="C1480" s="10"/>
      <c r="D1480" s="10"/>
    </row>
    <row r="1481" spans="1:13" ht="12.75">
      <c r="A1481" s="10"/>
      <c r="B1481" s="10"/>
      <c r="C1481" s="10"/>
      <c r="D1481" s="10"/>
    </row>
    <row r="1482" spans="1:13" ht="12.75">
      <c r="A1482" s="10"/>
      <c r="B1482" s="10"/>
      <c r="C1482" s="10"/>
      <c r="D1482" s="10"/>
    </row>
    <row r="1483" spans="1:13" ht="12.75">
      <c r="A1483" s="10"/>
      <c r="B1483" s="10"/>
      <c r="C1483" s="10"/>
      <c r="D1483" s="10"/>
    </row>
    <row r="1484" spans="1:13" ht="12.75">
      <c r="A1484" s="10"/>
      <c r="B1484" s="10"/>
      <c r="C1484" s="10"/>
      <c r="D1484" s="10"/>
    </row>
    <row r="1485" spans="1:13" ht="12.75">
      <c r="A1485" s="10"/>
      <c r="B1485" s="10"/>
      <c r="C1485" s="10"/>
      <c r="D1485" s="10"/>
    </row>
    <row r="1486" spans="1:13" ht="12.75">
      <c r="A1486" s="10"/>
      <c r="B1486" s="10"/>
      <c r="C1486" s="10"/>
      <c r="D1486" s="10"/>
    </row>
    <row r="1487" spans="1:13" ht="12.75">
      <c r="A1487" s="10"/>
      <c r="B1487" s="10"/>
      <c r="C1487" s="10"/>
      <c r="D1487" s="10"/>
    </row>
    <row r="1488" spans="1:13" ht="12.75">
      <c r="A1488" s="10"/>
      <c r="B1488" s="10"/>
      <c r="C1488" s="10"/>
      <c r="D1488" s="10"/>
      <c r="H1488" s="420"/>
      <c r="I1488" s="420"/>
      <c r="J1488" s="420"/>
      <c r="L1488" s="420"/>
      <c r="M1488" s="420"/>
    </row>
    <row r="1489" spans="1:13" ht="12.75">
      <c r="A1489" s="10"/>
      <c r="B1489" s="10"/>
      <c r="C1489" s="10"/>
      <c r="D1489" s="10"/>
    </row>
    <row r="1490" spans="1:13" ht="12.75">
      <c r="A1490" s="10"/>
      <c r="B1490" s="10"/>
      <c r="C1490" s="10"/>
      <c r="D1490" s="10"/>
    </row>
    <row r="1491" spans="1:13" ht="12.75">
      <c r="A1491" s="10"/>
      <c r="B1491" s="10"/>
      <c r="C1491" s="10"/>
      <c r="D1491" s="10"/>
    </row>
    <row r="1492" spans="1:13" ht="12.75">
      <c r="A1492" s="10"/>
      <c r="B1492" s="10"/>
      <c r="C1492" s="10"/>
      <c r="D1492" s="10"/>
    </row>
    <row r="1493" spans="1:13" ht="12.75">
      <c r="A1493" s="10"/>
      <c r="B1493" s="10"/>
      <c r="C1493" s="10"/>
      <c r="D1493" s="10"/>
    </row>
    <row r="1494" spans="1:13" ht="12.75">
      <c r="A1494" s="10"/>
      <c r="B1494" s="10"/>
      <c r="C1494" s="10"/>
      <c r="D1494" s="10"/>
    </row>
    <row r="1495" spans="1:13" ht="12.75">
      <c r="A1495" s="10"/>
      <c r="B1495" s="10"/>
      <c r="C1495" s="10"/>
      <c r="D1495" s="10"/>
    </row>
    <row r="1496" spans="1:13" ht="12.75">
      <c r="A1496" s="10"/>
      <c r="B1496" s="10"/>
      <c r="C1496" s="10"/>
      <c r="D1496" s="10"/>
    </row>
    <row r="1497" spans="1:13" ht="12.75">
      <c r="A1497" s="10"/>
      <c r="B1497" s="10"/>
      <c r="C1497" s="10"/>
      <c r="D1497" s="10"/>
    </row>
    <row r="1498" spans="1:13" ht="12.75">
      <c r="A1498" s="10"/>
      <c r="B1498" s="10"/>
      <c r="C1498" s="10"/>
      <c r="D1498" s="10"/>
    </row>
    <row r="1499" spans="1:13" ht="12.75">
      <c r="A1499" s="10"/>
      <c r="B1499" s="10"/>
      <c r="C1499" s="10"/>
      <c r="D1499" s="10"/>
      <c r="H1499" s="420"/>
      <c r="I1499" s="420"/>
      <c r="J1499" s="420"/>
      <c r="L1499" s="420"/>
      <c r="M1499" s="420"/>
    </row>
    <row r="1500" spans="1:13" ht="12.75">
      <c r="A1500" s="10"/>
      <c r="B1500" s="10"/>
      <c r="C1500" s="10"/>
      <c r="D1500" s="10"/>
    </row>
    <row r="1501" spans="1:13" ht="12.75">
      <c r="A1501" s="10"/>
      <c r="B1501" s="10"/>
      <c r="C1501" s="10"/>
      <c r="D1501" s="10"/>
    </row>
    <row r="1502" spans="1:13" ht="12.75">
      <c r="A1502" s="10"/>
      <c r="B1502" s="10"/>
      <c r="C1502" s="10"/>
      <c r="D1502" s="10"/>
    </row>
    <row r="1503" spans="1:13" ht="12.75">
      <c r="A1503" s="10"/>
      <c r="B1503" s="10"/>
      <c r="C1503" s="10"/>
      <c r="D1503" s="10"/>
    </row>
    <row r="1504" spans="1:13" ht="12.75">
      <c r="A1504" s="10"/>
      <c r="B1504" s="10"/>
      <c r="C1504" s="10"/>
      <c r="D1504" s="10"/>
    </row>
    <row r="1505" spans="1:13" ht="12.75">
      <c r="A1505" s="10"/>
      <c r="B1505" s="10"/>
      <c r="C1505" s="10"/>
      <c r="D1505" s="10"/>
    </row>
    <row r="1506" spans="1:13" ht="12.75">
      <c r="A1506" s="10"/>
      <c r="B1506" s="10"/>
      <c r="C1506" s="10"/>
      <c r="D1506" s="10"/>
    </row>
    <row r="1507" spans="1:13" ht="12.75">
      <c r="A1507" s="10"/>
      <c r="B1507" s="10"/>
      <c r="C1507" s="10"/>
      <c r="D1507" s="10"/>
    </row>
    <row r="1508" spans="1:13" ht="12.75">
      <c r="A1508" s="10"/>
      <c r="B1508" s="10"/>
      <c r="C1508" s="10"/>
      <c r="D1508" s="10"/>
    </row>
    <row r="1509" spans="1:13" ht="12.75">
      <c r="A1509" s="10"/>
      <c r="B1509" s="10"/>
      <c r="C1509" s="10"/>
      <c r="D1509" s="10"/>
    </row>
    <row r="1510" spans="1:13" ht="12.75">
      <c r="A1510" s="10"/>
      <c r="B1510" s="10"/>
      <c r="C1510" s="10"/>
      <c r="D1510" s="10"/>
      <c r="H1510" s="420"/>
      <c r="I1510" s="420"/>
      <c r="J1510" s="420"/>
      <c r="L1510" s="420"/>
      <c r="M1510" s="420"/>
    </row>
    <row r="1511" spans="1:13" ht="12.75">
      <c r="A1511" s="10"/>
      <c r="B1511" s="10"/>
      <c r="C1511" s="10"/>
      <c r="D1511" s="10"/>
    </row>
    <row r="1512" spans="1:13" ht="12.75">
      <c r="A1512" s="10"/>
      <c r="B1512" s="10"/>
      <c r="C1512" s="10"/>
      <c r="D1512" s="10"/>
    </row>
    <row r="1513" spans="1:13" ht="12.75">
      <c r="A1513" s="10"/>
      <c r="B1513" s="10"/>
      <c r="C1513" s="10"/>
      <c r="D1513" s="10"/>
    </row>
    <row r="1514" spans="1:13" ht="12.75">
      <c r="A1514" s="10"/>
      <c r="B1514" s="10"/>
      <c r="C1514" s="10"/>
      <c r="D1514" s="10"/>
    </row>
    <row r="1515" spans="1:13" ht="12.75">
      <c r="A1515" s="10"/>
      <c r="B1515" s="10"/>
      <c r="C1515" s="10"/>
      <c r="D1515" s="10"/>
    </row>
    <row r="1516" spans="1:13" ht="12.75">
      <c r="A1516" s="10"/>
      <c r="B1516" s="10"/>
      <c r="C1516" s="10"/>
      <c r="D1516" s="10"/>
    </row>
    <row r="1517" spans="1:13" ht="12.75">
      <c r="A1517" s="10"/>
      <c r="B1517" s="10"/>
      <c r="C1517" s="10"/>
      <c r="D1517" s="10"/>
    </row>
    <row r="1518" spans="1:13" ht="12.75">
      <c r="A1518" s="10"/>
      <c r="B1518" s="10"/>
      <c r="C1518" s="10"/>
      <c r="D1518" s="10"/>
    </row>
    <row r="1519" spans="1:13" ht="12.75">
      <c r="A1519" s="10"/>
      <c r="B1519" s="10"/>
      <c r="C1519" s="10"/>
      <c r="D1519" s="10"/>
    </row>
    <row r="1520" spans="1:13" ht="12.75">
      <c r="A1520" s="10"/>
      <c r="B1520" s="10"/>
      <c r="C1520" s="10"/>
      <c r="D1520" s="10"/>
    </row>
    <row r="1521" spans="1:13" ht="12.75">
      <c r="A1521" s="10"/>
      <c r="B1521" s="10"/>
      <c r="C1521" s="10"/>
      <c r="D1521" s="10"/>
      <c r="H1521" s="420"/>
      <c r="I1521" s="420"/>
      <c r="J1521" s="420"/>
      <c r="L1521" s="420"/>
      <c r="M1521" s="420"/>
    </row>
    <row r="1522" spans="1:13" ht="12.75">
      <c r="A1522" s="10"/>
      <c r="B1522" s="10"/>
      <c r="C1522" s="10"/>
      <c r="D1522" s="10"/>
    </row>
    <row r="1523" spans="1:13" ht="12.75">
      <c r="A1523" s="10"/>
      <c r="B1523" s="10"/>
      <c r="C1523" s="10"/>
      <c r="D1523" s="10"/>
    </row>
    <row r="1524" spans="1:13" ht="12.75">
      <c r="A1524" s="10"/>
      <c r="B1524" s="10"/>
      <c r="C1524" s="10"/>
      <c r="D1524" s="10"/>
    </row>
    <row r="1525" spans="1:13" ht="12.75">
      <c r="A1525" s="10"/>
      <c r="B1525" s="10"/>
      <c r="C1525" s="10"/>
      <c r="D1525" s="10"/>
    </row>
    <row r="1526" spans="1:13" ht="12.75">
      <c r="A1526" s="10"/>
      <c r="B1526" s="10"/>
      <c r="C1526" s="10"/>
      <c r="D1526" s="10"/>
    </row>
    <row r="1527" spans="1:13" ht="12.75">
      <c r="A1527" s="10"/>
      <c r="B1527" s="10"/>
      <c r="C1527" s="10"/>
      <c r="D1527" s="10"/>
    </row>
    <row r="1528" spans="1:13" ht="12.75">
      <c r="A1528" s="10"/>
      <c r="B1528" s="10"/>
      <c r="C1528" s="10"/>
      <c r="D1528" s="10"/>
    </row>
    <row r="1529" spans="1:13" ht="12.75">
      <c r="A1529" s="10"/>
      <c r="B1529" s="10"/>
      <c r="C1529" s="10"/>
      <c r="D1529" s="10"/>
    </row>
    <row r="1530" spans="1:13" ht="12.75">
      <c r="A1530" s="10"/>
      <c r="B1530" s="10"/>
      <c r="C1530" s="10"/>
      <c r="D1530" s="10"/>
    </row>
    <row r="1531" spans="1:13" ht="12.75">
      <c r="A1531" s="10"/>
      <c r="B1531" s="10"/>
      <c r="C1531" s="10"/>
      <c r="D1531" s="10"/>
    </row>
    <row r="1532" spans="1:13" ht="12.75">
      <c r="A1532" s="10"/>
      <c r="B1532" s="10"/>
      <c r="C1532" s="10"/>
      <c r="D1532" s="10"/>
      <c r="H1532" s="420"/>
      <c r="I1532" s="420"/>
      <c r="J1532" s="420"/>
      <c r="L1532" s="420"/>
      <c r="M1532" s="420"/>
    </row>
    <row r="1533" spans="1:13" ht="12.75">
      <c r="A1533" s="10"/>
      <c r="B1533" s="10"/>
      <c r="C1533" s="10"/>
      <c r="D1533" s="10"/>
    </row>
    <row r="1534" spans="1:13" ht="12.75">
      <c r="A1534" s="10"/>
      <c r="B1534" s="10"/>
      <c r="C1534" s="10"/>
      <c r="D1534" s="10"/>
    </row>
    <row r="1535" spans="1:13" ht="12.75">
      <c r="A1535" s="10"/>
      <c r="B1535" s="10"/>
      <c r="C1535" s="10"/>
      <c r="D1535" s="10"/>
    </row>
    <row r="1536" spans="1:13" ht="12.75">
      <c r="A1536" s="10"/>
      <c r="B1536" s="10"/>
      <c r="C1536" s="10"/>
      <c r="D1536" s="10"/>
    </row>
    <row r="1537" spans="1:13" ht="12.75">
      <c r="A1537" s="10"/>
      <c r="B1537" s="10"/>
      <c r="C1537" s="10"/>
      <c r="D1537" s="10"/>
    </row>
    <row r="1538" spans="1:13" ht="12.75">
      <c r="A1538" s="10"/>
      <c r="B1538" s="10"/>
      <c r="C1538" s="10"/>
      <c r="D1538" s="10"/>
    </row>
    <row r="1539" spans="1:13" ht="12.75">
      <c r="A1539" s="10"/>
      <c r="B1539" s="10"/>
      <c r="C1539" s="10"/>
      <c r="D1539" s="10"/>
    </row>
    <row r="1540" spans="1:13" ht="12.75">
      <c r="A1540" s="10"/>
      <c r="B1540" s="10"/>
      <c r="C1540" s="10"/>
      <c r="D1540" s="10"/>
    </row>
    <row r="1541" spans="1:13" ht="12.75">
      <c r="A1541" s="10"/>
      <c r="B1541" s="10"/>
      <c r="C1541" s="10"/>
      <c r="D1541" s="10"/>
    </row>
    <row r="1542" spans="1:13" ht="12.75">
      <c r="A1542" s="10"/>
      <c r="B1542" s="10"/>
      <c r="C1542" s="10"/>
      <c r="D1542" s="10"/>
    </row>
    <row r="1543" spans="1:13" ht="12.75">
      <c r="A1543" s="10"/>
      <c r="B1543" s="10"/>
      <c r="C1543" s="10"/>
      <c r="D1543" s="10"/>
      <c r="H1543" s="420"/>
      <c r="I1543" s="420"/>
      <c r="J1543" s="420"/>
      <c r="L1543" s="420"/>
      <c r="M1543" s="420"/>
    </row>
    <row r="1544" spans="1:13" ht="12.75">
      <c r="A1544" s="10"/>
      <c r="B1544" s="10"/>
      <c r="C1544" s="10"/>
      <c r="D1544" s="10"/>
    </row>
    <row r="1545" spans="1:13" ht="12.75">
      <c r="A1545" s="10"/>
      <c r="B1545" s="10"/>
      <c r="C1545" s="10"/>
      <c r="D1545" s="10"/>
    </row>
    <row r="1546" spans="1:13" ht="12.75">
      <c r="A1546" s="10"/>
      <c r="B1546" s="10"/>
      <c r="C1546" s="10"/>
      <c r="D1546" s="10"/>
    </row>
    <row r="1547" spans="1:13" ht="12.75">
      <c r="A1547" s="10"/>
      <c r="B1547" s="10"/>
      <c r="C1547" s="10"/>
      <c r="D1547" s="10"/>
    </row>
    <row r="1548" spans="1:13" ht="12.75">
      <c r="A1548" s="10"/>
      <c r="B1548" s="10"/>
      <c r="C1548" s="10"/>
      <c r="D1548" s="10"/>
    </row>
    <row r="1549" spans="1:13" ht="12.75">
      <c r="A1549" s="10"/>
      <c r="B1549" s="10"/>
      <c r="C1549" s="10"/>
      <c r="D1549" s="10"/>
    </row>
    <row r="1550" spans="1:13" ht="12.75">
      <c r="A1550" s="10"/>
      <c r="B1550" s="10"/>
      <c r="C1550" s="10"/>
      <c r="D1550" s="10"/>
    </row>
    <row r="1551" spans="1:13" ht="12.75">
      <c r="A1551" s="10"/>
      <c r="B1551" s="10"/>
      <c r="C1551" s="10"/>
      <c r="D1551" s="10"/>
    </row>
    <row r="1552" spans="1:13" ht="12.75">
      <c r="A1552" s="10"/>
      <c r="B1552" s="10"/>
      <c r="C1552" s="10"/>
      <c r="D1552" s="10"/>
    </row>
    <row r="1553" spans="1:13" ht="12.75">
      <c r="A1553" s="10"/>
      <c r="B1553" s="10"/>
      <c r="C1553" s="10"/>
      <c r="D1553" s="10"/>
    </row>
    <row r="1554" spans="1:13" ht="12.75">
      <c r="A1554" s="10"/>
      <c r="B1554" s="10"/>
      <c r="C1554" s="10"/>
      <c r="D1554" s="10"/>
      <c r="H1554" s="420"/>
      <c r="I1554" s="420"/>
      <c r="J1554" s="420"/>
      <c r="L1554" s="420"/>
      <c r="M1554" s="420"/>
    </row>
    <row r="1555" spans="1:13" ht="12.75">
      <c r="A1555" s="10"/>
      <c r="B1555" s="10"/>
      <c r="C1555" s="10"/>
      <c r="D1555" s="10"/>
    </row>
    <row r="1556" spans="1:13" ht="12.75">
      <c r="A1556" s="10"/>
      <c r="B1556" s="10"/>
      <c r="C1556" s="10"/>
      <c r="D1556" s="10"/>
    </row>
    <row r="1557" spans="1:13" ht="12.75">
      <c r="A1557" s="10"/>
      <c r="B1557" s="10"/>
      <c r="C1557" s="10"/>
      <c r="D1557" s="10"/>
    </row>
    <row r="1558" spans="1:13" ht="12.75">
      <c r="A1558" s="10"/>
      <c r="B1558" s="10"/>
      <c r="C1558" s="10"/>
      <c r="D1558" s="10"/>
    </row>
    <row r="1559" spans="1:13" ht="12.75">
      <c r="A1559" s="10"/>
      <c r="B1559" s="10"/>
      <c r="C1559" s="10"/>
      <c r="D1559" s="10"/>
    </row>
    <row r="1560" spans="1:13" ht="12.75">
      <c r="A1560" s="10"/>
      <c r="B1560" s="10"/>
      <c r="C1560" s="10"/>
      <c r="D1560" s="10"/>
    </row>
    <row r="1561" spans="1:13" ht="12.75">
      <c r="A1561" s="10"/>
      <c r="B1561" s="10"/>
      <c r="C1561" s="10"/>
      <c r="D1561" s="10"/>
    </row>
    <row r="1562" spans="1:13" ht="12.75">
      <c r="A1562" s="10"/>
      <c r="B1562" s="10"/>
      <c r="C1562" s="10"/>
      <c r="D1562" s="10"/>
    </row>
    <row r="1563" spans="1:13" ht="12.75">
      <c r="A1563" s="10"/>
      <c r="B1563" s="10"/>
      <c r="C1563" s="10"/>
      <c r="D1563" s="10"/>
    </row>
    <row r="1564" spans="1:13" ht="12.75">
      <c r="A1564" s="10"/>
      <c r="B1564" s="10"/>
      <c r="C1564" s="10"/>
      <c r="D1564" s="10"/>
    </row>
    <row r="1565" spans="1:13" ht="12.75">
      <c r="A1565" s="10"/>
      <c r="B1565" s="10"/>
      <c r="C1565" s="10"/>
      <c r="D1565" s="10"/>
      <c r="H1565" s="420"/>
      <c r="I1565" s="420"/>
      <c r="J1565" s="420"/>
      <c r="L1565" s="420"/>
      <c r="M1565" s="420"/>
    </row>
    <row r="1566" spans="1:13" ht="12.75">
      <c r="A1566" s="10"/>
      <c r="B1566" s="10"/>
      <c r="C1566" s="10"/>
      <c r="D1566" s="10"/>
    </row>
    <row r="1567" spans="1:13" ht="12.75">
      <c r="A1567" s="10"/>
      <c r="B1567" s="10"/>
      <c r="C1567" s="10"/>
      <c r="D1567" s="10"/>
    </row>
    <row r="1568" spans="1:13" ht="12.75">
      <c r="A1568" s="10"/>
      <c r="B1568" s="10"/>
      <c r="C1568" s="10"/>
      <c r="D1568" s="10"/>
    </row>
    <row r="1569" spans="1:13" ht="12.75">
      <c r="A1569" s="10"/>
      <c r="B1569" s="10"/>
      <c r="C1569" s="10"/>
      <c r="D1569" s="10"/>
    </row>
    <row r="1570" spans="1:13" ht="12.75">
      <c r="A1570" s="10"/>
      <c r="B1570" s="10"/>
      <c r="C1570" s="10"/>
      <c r="D1570" s="10"/>
    </row>
    <row r="1571" spans="1:13" ht="12.75">
      <c r="A1571" s="10"/>
      <c r="B1571" s="10"/>
      <c r="C1571" s="10"/>
      <c r="D1571" s="10"/>
    </row>
    <row r="1572" spans="1:13" ht="12.75">
      <c r="A1572" s="10"/>
      <c r="B1572" s="10"/>
      <c r="C1572" s="10"/>
      <c r="D1572" s="10"/>
    </row>
    <row r="1573" spans="1:13" ht="12.75">
      <c r="A1573" s="10"/>
      <c r="B1573" s="10"/>
      <c r="C1573" s="10"/>
      <c r="D1573" s="10"/>
    </row>
    <row r="1574" spans="1:13" ht="12.75">
      <c r="A1574" s="10"/>
      <c r="B1574" s="10"/>
      <c r="C1574" s="10"/>
      <c r="D1574" s="10"/>
    </row>
    <row r="1575" spans="1:13" ht="12.75">
      <c r="A1575" s="10"/>
      <c r="B1575" s="10"/>
      <c r="C1575" s="10"/>
      <c r="D1575" s="10"/>
    </row>
    <row r="1576" spans="1:13" ht="12.75">
      <c r="A1576" s="10"/>
      <c r="B1576" s="10"/>
      <c r="C1576" s="10"/>
      <c r="D1576" s="10"/>
      <c r="H1576" s="420"/>
      <c r="I1576" s="420"/>
      <c r="J1576" s="420"/>
      <c r="L1576" s="420"/>
      <c r="M1576" s="420"/>
    </row>
    <row r="1577" spans="1:13" ht="12.75">
      <c r="A1577" s="10"/>
      <c r="B1577" s="10"/>
      <c r="C1577" s="10"/>
      <c r="D1577" s="10"/>
    </row>
    <row r="1578" spans="1:13" ht="12.75">
      <c r="A1578" s="10"/>
      <c r="B1578" s="10"/>
      <c r="C1578" s="10"/>
      <c r="D1578" s="10"/>
    </row>
    <row r="1579" spans="1:13" ht="12.75">
      <c r="A1579" s="10"/>
      <c r="B1579" s="10"/>
      <c r="C1579" s="10"/>
      <c r="D1579" s="10"/>
    </row>
    <row r="1580" spans="1:13" ht="12.75">
      <c r="A1580" s="10"/>
      <c r="B1580" s="10"/>
      <c r="C1580" s="10"/>
      <c r="D1580" s="10"/>
    </row>
    <row r="1581" spans="1:13" ht="12.75">
      <c r="A1581" s="10"/>
      <c r="B1581" s="10"/>
      <c r="C1581" s="10"/>
      <c r="D1581" s="10"/>
    </row>
    <row r="1582" spans="1:13" ht="12.75">
      <c r="A1582" s="10"/>
      <c r="B1582" s="10"/>
      <c r="C1582" s="10"/>
      <c r="D1582" s="10"/>
    </row>
    <row r="1583" spans="1:13" ht="12.75">
      <c r="A1583" s="10"/>
      <c r="B1583" s="10"/>
      <c r="C1583" s="10"/>
      <c r="D1583" s="10"/>
    </row>
    <row r="1584" spans="1:13" ht="12.75">
      <c r="A1584" s="10"/>
      <c r="B1584" s="10"/>
      <c r="C1584" s="10"/>
      <c r="D1584" s="10"/>
    </row>
    <row r="1585" spans="1:13" ht="12.75">
      <c r="A1585" s="10"/>
      <c r="B1585" s="10"/>
      <c r="C1585" s="10"/>
      <c r="D1585" s="10"/>
    </row>
    <row r="1586" spans="1:13" ht="12.75">
      <c r="A1586" s="10"/>
      <c r="B1586" s="10"/>
      <c r="C1586" s="10"/>
      <c r="D1586" s="10"/>
    </row>
    <row r="1587" spans="1:13" ht="12.75">
      <c r="A1587" s="10"/>
      <c r="B1587" s="10"/>
      <c r="C1587" s="10"/>
      <c r="D1587" s="10"/>
      <c r="H1587" s="420"/>
      <c r="I1587" s="420"/>
      <c r="J1587" s="420"/>
      <c r="L1587" s="420"/>
      <c r="M1587" s="420"/>
    </row>
    <row r="1588" spans="1:13" ht="12.75">
      <c r="A1588" s="10"/>
      <c r="B1588" s="10"/>
      <c r="C1588" s="10"/>
      <c r="D1588" s="10"/>
    </row>
    <row r="1589" spans="1:13" ht="12.75">
      <c r="A1589" s="10"/>
      <c r="B1589" s="10"/>
      <c r="C1589" s="10"/>
      <c r="D1589" s="10"/>
    </row>
    <row r="1590" spans="1:13" ht="12.75">
      <c r="A1590" s="10"/>
      <c r="B1590" s="10"/>
      <c r="C1590" s="10"/>
      <c r="D1590" s="10"/>
    </row>
    <row r="1591" spans="1:13" ht="12.75">
      <c r="A1591" s="10"/>
      <c r="B1591" s="10"/>
      <c r="C1591" s="10"/>
      <c r="D1591" s="10"/>
    </row>
    <row r="1592" spans="1:13" ht="12.75">
      <c r="A1592" s="10"/>
      <c r="B1592" s="10"/>
      <c r="C1592" s="10"/>
      <c r="D1592" s="10"/>
    </row>
    <row r="1593" spans="1:13" ht="12.75">
      <c r="A1593" s="10"/>
      <c r="B1593" s="10"/>
      <c r="C1593" s="10"/>
      <c r="D1593" s="10"/>
    </row>
    <row r="1594" spans="1:13" ht="12.75">
      <c r="A1594" s="10"/>
      <c r="B1594" s="10"/>
      <c r="C1594" s="10"/>
      <c r="D1594" s="10"/>
    </row>
    <row r="1595" spans="1:13" ht="12.75">
      <c r="A1595" s="10"/>
      <c r="B1595" s="10"/>
      <c r="C1595" s="10"/>
      <c r="D1595" s="10"/>
    </row>
    <row r="1596" spans="1:13" ht="12.75">
      <c r="A1596" s="10"/>
      <c r="B1596" s="10"/>
      <c r="C1596" s="10"/>
      <c r="D1596" s="10"/>
    </row>
    <row r="1597" spans="1:13" ht="12.75">
      <c r="A1597" s="10"/>
      <c r="B1597" s="10"/>
      <c r="C1597" s="10"/>
      <c r="D1597" s="10"/>
    </row>
    <row r="1598" spans="1:13" ht="12.75">
      <c r="A1598" s="10"/>
      <c r="B1598" s="10"/>
      <c r="C1598" s="10"/>
      <c r="D1598" s="10"/>
      <c r="H1598" s="420"/>
      <c r="I1598" s="420"/>
      <c r="J1598" s="420"/>
      <c r="L1598" s="420"/>
      <c r="M1598" s="420"/>
    </row>
    <row r="1599" spans="1:13" ht="12.75">
      <c r="A1599" s="10"/>
      <c r="B1599" s="10"/>
      <c r="C1599" s="10"/>
      <c r="D1599" s="10"/>
    </row>
    <row r="1600" spans="1:13" ht="12.75">
      <c r="A1600" s="10"/>
      <c r="B1600" s="10"/>
      <c r="C1600" s="10"/>
      <c r="D1600" s="10"/>
    </row>
    <row r="1601" spans="1:13" ht="12.75">
      <c r="A1601" s="10"/>
      <c r="B1601" s="10"/>
      <c r="C1601" s="10"/>
      <c r="D1601" s="10"/>
    </row>
    <row r="1602" spans="1:13" ht="12.75">
      <c r="A1602" s="10"/>
      <c r="B1602" s="10"/>
      <c r="C1602" s="10"/>
      <c r="D1602" s="10"/>
    </row>
    <row r="1603" spans="1:13" ht="12.75">
      <c r="A1603" s="10"/>
      <c r="B1603" s="10"/>
      <c r="C1603" s="10"/>
      <c r="D1603" s="10"/>
    </row>
    <row r="1604" spans="1:13" ht="12.75">
      <c r="A1604" s="10"/>
      <c r="B1604" s="10"/>
      <c r="C1604" s="10"/>
      <c r="D1604" s="10"/>
    </row>
    <row r="1605" spans="1:13" ht="12.75">
      <c r="A1605" s="10"/>
      <c r="B1605" s="10"/>
      <c r="C1605" s="10"/>
      <c r="D1605" s="10"/>
    </row>
    <row r="1606" spans="1:13" ht="12.75">
      <c r="A1606" s="10"/>
      <c r="B1606" s="10"/>
      <c r="C1606" s="10"/>
      <c r="D1606" s="10"/>
    </row>
    <row r="1607" spans="1:13" ht="12.75">
      <c r="A1607" s="10"/>
      <c r="B1607" s="10"/>
      <c r="C1607" s="10"/>
      <c r="D1607" s="10"/>
    </row>
    <row r="1608" spans="1:13" ht="12.75">
      <c r="A1608" s="10"/>
      <c r="B1608" s="10"/>
      <c r="C1608" s="10"/>
      <c r="D1608" s="10"/>
    </row>
    <row r="1609" spans="1:13" ht="12.75">
      <c r="A1609" s="10"/>
      <c r="B1609" s="10"/>
      <c r="C1609" s="10"/>
      <c r="D1609" s="10"/>
      <c r="H1609" s="420"/>
      <c r="I1609" s="420"/>
      <c r="J1609" s="420"/>
      <c r="L1609" s="420"/>
      <c r="M1609" s="420"/>
    </row>
    <row r="1610" spans="1:13" ht="12.75">
      <c r="A1610" s="10"/>
      <c r="B1610" s="10"/>
      <c r="C1610" s="10"/>
      <c r="D1610" s="10"/>
    </row>
    <row r="1611" spans="1:13" ht="12.75">
      <c r="A1611" s="10"/>
      <c r="B1611" s="10"/>
      <c r="C1611" s="10"/>
      <c r="D1611" s="10"/>
    </row>
    <row r="1612" spans="1:13" ht="12.75">
      <c r="A1612" s="10"/>
      <c r="B1612" s="10"/>
      <c r="C1612" s="10"/>
      <c r="D1612" s="10"/>
    </row>
    <row r="1613" spans="1:13" ht="12.75">
      <c r="A1613" s="10"/>
      <c r="B1613" s="10"/>
      <c r="C1613" s="10"/>
      <c r="D1613" s="10"/>
    </row>
    <row r="1614" spans="1:13" ht="12.75">
      <c r="A1614" s="10"/>
      <c r="B1614" s="10"/>
      <c r="C1614" s="10"/>
      <c r="D1614" s="10"/>
    </row>
    <row r="1615" spans="1:13" ht="12.75">
      <c r="A1615" s="10"/>
      <c r="B1615" s="10"/>
      <c r="C1615" s="10"/>
      <c r="D1615" s="10"/>
    </row>
    <row r="1616" spans="1:13" ht="12.75">
      <c r="A1616" s="10"/>
      <c r="B1616" s="10"/>
      <c r="C1616" s="10"/>
      <c r="D1616" s="10"/>
    </row>
    <row r="1617" spans="1:13" ht="12.75">
      <c r="A1617" s="10"/>
      <c r="B1617" s="10"/>
      <c r="C1617" s="10"/>
      <c r="D1617" s="10"/>
    </row>
    <row r="1618" spans="1:13" ht="12.75">
      <c r="A1618" s="10"/>
      <c r="B1618" s="10"/>
      <c r="C1618" s="10"/>
      <c r="D1618" s="10"/>
    </row>
    <row r="1619" spans="1:13" ht="12.75">
      <c r="A1619" s="10"/>
      <c r="B1619" s="10"/>
      <c r="C1619" s="10"/>
      <c r="D1619" s="10"/>
    </row>
    <row r="1620" spans="1:13" ht="12.75">
      <c r="A1620" s="10"/>
      <c r="B1620" s="10"/>
      <c r="C1620" s="10"/>
      <c r="D1620" s="10"/>
      <c r="H1620" s="420"/>
      <c r="I1620" s="420"/>
      <c r="J1620" s="420"/>
      <c r="L1620" s="420"/>
      <c r="M1620" s="420"/>
    </row>
    <row r="1621" spans="1:13" ht="12.75">
      <c r="A1621" s="10"/>
      <c r="B1621" s="10"/>
      <c r="C1621" s="10"/>
      <c r="D1621" s="10"/>
    </row>
    <row r="1622" spans="1:13" ht="12.75">
      <c r="A1622" s="10"/>
      <c r="B1622" s="10"/>
      <c r="C1622" s="10"/>
      <c r="D1622" s="10"/>
    </row>
    <row r="1623" spans="1:13" ht="12.75">
      <c r="A1623" s="10"/>
      <c r="B1623" s="10"/>
      <c r="C1623" s="10"/>
      <c r="D1623" s="10"/>
    </row>
    <row r="1624" spans="1:13" ht="12.75">
      <c r="A1624" s="10"/>
      <c r="B1624" s="10"/>
      <c r="C1624" s="10"/>
      <c r="D1624" s="10"/>
    </row>
    <row r="1625" spans="1:13" ht="12.75">
      <c r="A1625" s="10"/>
      <c r="B1625" s="10"/>
      <c r="C1625" s="10"/>
      <c r="D1625" s="10"/>
    </row>
    <row r="1626" spans="1:13" ht="12.75">
      <c r="A1626" s="10"/>
      <c r="B1626" s="10"/>
      <c r="C1626" s="10"/>
      <c r="D1626" s="10"/>
    </row>
    <row r="1627" spans="1:13" ht="12.75">
      <c r="A1627" s="10"/>
      <c r="B1627" s="10"/>
      <c r="C1627" s="10"/>
      <c r="D1627" s="10"/>
    </row>
    <row r="1628" spans="1:13" ht="12.75">
      <c r="A1628" s="10"/>
      <c r="B1628" s="10"/>
      <c r="C1628" s="10"/>
      <c r="D1628" s="10"/>
    </row>
    <row r="1629" spans="1:13" ht="12.75">
      <c r="A1629" s="10"/>
      <c r="B1629" s="10"/>
      <c r="C1629" s="10"/>
      <c r="D1629" s="10"/>
    </row>
    <row r="1630" spans="1:13" ht="12.75">
      <c r="A1630" s="10"/>
      <c r="B1630" s="10"/>
      <c r="C1630" s="10"/>
      <c r="D1630" s="10"/>
    </row>
    <row r="1631" spans="1:13" ht="12.75">
      <c r="A1631" s="10"/>
      <c r="B1631" s="10"/>
      <c r="C1631" s="10"/>
      <c r="D1631" s="10"/>
      <c r="H1631" s="420"/>
      <c r="I1631" s="420"/>
      <c r="J1631" s="420"/>
      <c r="L1631" s="420"/>
      <c r="M1631" s="420"/>
    </row>
    <row r="1632" spans="1:13" ht="12.75">
      <c r="A1632" s="10"/>
      <c r="B1632" s="10"/>
      <c r="C1632" s="10"/>
      <c r="D1632" s="10"/>
    </row>
    <row r="1633" spans="1:13" ht="12.75">
      <c r="A1633" s="10"/>
      <c r="B1633" s="10"/>
      <c r="C1633" s="10"/>
      <c r="D1633" s="10"/>
    </row>
    <row r="1634" spans="1:13" ht="12.75">
      <c r="A1634" s="10"/>
      <c r="B1634" s="10"/>
      <c r="C1634" s="10"/>
      <c r="D1634" s="10"/>
    </row>
    <row r="1635" spans="1:13" ht="12.75">
      <c r="A1635" s="10"/>
      <c r="B1635" s="10"/>
      <c r="C1635" s="10"/>
      <c r="D1635" s="10"/>
    </row>
    <row r="1636" spans="1:13" ht="12.75">
      <c r="A1636" s="10"/>
      <c r="B1636" s="10"/>
      <c r="C1636" s="10"/>
      <c r="D1636" s="10"/>
    </row>
    <row r="1637" spans="1:13" ht="12.75">
      <c r="A1637" s="10"/>
      <c r="B1637" s="10"/>
      <c r="C1637" s="10"/>
      <c r="D1637" s="10"/>
    </row>
    <row r="1638" spans="1:13" ht="12.75">
      <c r="A1638" s="10"/>
      <c r="B1638" s="10"/>
      <c r="C1638" s="10"/>
      <c r="D1638" s="10"/>
    </row>
    <row r="1639" spans="1:13" ht="12.75">
      <c r="A1639" s="10"/>
      <c r="B1639" s="10"/>
      <c r="C1639" s="10"/>
      <c r="D1639" s="10"/>
    </row>
    <row r="1640" spans="1:13" ht="12.75">
      <c r="A1640" s="10"/>
      <c r="B1640" s="10"/>
      <c r="C1640" s="10"/>
      <c r="D1640" s="10"/>
    </row>
    <row r="1641" spans="1:13" ht="12.75">
      <c r="A1641" s="10"/>
      <c r="B1641" s="10"/>
      <c r="C1641" s="10"/>
      <c r="D1641" s="10"/>
    </row>
    <row r="1642" spans="1:13" ht="12.75">
      <c r="A1642" s="10"/>
      <c r="B1642" s="10"/>
      <c r="C1642" s="10"/>
      <c r="D1642" s="10"/>
      <c r="H1642" s="420"/>
      <c r="I1642" s="420"/>
      <c r="J1642" s="420"/>
      <c r="L1642" s="420"/>
      <c r="M1642" s="420"/>
    </row>
    <row r="1643" spans="1:13" ht="12.75">
      <c r="A1643" s="10"/>
      <c r="B1643" s="10"/>
      <c r="C1643" s="10"/>
      <c r="D1643" s="10"/>
    </row>
    <row r="1644" spans="1:13" ht="12.75">
      <c r="A1644" s="10"/>
      <c r="B1644" s="10"/>
      <c r="C1644" s="10"/>
      <c r="D1644" s="10"/>
    </row>
    <row r="1645" spans="1:13" ht="12.75">
      <c r="A1645" s="10"/>
      <c r="B1645" s="10"/>
      <c r="C1645" s="10"/>
      <c r="D1645" s="10"/>
    </row>
    <row r="1646" spans="1:13" ht="12.75">
      <c r="A1646" s="10"/>
      <c r="B1646" s="10"/>
      <c r="C1646" s="10"/>
      <c r="D1646" s="10"/>
    </row>
    <row r="1647" spans="1:13" ht="12.75">
      <c r="A1647" s="10"/>
      <c r="B1647" s="10"/>
      <c r="C1647" s="10"/>
      <c r="D1647" s="10"/>
    </row>
    <row r="1648" spans="1:13" ht="12.75">
      <c r="A1648" s="10"/>
      <c r="B1648" s="10"/>
      <c r="C1648" s="10"/>
      <c r="D1648" s="10"/>
    </row>
    <row r="1649" spans="1:13" ht="12.75">
      <c r="A1649" s="10"/>
      <c r="B1649" s="10"/>
      <c r="C1649" s="10"/>
      <c r="D1649" s="10"/>
    </row>
    <row r="1650" spans="1:13" ht="12.75">
      <c r="A1650" s="10"/>
      <c r="B1650" s="10"/>
      <c r="C1650" s="10"/>
      <c r="D1650" s="10"/>
    </row>
    <row r="1651" spans="1:13" ht="12.75">
      <c r="A1651" s="10"/>
      <c r="B1651" s="10"/>
      <c r="C1651" s="10"/>
      <c r="D1651" s="10"/>
    </row>
    <row r="1652" spans="1:13" ht="12.75">
      <c r="A1652" s="10"/>
      <c r="B1652" s="10"/>
      <c r="C1652" s="10"/>
      <c r="D1652" s="10"/>
    </row>
    <row r="1653" spans="1:13" ht="12.75">
      <c r="A1653" s="10"/>
      <c r="B1653" s="10"/>
      <c r="C1653" s="10"/>
      <c r="D1653" s="10"/>
      <c r="H1653" s="420"/>
      <c r="I1653" s="420"/>
      <c r="J1653" s="420"/>
      <c r="L1653" s="420"/>
      <c r="M1653" s="420"/>
    </row>
    <row r="1654" spans="1:13" ht="12.75">
      <c r="A1654" s="10"/>
      <c r="B1654" s="10"/>
      <c r="C1654" s="10"/>
      <c r="D1654" s="10"/>
    </row>
    <row r="1655" spans="1:13" ht="12.75">
      <c r="A1655" s="10"/>
      <c r="B1655" s="10"/>
      <c r="C1655" s="10"/>
      <c r="D1655" s="10"/>
    </row>
    <row r="1656" spans="1:13" ht="12.75">
      <c r="A1656" s="10"/>
      <c r="B1656" s="10"/>
      <c r="C1656" s="10"/>
      <c r="D1656" s="10"/>
    </row>
    <row r="1657" spans="1:13" ht="12.75">
      <c r="A1657" s="10"/>
      <c r="B1657" s="10"/>
      <c r="C1657" s="10"/>
      <c r="D1657" s="10"/>
    </row>
    <row r="1658" spans="1:13" ht="12.75">
      <c r="A1658" s="10"/>
      <c r="B1658" s="10"/>
      <c r="C1658" s="10"/>
      <c r="D1658" s="10"/>
    </row>
    <row r="1659" spans="1:13" ht="12.75">
      <c r="A1659" s="10"/>
      <c r="B1659" s="10"/>
      <c r="C1659" s="10"/>
      <c r="D1659" s="10"/>
    </row>
    <row r="1660" spans="1:13" ht="12.75">
      <c r="A1660" s="10"/>
      <c r="B1660" s="10"/>
      <c r="C1660" s="10"/>
      <c r="D1660" s="10"/>
    </row>
    <row r="1661" spans="1:13" ht="12.75">
      <c r="A1661" s="10"/>
      <c r="B1661" s="10"/>
      <c r="C1661" s="10"/>
      <c r="D1661" s="10"/>
    </row>
    <row r="1662" spans="1:13" ht="12.75">
      <c r="A1662" s="10"/>
      <c r="B1662" s="10"/>
      <c r="C1662" s="10"/>
      <c r="D1662" s="10"/>
    </row>
    <row r="1663" spans="1:13" ht="12.75">
      <c r="A1663" s="10"/>
      <c r="B1663" s="10"/>
      <c r="C1663" s="10"/>
      <c r="D1663" s="10"/>
    </row>
    <row r="1664" spans="1:13" ht="12.75">
      <c r="A1664" s="10"/>
      <c r="B1664" s="10"/>
      <c r="C1664" s="10"/>
      <c r="D1664" s="10"/>
      <c r="H1664" s="420"/>
      <c r="I1664" s="420"/>
      <c r="J1664" s="420"/>
      <c r="L1664" s="420"/>
      <c r="M1664" s="420"/>
    </row>
    <row r="1665" spans="1:13" ht="12.75">
      <c r="A1665" s="10"/>
      <c r="B1665" s="10"/>
      <c r="C1665" s="10"/>
      <c r="D1665" s="10"/>
    </row>
    <row r="1666" spans="1:13" ht="12.75">
      <c r="A1666" s="10"/>
      <c r="B1666" s="10"/>
      <c r="C1666" s="10"/>
      <c r="D1666" s="10"/>
    </row>
    <row r="1667" spans="1:13" ht="12.75">
      <c r="A1667" s="10"/>
      <c r="B1667" s="10"/>
      <c r="C1667" s="10"/>
      <c r="D1667" s="10"/>
    </row>
    <row r="1668" spans="1:13" ht="12.75">
      <c r="A1668" s="10"/>
      <c r="B1668" s="10"/>
      <c r="C1668" s="10"/>
      <c r="D1668" s="10"/>
    </row>
    <row r="1669" spans="1:13" ht="12.75">
      <c r="A1669" s="10"/>
      <c r="B1669" s="10"/>
      <c r="C1669" s="10"/>
      <c r="D1669" s="10"/>
    </row>
    <row r="1670" spans="1:13" ht="12.75">
      <c r="A1670" s="10"/>
      <c r="B1670" s="10"/>
      <c r="C1670" s="10"/>
      <c r="D1670" s="10"/>
    </row>
    <row r="1671" spans="1:13" ht="12.75">
      <c r="A1671" s="10"/>
      <c r="B1671" s="10"/>
      <c r="C1671" s="10"/>
      <c r="D1671" s="10"/>
    </row>
    <row r="1672" spans="1:13" ht="12.75">
      <c r="A1672" s="10"/>
      <c r="B1672" s="10"/>
      <c r="C1672" s="10"/>
      <c r="D1672" s="10"/>
    </row>
    <row r="1673" spans="1:13" ht="12.75">
      <c r="A1673" s="10"/>
      <c r="B1673" s="10"/>
      <c r="C1673" s="10"/>
      <c r="D1673" s="10"/>
    </row>
    <row r="1674" spans="1:13" ht="12.75">
      <c r="A1674" s="10"/>
      <c r="B1674" s="10"/>
      <c r="C1674" s="10"/>
      <c r="D1674" s="10"/>
    </row>
    <row r="1675" spans="1:13" ht="12.75">
      <c r="A1675" s="10"/>
      <c r="B1675" s="10"/>
      <c r="C1675" s="10"/>
      <c r="D1675" s="10"/>
      <c r="H1675" s="420"/>
      <c r="I1675" s="420"/>
      <c r="J1675" s="420"/>
      <c r="L1675" s="420"/>
      <c r="M1675" s="420"/>
    </row>
    <row r="1676" spans="1:13" ht="12.75">
      <c r="A1676" s="10"/>
      <c r="B1676" s="10"/>
      <c r="C1676" s="10"/>
      <c r="D1676" s="10"/>
    </row>
    <row r="1677" spans="1:13" ht="12.75">
      <c r="A1677" s="10"/>
      <c r="B1677" s="10"/>
      <c r="C1677" s="10"/>
      <c r="D1677" s="10"/>
    </row>
    <row r="1678" spans="1:13" ht="12.75">
      <c r="A1678" s="10"/>
      <c r="B1678" s="10"/>
      <c r="C1678" s="10"/>
      <c r="D1678" s="10"/>
    </row>
    <row r="1679" spans="1:13" ht="12.75">
      <c r="A1679" s="10"/>
      <c r="B1679" s="10"/>
      <c r="C1679" s="10"/>
      <c r="D1679" s="10"/>
    </row>
    <row r="1680" spans="1:13" ht="12.75">
      <c r="A1680" s="10"/>
      <c r="B1680" s="10"/>
      <c r="C1680" s="10"/>
      <c r="D1680" s="10"/>
    </row>
    <row r="1681" spans="1:13" ht="12.75">
      <c r="A1681" s="10"/>
      <c r="B1681" s="10"/>
      <c r="C1681" s="10"/>
      <c r="D1681" s="10"/>
    </row>
    <row r="1682" spans="1:13" ht="12.75">
      <c r="A1682" s="10"/>
      <c r="B1682" s="10"/>
      <c r="C1682" s="10"/>
      <c r="D1682" s="10"/>
    </row>
    <row r="1683" spans="1:13" ht="12.75">
      <c r="A1683" s="10"/>
      <c r="B1683" s="10"/>
      <c r="C1683" s="10"/>
      <c r="D1683" s="10"/>
    </row>
    <row r="1684" spans="1:13" ht="12.75">
      <c r="A1684" s="10"/>
      <c r="B1684" s="10"/>
      <c r="C1684" s="10"/>
      <c r="D1684" s="10"/>
    </row>
    <row r="1685" spans="1:13" ht="12.75">
      <c r="A1685" s="10"/>
      <c r="B1685" s="10"/>
      <c r="C1685" s="10"/>
      <c r="D1685" s="10"/>
    </row>
    <row r="1686" spans="1:13" ht="12.75">
      <c r="A1686" s="10"/>
      <c r="B1686" s="10"/>
      <c r="C1686" s="10"/>
      <c r="D1686" s="10"/>
      <c r="H1686" s="420"/>
      <c r="I1686" s="420"/>
      <c r="J1686" s="420"/>
      <c r="L1686" s="420"/>
      <c r="M1686" s="420"/>
    </row>
    <row r="1687" spans="1:13" ht="12.75">
      <c r="A1687" s="10"/>
      <c r="B1687" s="10"/>
      <c r="C1687" s="10"/>
      <c r="D1687" s="10"/>
    </row>
    <row r="1688" spans="1:13" ht="12.75">
      <c r="A1688" s="10"/>
      <c r="B1688" s="10"/>
      <c r="C1688" s="10"/>
      <c r="D1688" s="10"/>
    </row>
    <row r="1689" spans="1:13" ht="12.75">
      <c r="A1689" s="10"/>
      <c r="B1689" s="10"/>
      <c r="C1689" s="10"/>
      <c r="D1689" s="10"/>
    </row>
    <row r="1690" spans="1:13" ht="12.75">
      <c r="A1690" s="10"/>
      <c r="B1690" s="10"/>
      <c r="C1690" s="10"/>
      <c r="D1690" s="10"/>
    </row>
    <row r="1691" spans="1:13" ht="12.75">
      <c r="A1691" s="10"/>
      <c r="B1691" s="10"/>
      <c r="C1691" s="10"/>
      <c r="D1691" s="10"/>
    </row>
    <row r="1692" spans="1:13" ht="12.75">
      <c r="A1692" s="10"/>
      <c r="B1692" s="10"/>
      <c r="C1692" s="10"/>
      <c r="D1692" s="10"/>
    </row>
    <row r="1693" spans="1:13" ht="12.75">
      <c r="A1693" s="10"/>
      <c r="B1693" s="10"/>
      <c r="C1693" s="10"/>
      <c r="D1693" s="10"/>
    </row>
    <row r="1694" spans="1:13" ht="12.75">
      <c r="A1694" s="10"/>
      <c r="B1694" s="10"/>
      <c r="C1694" s="10"/>
      <c r="D1694" s="10"/>
    </row>
    <row r="1695" spans="1:13" ht="12.75">
      <c r="A1695" s="10"/>
      <c r="B1695" s="10"/>
      <c r="C1695" s="10"/>
      <c r="D1695" s="10"/>
    </row>
    <row r="1696" spans="1:13" ht="12.75">
      <c r="A1696" s="10"/>
      <c r="B1696" s="10"/>
      <c r="C1696" s="10"/>
      <c r="D1696" s="10"/>
    </row>
    <row r="1697" spans="1:13" ht="12.75">
      <c r="A1697" s="10"/>
      <c r="B1697" s="10"/>
      <c r="C1697" s="10"/>
      <c r="D1697" s="10"/>
      <c r="H1697" s="420"/>
      <c r="I1697" s="420"/>
      <c r="J1697" s="420"/>
      <c r="L1697" s="420"/>
      <c r="M1697" s="420"/>
    </row>
    <row r="1698" spans="1:13" ht="12.75">
      <c r="A1698" s="10"/>
      <c r="B1698" s="10"/>
      <c r="C1698" s="10"/>
      <c r="D1698" s="10"/>
    </row>
    <row r="1699" spans="1:13" ht="12.75">
      <c r="A1699" s="10"/>
      <c r="B1699" s="10"/>
      <c r="C1699" s="10"/>
      <c r="D1699" s="10"/>
    </row>
    <row r="1700" spans="1:13" ht="12.75">
      <c r="A1700" s="10"/>
      <c r="B1700" s="10"/>
      <c r="C1700" s="10"/>
      <c r="D1700" s="10"/>
    </row>
    <row r="1701" spans="1:13" ht="12.75">
      <c r="A1701" s="10"/>
      <c r="B1701" s="10"/>
      <c r="C1701" s="10"/>
      <c r="D1701" s="10"/>
    </row>
    <row r="1702" spans="1:13" ht="12.75">
      <c r="A1702" s="10"/>
      <c r="B1702" s="10"/>
      <c r="C1702" s="10"/>
      <c r="D1702" s="10"/>
    </row>
    <row r="1703" spans="1:13" ht="12.75">
      <c r="A1703" s="10"/>
      <c r="B1703" s="10"/>
      <c r="C1703" s="10"/>
      <c r="D1703" s="10"/>
    </row>
    <row r="1704" spans="1:13" ht="12.75">
      <c r="A1704" s="10"/>
      <c r="B1704" s="10"/>
      <c r="C1704" s="10"/>
      <c r="D1704" s="10"/>
    </row>
    <row r="1705" spans="1:13" ht="12.75">
      <c r="A1705" s="10"/>
      <c r="B1705" s="10"/>
      <c r="C1705" s="10"/>
      <c r="D1705" s="10"/>
    </row>
    <row r="1706" spans="1:13" ht="12.75">
      <c r="A1706" s="10"/>
      <c r="B1706" s="10"/>
      <c r="C1706" s="10"/>
      <c r="D1706" s="10"/>
    </row>
    <row r="1707" spans="1:13" ht="12.75">
      <c r="A1707" s="10"/>
      <c r="B1707" s="10"/>
      <c r="C1707" s="10"/>
      <c r="D1707" s="10"/>
    </row>
    <row r="1708" spans="1:13" ht="12.75">
      <c r="A1708" s="10"/>
      <c r="B1708" s="10"/>
      <c r="C1708" s="10"/>
      <c r="D1708" s="10"/>
      <c r="H1708" s="420"/>
      <c r="I1708" s="420"/>
      <c r="J1708" s="420"/>
      <c r="L1708" s="420"/>
      <c r="M1708" s="420"/>
    </row>
    <row r="1709" spans="1:13" ht="12.75">
      <c r="A1709" s="10"/>
      <c r="B1709" s="10"/>
      <c r="C1709" s="10"/>
      <c r="D1709" s="10"/>
    </row>
    <row r="1710" spans="1:13" ht="12.75">
      <c r="A1710" s="10"/>
      <c r="B1710" s="10"/>
      <c r="C1710" s="10"/>
      <c r="D1710" s="10"/>
    </row>
    <row r="1711" spans="1:13" ht="12.75">
      <c r="A1711" s="10"/>
      <c r="B1711" s="10"/>
      <c r="C1711" s="10"/>
      <c r="D1711" s="10"/>
    </row>
    <row r="1712" spans="1:13" ht="12.75">
      <c r="A1712" s="10"/>
      <c r="B1712" s="10"/>
      <c r="C1712" s="10"/>
      <c r="D1712" s="10"/>
    </row>
    <row r="1713" spans="1:13" ht="12.75">
      <c r="A1713" s="10"/>
      <c r="B1713" s="10"/>
      <c r="C1713" s="10"/>
      <c r="D1713" s="10"/>
    </row>
    <row r="1714" spans="1:13" ht="12.75">
      <c r="A1714" s="10"/>
      <c r="B1714" s="10"/>
      <c r="C1714" s="10"/>
      <c r="D1714" s="10"/>
    </row>
    <row r="1715" spans="1:13" ht="12.75">
      <c r="A1715" s="10"/>
      <c r="B1715" s="10"/>
      <c r="C1715" s="10"/>
      <c r="D1715" s="10"/>
    </row>
    <row r="1716" spans="1:13" ht="12.75">
      <c r="A1716" s="10"/>
      <c r="B1716" s="10"/>
      <c r="C1716" s="10"/>
      <c r="D1716" s="10"/>
    </row>
    <row r="1717" spans="1:13" ht="12.75">
      <c r="A1717" s="10"/>
      <c r="B1717" s="10"/>
      <c r="C1717" s="10"/>
      <c r="D1717" s="10"/>
    </row>
    <row r="1718" spans="1:13" ht="12.75">
      <c r="A1718" s="10"/>
      <c r="B1718" s="10"/>
      <c r="C1718" s="10"/>
      <c r="D1718" s="10"/>
    </row>
    <row r="1719" spans="1:13" ht="12.75">
      <c r="A1719" s="10"/>
      <c r="B1719" s="10"/>
      <c r="C1719" s="10"/>
      <c r="D1719" s="10"/>
      <c r="H1719" s="420"/>
      <c r="I1719" s="420"/>
      <c r="J1719" s="420"/>
      <c r="L1719" s="420"/>
      <c r="M1719" s="420"/>
    </row>
    <row r="1720" spans="1:13" ht="12.75">
      <c r="A1720" s="10"/>
      <c r="B1720" s="10"/>
      <c r="C1720" s="10"/>
      <c r="D1720" s="10"/>
    </row>
    <row r="1721" spans="1:13" ht="12.75">
      <c r="A1721" s="10"/>
      <c r="B1721" s="10"/>
      <c r="C1721" s="10"/>
      <c r="D1721" s="10"/>
    </row>
    <row r="1722" spans="1:13" ht="12.75">
      <c r="A1722" s="10"/>
      <c r="B1722" s="10"/>
      <c r="C1722" s="10"/>
      <c r="D1722" s="10"/>
    </row>
    <row r="1723" spans="1:13" ht="12.75">
      <c r="A1723" s="10"/>
      <c r="B1723" s="10"/>
      <c r="C1723" s="10"/>
      <c r="D1723" s="10"/>
    </row>
    <row r="1724" spans="1:13" ht="12.75">
      <c r="A1724" s="10"/>
      <c r="B1724" s="10"/>
      <c r="C1724" s="10"/>
      <c r="D1724" s="10"/>
    </row>
    <row r="1725" spans="1:13" ht="12.75">
      <c r="A1725" s="10"/>
      <c r="B1725" s="10"/>
      <c r="C1725" s="10"/>
      <c r="D1725" s="10"/>
    </row>
    <row r="1726" spans="1:13" ht="12.75">
      <c r="A1726" s="10"/>
      <c r="B1726" s="10"/>
      <c r="C1726" s="10"/>
      <c r="D1726" s="10"/>
    </row>
    <row r="1727" spans="1:13" ht="12.75">
      <c r="A1727" s="10"/>
      <c r="B1727" s="10"/>
      <c r="C1727" s="10"/>
      <c r="D1727" s="10"/>
    </row>
    <row r="1728" spans="1:13" ht="12.75">
      <c r="A1728" s="10"/>
      <c r="B1728" s="10"/>
      <c r="C1728" s="10"/>
      <c r="D1728" s="10"/>
    </row>
    <row r="1729" spans="1:4" ht="12.75">
      <c r="A1729" s="10"/>
      <c r="B1729" s="10"/>
      <c r="C1729" s="10"/>
      <c r="D1729" s="10"/>
    </row>
    <row r="1730" spans="1:4" ht="12.75">
      <c r="A1730" s="10"/>
      <c r="B1730" s="10"/>
      <c r="C1730" s="10"/>
      <c r="D1730" s="10"/>
    </row>
    <row r="1731" spans="1:4" ht="12.75">
      <c r="A1731" s="10"/>
      <c r="B1731" s="10"/>
      <c r="C1731" s="10"/>
      <c r="D1731" s="10"/>
    </row>
    <row r="1732" spans="1:4" ht="12.75">
      <c r="A1732" s="10"/>
      <c r="B1732" s="10"/>
      <c r="C1732" s="10"/>
      <c r="D1732" s="10"/>
    </row>
    <row r="1733" spans="1:4" ht="12.75">
      <c r="A1733" s="10"/>
      <c r="B1733" s="10"/>
      <c r="C1733" s="10"/>
      <c r="D1733" s="10"/>
    </row>
    <row r="1734" spans="1:4" ht="12.75">
      <c r="A1734" s="10"/>
      <c r="B1734" s="10"/>
      <c r="C1734" s="10"/>
      <c r="D1734" s="10"/>
    </row>
    <row r="1735" spans="1:4" ht="12.75">
      <c r="A1735" s="10"/>
      <c r="B1735" s="10"/>
      <c r="C1735" s="10"/>
      <c r="D1735" s="10"/>
    </row>
    <row r="1736" spans="1:4" ht="12.75">
      <c r="A1736" s="10"/>
      <c r="B1736" s="10"/>
      <c r="C1736" s="10"/>
      <c r="D1736" s="10"/>
    </row>
    <row r="1737" spans="1:4" ht="12.75">
      <c r="A1737" s="10"/>
      <c r="B1737" s="10"/>
      <c r="C1737" s="10"/>
      <c r="D1737" s="10"/>
    </row>
    <row r="1738" spans="1:4" ht="12.75">
      <c r="A1738" s="10"/>
      <c r="B1738" s="10"/>
      <c r="C1738" s="10"/>
      <c r="D1738" s="10"/>
    </row>
    <row r="1739" spans="1:4" ht="12.75">
      <c r="A1739" s="10"/>
      <c r="B1739" s="10"/>
      <c r="C1739" s="10"/>
      <c r="D1739" s="10"/>
    </row>
    <row r="1740" spans="1:4" ht="12.75">
      <c r="A1740" s="10"/>
      <c r="B1740" s="10"/>
      <c r="C1740" s="10"/>
      <c r="D1740" s="10"/>
    </row>
    <row r="1741" spans="1:4" ht="12.75">
      <c r="A1741" s="10"/>
      <c r="B1741" s="10"/>
      <c r="C1741" s="10"/>
      <c r="D1741" s="10"/>
    </row>
    <row r="1742" spans="1:4" ht="12.75">
      <c r="A1742" s="10"/>
      <c r="B1742" s="10"/>
      <c r="C1742" s="10"/>
      <c r="D1742" s="10"/>
    </row>
    <row r="1743" spans="1:4" ht="12.75">
      <c r="A1743" s="10"/>
      <c r="B1743" s="10"/>
      <c r="C1743" s="10"/>
      <c r="D1743" s="10"/>
    </row>
    <row r="1744" spans="1:4" ht="12.75">
      <c r="A1744" s="10"/>
      <c r="B1744" s="10"/>
      <c r="C1744" s="10"/>
      <c r="D1744" s="10"/>
    </row>
    <row r="1745" spans="1:4" ht="12.75">
      <c r="A1745" s="10"/>
      <c r="B1745" s="10"/>
      <c r="C1745" s="10"/>
      <c r="D1745" s="10"/>
    </row>
    <row r="1746" spans="1:4" ht="12.75">
      <c r="A1746" s="10"/>
      <c r="B1746" s="10"/>
      <c r="C1746" s="10"/>
      <c r="D1746" s="10"/>
    </row>
    <row r="1747" spans="1:4" ht="12.75">
      <c r="A1747" s="10"/>
      <c r="B1747" s="10"/>
      <c r="C1747" s="10"/>
      <c r="D1747" s="10"/>
    </row>
    <row r="1748" spans="1:4" ht="12.75">
      <c r="A1748" s="10"/>
      <c r="B1748" s="10"/>
      <c r="C1748" s="10"/>
      <c r="D1748" s="10"/>
    </row>
    <row r="1749" spans="1:4" ht="12.75">
      <c r="A1749" s="10"/>
      <c r="B1749" s="10"/>
      <c r="C1749" s="10"/>
      <c r="D1749" s="10"/>
    </row>
    <row r="1750" spans="1:4" ht="12.75">
      <c r="A1750" s="10"/>
      <c r="B1750" s="10"/>
      <c r="C1750" s="10"/>
      <c r="D1750" s="10"/>
    </row>
    <row r="1751" spans="1:4" ht="12.75">
      <c r="A1751" s="10"/>
      <c r="B1751" s="10"/>
      <c r="C1751" s="10"/>
      <c r="D1751" s="10"/>
    </row>
    <row r="1752" spans="1:4" ht="12.75">
      <c r="A1752" s="10"/>
      <c r="B1752" s="10"/>
      <c r="C1752" s="10"/>
      <c r="D1752" s="10"/>
    </row>
    <row r="1753" spans="1:4" ht="12.75">
      <c r="A1753" s="10"/>
      <c r="B1753" s="10"/>
      <c r="C1753" s="10"/>
      <c r="D1753" s="10"/>
    </row>
    <row r="1754" spans="1:4" ht="12.75">
      <c r="A1754" s="10"/>
      <c r="B1754" s="10"/>
      <c r="C1754" s="10"/>
      <c r="D1754" s="10"/>
    </row>
    <row r="1755" spans="1:4" ht="12.75">
      <c r="A1755" s="10"/>
      <c r="B1755" s="10"/>
      <c r="C1755" s="10"/>
      <c r="D1755" s="10"/>
    </row>
    <row r="1756" spans="1:4" ht="12.75">
      <c r="A1756" s="10"/>
      <c r="B1756" s="10"/>
      <c r="C1756" s="10"/>
      <c r="D1756" s="10"/>
    </row>
    <row r="1757" spans="1:4" ht="12.75">
      <c r="A1757" s="10"/>
      <c r="B1757" s="10"/>
      <c r="C1757" s="10"/>
      <c r="D1757" s="10"/>
    </row>
    <row r="1758" spans="1:4" ht="12.75">
      <c r="A1758" s="10"/>
      <c r="B1758" s="10"/>
      <c r="C1758" s="10"/>
      <c r="D1758" s="10"/>
    </row>
    <row r="1759" spans="1:4" ht="12.75">
      <c r="A1759" s="10"/>
      <c r="B1759" s="10"/>
      <c r="C1759" s="10"/>
      <c r="D1759" s="10"/>
    </row>
    <row r="1760" spans="1:4" ht="12.75">
      <c r="A1760" s="10"/>
      <c r="B1760" s="10"/>
      <c r="C1760" s="10"/>
      <c r="D1760" s="10"/>
    </row>
    <row r="1761" spans="1:4" ht="12.75">
      <c r="A1761" s="10"/>
      <c r="B1761" s="10"/>
      <c r="C1761" s="10"/>
      <c r="D1761" s="10"/>
    </row>
    <row r="1762" spans="1:4" ht="12.75">
      <c r="A1762" s="10"/>
      <c r="B1762" s="10"/>
      <c r="C1762" s="10"/>
      <c r="D1762" s="10"/>
    </row>
    <row r="1763" spans="1:4" ht="12.75">
      <c r="A1763" s="10"/>
      <c r="B1763" s="10"/>
      <c r="C1763" s="10"/>
      <c r="D1763" s="10"/>
    </row>
    <row r="1764" spans="1:4" ht="12.75">
      <c r="A1764" s="10"/>
      <c r="B1764" s="10"/>
      <c r="C1764" s="10"/>
      <c r="D1764" s="10"/>
    </row>
    <row r="1765" spans="1:4" ht="12.75">
      <c r="A1765" s="10"/>
      <c r="B1765" s="10"/>
      <c r="C1765" s="10"/>
      <c r="D1765" s="10"/>
    </row>
    <row r="1766" spans="1:4" ht="12.75">
      <c r="A1766" s="10"/>
      <c r="B1766" s="10"/>
      <c r="C1766" s="10"/>
      <c r="D1766" s="10"/>
    </row>
    <row r="1767" spans="1:4" ht="12.75">
      <c r="A1767" s="10"/>
      <c r="B1767" s="10"/>
      <c r="C1767" s="10"/>
      <c r="D1767" s="10"/>
    </row>
    <row r="1768" spans="1:4" ht="12.75">
      <c r="A1768" s="10"/>
      <c r="B1768" s="10"/>
      <c r="C1768" s="10"/>
      <c r="D1768" s="10"/>
    </row>
    <row r="1769" spans="1:4" ht="12.75">
      <c r="A1769" s="10"/>
      <c r="B1769" s="10"/>
      <c r="C1769" s="10"/>
      <c r="D1769" s="10"/>
    </row>
    <row r="1770" spans="1:4" ht="12.75">
      <c r="A1770" s="10"/>
      <c r="B1770" s="10"/>
      <c r="C1770" s="10"/>
      <c r="D1770" s="10"/>
    </row>
    <row r="1771" spans="1:4" ht="12.75">
      <c r="A1771" s="10"/>
      <c r="B1771" s="10"/>
      <c r="C1771" s="10"/>
      <c r="D1771" s="10"/>
    </row>
    <row r="1772" spans="1:4" ht="12.75">
      <c r="A1772" s="10"/>
      <c r="B1772" s="10"/>
      <c r="C1772" s="10"/>
      <c r="D1772" s="10"/>
    </row>
    <row r="1773" spans="1:4" ht="12.75">
      <c r="A1773" s="10"/>
      <c r="B1773" s="10"/>
      <c r="C1773" s="10"/>
      <c r="D1773" s="10"/>
    </row>
    <row r="1774" spans="1:4" ht="12.75">
      <c r="A1774" s="10"/>
      <c r="B1774" s="10"/>
      <c r="C1774" s="10"/>
      <c r="D1774" s="10"/>
    </row>
    <row r="1775" spans="1:4" ht="12.75">
      <c r="A1775" s="10"/>
      <c r="B1775" s="10"/>
      <c r="C1775" s="10"/>
      <c r="D1775" s="10"/>
    </row>
    <row r="1776" spans="1:4" ht="12.75">
      <c r="A1776" s="10"/>
      <c r="B1776" s="10"/>
      <c r="C1776" s="10"/>
      <c r="D1776" s="10"/>
    </row>
    <row r="1777" spans="1:4" ht="12.75">
      <c r="A1777" s="10"/>
      <c r="B1777" s="10"/>
      <c r="C1777" s="10"/>
      <c r="D1777" s="10"/>
    </row>
    <row r="1778" spans="1:4" ht="12.75">
      <c r="A1778" s="10"/>
      <c r="B1778" s="10"/>
      <c r="C1778" s="10"/>
      <c r="D1778" s="10"/>
    </row>
    <row r="1779" spans="1:4" ht="12.75">
      <c r="A1779" s="10"/>
      <c r="B1779" s="10"/>
      <c r="C1779" s="10"/>
      <c r="D1779" s="10"/>
    </row>
    <row r="1780" spans="1:4" ht="12.75">
      <c r="A1780" s="10"/>
      <c r="B1780" s="10"/>
      <c r="C1780" s="10"/>
      <c r="D1780" s="10"/>
    </row>
    <row r="1781" spans="1:4" ht="12.75">
      <c r="A1781" s="10"/>
      <c r="B1781" s="10"/>
      <c r="C1781" s="10"/>
      <c r="D1781" s="10"/>
    </row>
    <row r="1782" spans="1:4" ht="12.75">
      <c r="A1782" s="10"/>
      <c r="B1782" s="10"/>
      <c r="C1782" s="10"/>
      <c r="D1782" s="10"/>
    </row>
    <row r="1783" spans="1:4" ht="12.75">
      <c r="A1783" s="10"/>
      <c r="B1783" s="10"/>
      <c r="C1783" s="10"/>
      <c r="D1783" s="10"/>
    </row>
    <row r="1784" spans="1:4" ht="12.75">
      <c r="A1784" s="10"/>
      <c r="B1784" s="10"/>
      <c r="C1784" s="10"/>
      <c r="D1784" s="10"/>
    </row>
    <row r="1785" spans="1:4" ht="12.75">
      <c r="A1785" s="10"/>
      <c r="B1785" s="10"/>
      <c r="C1785" s="10"/>
      <c r="D1785" s="10"/>
    </row>
    <row r="1786" spans="1:4" ht="12.75">
      <c r="A1786" s="10"/>
      <c r="B1786" s="10"/>
      <c r="C1786" s="10"/>
      <c r="D1786" s="10"/>
    </row>
    <row r="1787" spans="1:4" ht="12.75">
      <c r="A1787" s="10"/>
      <c r="B1787" s="10"/>
      <c r="C1787" s="10"/>
      <c r="D1787" s="10"/>
    </row>
    <row r="1788" spans="1:4" ht="12.75">
      <c r="A1788" s="10"/>
      <c r="B1788" s="10"/>
      <c r="C1788" s="10"/>
      <c r="D1788" s="10"/>
    </row>
    <row r="1789" spans="1:4" ht="12.75">
      <c r="A1789" s="10"/>
      <c r="B1789" s="10"/>
      <c r="C1789" s="10"/>
      <c r="D1789" s="10"/>
    </row>
    <row r="1790" spans="1:4" ht="12.75">
      <c r="A1790" s="10"/>
      <c r="B1790" s="10"/>
      <c r="C1790" s="10"/>
      <c r="D1790" s="10"/>
    </row>
    <row r="1791" spans="1:4" ht="12.75">
      <c r="A1791" s="10"/>
      <c r="B1791" s="10"/>
      <c r="C1791" s="10"/>
      <c r="D1791" s="10"/>
    </row>
    <row r="1792" spans="1:4" ht="12.75">
      <c r="A1792" s="10"/>
      <c r="B1792" s="10"/>
      <c r="C1792" s="10"/>
      <c r="D1792" s="10"/>
    </row>
    <row r="1793" spans="1:4" ht="12.75">
      <c r="A1793" s="10"/>
      <c r="B1793" s="10"/>
      <c r="C1793" s="10"/>
      <c r="D1793" s="10"/>
    </row>
    <row r="1794" spans="1:4" ht="12.75">
      <c r="A1794" s="10"/>
      <c r="B1794" s="10"/>
      <c r="C1794" s="10"/>
      <c r="D1794" s="10"/>
    </row>
    <row r="1795" spans="1:4" ht="12.75">
      <c r="A1795" s="10"/>
      <c r="B1795" s="10"/>
      <c r="C1795" s="10"/>
      <c r="D1795" s="10"/>
    </row>
    <row r="1796" spans="1:4" ht="12.75">
      <c r="A1796" s="10"/>
      <c r="B1796" s="10"/>
      <c r="C1796" s="10"/>
      <c r="D1796" s="10"/>
    </row>
    <row r="1797" spans="1:4" ht="12.75">
      <c r="A1797" s="10"/>
      <c r="B1797" s="10"/>
      <c r="C1797" s="10"/>
      <c r="D1797" s="10"/>
    </row>
    <row r="1798" spans="1:4" ht="12.75">
      <c r="A1798" s="10"/>
      <c r="B1798" s="10"/>
      <c r="C1798" s="10"/>
      <c r="D1798" s="10"/>
    </row>
    <row r="1799" spans="1:4" ht="12.75">
      <c r="A1799" s="10"/>
      <c r="B1799" s="10"/>
      <c r="C1799" s="10"/>
      <c r="D1799" s="10"/>
    </row>
    <row r="1800" spans="1:4" ht="12.75">
      <c r="A1800" s="10"/>
      <c r="B1800" s="10"/>
      <c r="C1800" s="10"/>
      <c r="D1800" s="10"/>
    </row>
    <row r="1801" spans="1:4" ht="12.75">
      <c r="A1801" s="10"/>
      <c r="B1801" s="10"/>
      <c r="C1801" s="10"/>
      <c r="D1801" s="10"/>
    </row>
    <row r="1802" spans="1:4" ht="12.75">
      <c r="A1802" s="10"/>
      <c r="B1802" s="10"/>
      <c r="C1802" s="10"/>
      <c r="D1802" s="10"/>
    </row>
    <row r="1803" spans="1:4" ht="12.75">
      <c r="A1803" s="10"/>
      <c r="B1803" s="10"/>
      <c r="C1803" s="10"/>
      <c r="D1803" s="10"/>
    </row>
    <row r="1804" spans="1:4" ht="12.75">
      <c r="A1804" s="10"/>
      <c r="B1804" s="10"/>
      <c r="C1804" s="10"/>
      <c r="D1804" s="10"/>
    </row>
    <row r="1805" spans="1:4" ht="12.75">
      <c r="A1805" s="10"/>
      <c r="B1805" s="10"/>
      <c r="C1805" s="10"/>
      <c r="D1805" s="10"/>
    </row>
    <row r="1806" spans="1:4" ht="12.75">
      <c r="A1806" s="10"/>
      <c r="B1806" s="10"/>
      <c r="C1806" s="10"/>
      <c r="D1806" s="10"/>
    </row>
    <row r="1807" spans="1:4" ht="12.75">
      <c r="A1807" s="10"/>
      <c r="B1807" s="10"/>
      <c r="C1807" s="10"/>
      <c r="D1807" s="10"/>
    </row>
    <row r="1808" spans="1:4" ht="12.75">
      <c r="A1808" s="10"/>
      <c r="B1808" s="10"/>
      <c r="C1808" s="10"/>
      <c r="D1808" s="10"/>
    </row>
    <row r="1809" spans="1:4" ht="12.75">
      <c r="A1809" s="10"/>
      <c r="B1809" s="10"/>
      <c r="C1809" s="10"/>
      <c r="D1809" s="10"/>
    </row>
    <row r="1810" spans="1:4" ht="12.75">
      <c r="A1810" s="10"/>
      <c r="B1810" s="10"/>
      <c r="C1810" s="10"/>
      <c r="D1810" s="10"/>
    </row>
    <row r="1811" spans="1:4" ht="12.75">
      <c r="A1811" s="10"/>
      <c r="B1811" s="10"/>
      <c r="C1811" s="10"/>
      <c r="D1811" s="10"/>
    </row>
    <row r="1812" spans="1:4" ht="12.75">
      <c r="A1812" s="10"/>
      <c r="B1812" s="10"/>
      <c r="C1812" s="10"/>
      <c r="D1812" s="10"/>
    </row>
    <row r="1813" spans="1:4" ht="12.75">
      <c r="A1813" s="10"/>
      <c r="B1813" s="10"/>
      <c r="C1813" s="10"/>
      <c r="D1813" s="10"/>
    </row>
    <row r="1814" spans="1:4" ht="12.75">
      <c r="A1814" s="10"/>
      <c r="B1814" s="10"/>
      <c r="C1814" s="10"/>
      <c r="D1814" s="10"/>
    </row>
    <row r="1815" spans="1:4" ht="12.75">
      <c r="A1815" s="10"/>
      <c r="B1815" s="10"/>
      <c r="C1815" s="10"/>
      <c r="D1815" s="10"/>
    </row>
    <row r="1816" spans="1:4" ht="12.75">
      <c r="A1816" s="10"/>
      <c r="B1816" s="10"/>
      <c r="C1816" s="10"/>
      <c r="D1816" s="10"/>
    </row>
    <row r="1817" spans="1:4" ht="12.75">
      <c r="A1817" s="10"/>
      <c r="B1817" s="10"/>
      <c r="C1817" s="10"/>
      <c r="D1817" s="10"/>
    </row>
    <row r="1818" spans="1:4" ht="12.75">
      <c r="A1818" s="10"/>
      <c r="B1818" s="10"/>
      <c r="C1818" s="10"/>
      <c r="D1818" s="10"/>
    </row>
    <row r="1819" spans="1:4" ht="12.75">
      <c r="A1819" s="10"/>
      <c r="B1819" s="10"/>
      <c r="C1819" s="10"/>
      <c r="D1819" s="10"/>
    </row>
    <row r="1820" spans="1:4" ht="12.75">
      <c r="A1820" s="10"/>
      <c r="B1820" s="10"/>
      <c r="C1820" s="10"/>
      <c r="D1820" s="10"/>
    </row>
    <row r="1821" spans="1:4" ht="12.75">
      <c r="A1821" s="10"/>
      <c r="B1821" s="10"/>
      <c r="C1821" s="10"/>
      <c r="D1821" s="10"/>
    </row>
    <row r="1822" spans="1:4" ht="12.75">
      <c r="A1822" s="10"/>
      <c r="B1822" s="10"/>
      <c r="C1822" s="10"/>
      <c r="D1822" s="10"/>
    </row>
    <row r="1823" spans="1:4" ht="12.75">
      <c r="A1823" s="10"/>
      <c r="B1823" s="10"/>
      <c r="C1823" s="10"/>
      <c r="D1823" s="10"/>
    </row>
    <row r="1824" spans="1:4" ht="12.75">
      <c r="A1824" s="10"/>
      <c r="B1824" s="10"/>
      <c r="C1824" s="10"/>
      <c r="D1824" s="10"/>
    </row>
    <row r="1825" spans="1:4" ht="12.75">
      <c r="A1825" s="10"/>
      <c r="B1825" s="10"/>
      <c r="C1825" s="10"/>
      <c r="D1825" s="10"/>
    </row>
    <row r="1826" spans="1:4" ht="12.75">
      <c r="A1826" s="10"/>
      <c r="B1826" s="10"/>
      <c r="C1826" s="10"/>
      <c r="D1826" s="10"/>
    </row>
    <row r="1827" spans="1:4" ht="12.75">
      <c r="A1827" s="10"/>
      <c r="B1827" s="10"/>
      <c r="C1827" s="10"/>
      <c r="D1827" s="10"/>
    </row>
    <row r="1828" spans="1:4" ht="12.75">
      <c r="A1828" s="10"/>
      <c r="B1828" s="10"/>
      <c r="C1828" s="10"/>
      <c r="D1828" s="10"/>
    </row>
    <row r="1829" spans="1:4" ht="12.75">
      <c r="A1829" s="10"/>
      <c r="B1829" s="10"/>
      <c r="C1829" s="10"/>
      <c r="D1829" s="10"/>
    </row>
    <row r="1830" spans="1:4" ht="12.75">
      <c r="A1830" s="10"/>
      <c r="B1830" s="10"/>
      <c r="C1830" s="10"/>
      <c r="D1830" s="10"/>
    </row>
    <row r="1831" spans="1:4" ht="12.75">
      <c r="A1831" s="10"/>
      <c r="B1831" s="10"/>
      <c r="C1831" s="10"/>
      <c r="D1831" s="10"/>
    </row>
    <row r="1832" spans="1:4" ht="12.75">
      <c r="A1832" s="10"/>
      <c r="B1832" s="10"/>
      <c r="C1832" s="10"/>
      <c r="D1832" s="10"/>
    </row>
    <row r="1833" spans="1:4" ht="12.75">
      <c r="A1833" s="10"/>
      <c r="B1833" s="10"/>
      <c r="C1833" s="10"/>
      <c r="D1833" s="10"/>
    </row>
    <row r="1834" spans="1:4" ht="12.75">
      <c r="A1834" s="10"/>
      <c r="B1834" s="10"/>
      <c r="C1834" s="10"/>
      <c r="D1834" s="10"/>
    </row>
    <row r="1835" spans="1:4" ht="12.75">
      <c r="A1835" s="10"/>
      <c r="B1835" s="10"/>
      <c r="C1835" s="10"/>
      <c r="D1835" s="10"/>
    </row>
    <row r="1836" spans="1:4" ht="12.75">
      <c r="A1836" s="10"/>
      <c r="B1836" s="10"/>
      <c r="C1836" s="10"/>
      <c r="D1836" s="10"/>
    </row>
    <row r="1837" spans="1:4" ht="12.75">
      <c r="A1837" s="10"/>
      <c r="B1837" s="10"/>
      <c r="C1837" s="10"/>
      <c r="D1837" s="10"/>
    </row>
    <row r="1838" spans="1:4" ht="12.75">
      <c r="A1838" s="10"/>
      <c r="B1838" s="10"/>
      <c r="C1838" s="10"/>
      <c r="D1838" s="10"/>
    </row>
    <row r="1839" spans="1:4" ht="12.75">
      <c r="A1839" s="10"/>
      <c r="B1839" s="10"/>
      <c r="C1839" s="10"/>
      <c r="D1839" s="10"/>
    </row>
    <row r="1840" spans="1:4" ht="12.75">
      <c r="A1840" s="10"/>
      <c r="B1840" s="10"/>
      <c r="C1840" s="10"/>
      <c r="D1840" s="10"/>
    </row>
    <row r="1841" spans="1:4" ht="12.75">
      <c r="A1841" s="10"/>
      <c r="B1841" s="10"/>
      <c r="C1841" s="10"/>
      <c r="D1841" s="10"/>
    </row>
    <row r="1842" spans="1:4" ht="12.75">
      <c r="A1842" s="10"/>
      <c r="B1842" s="10"/>
      <c r="C1842" s="10"/>
      <c r="D1842" s="10"/>
    </row>
    <row r="1843" spans="1:4" ht="12.75">
      <c r="A1843" s="10"/>
      <c r="B1843" s="10"/>
      <c r="C1843" s="10"/>
      <c r="D1843" s="10"/>
    </row>
    <row r="1844" spans="1:4" ht="12.75">
      <c r="A1844" s="10"/>
      <c r="B1844" s="10"/>
      <c r="C1844" s="10"/>
      <c r="D1844" s="10"/>
    </row>
    <row r="1845" spans="1:4" ht="12.75">
      <c r="A1845" s="10"/>
      <c r="B1845" s="10"/>
      <c r="C1845" s="10"/>
      <c r="D1845" s="10"/>
    </row>
    <row r="1846" spans="1:4" ht="12.75">
      <c r="A1846" s="10"/>
      <c r="B1846" s="10"/>
      <c r="C1846" s="10"/>
      <c r="D1846" s="10"/>
    </row>
    <row r="1847" spans="1:4" ht="12.75">
      <c r="A1847" s="10"/>
      <c r="B1847" s="10"/>
      <c r="C1847" s="10"/>
      <c r="D1847" s="10"/>
    </row>
    <row r="1848" spans="1:4" ht="12.75">
      <c r="A1848" s="10"/>
      <c r="B1848" s="10"/>
      <c r="C1848" s="10"/>
      <c r="D1848" s="10"/>
    </row>
    <row r="1849" spans="1:4" ht="12.75">
      <c r="A1849" s="10"/>
      <c r="B1849" s="10"/>
      <c r="C1849" s="10"/>
      <c r="D1849" s="10"/>
    </row>
    <row r="1850" spans="1:4" ht="12.75">
      <c r="A1850" s="10"/>
      <c r="B1850" s="10"/>
      <c r="C1850" s="10"/>
      <c r="D1850" s="10"/>
    </row>
    <row r="1851" spans="1:4" ht="12.75">
      <c r="A1851" s="10"/>
      <c r="B1851" s="10"/>
      <c r="C1851" s="10"/>
      <c r="D1851" s="10"/>
    </row>
    <row r="1852" spans="1:4" ht="12.75">
      <c r="A1852" s="10"/>
      <c r="B1852" s="10"/>
      <c r="C1852" s="10"/>
      <c r="D1852" s="10"/>
    </row>
    <row r="1853" spans="1:4" ht="12.75">
      <c r="A1853" s="10"/>
      <c r="B1853" s="10"/>
      <c r="C1853" s="10"/>
      <c r="D1853" s="10"/>
    </row>
    <row r="1854" spans="1:4" ht="12.75">
      <c r="A1854" s="10"/>
      <c r="B1854" s="10"/>
      <c r="C1854" s="10"/>
      <c r="D1854" s="10"/>
    </row>
    <row r="1855" spans="1:4" ht="12.75">
      <c r="A1855" s="10"/>
      <c r="B1855" s="10"/>
      <c r="C1855" s="10"/>
      <c r="D1855" s="10"/>
    </row>
    <row r="1856" spans="1:4" ht="12.75">
      <c r="A1856" s="10"/>
      <c r="B1856" s="10"/>
      <c r="C1856" s="10"/>
      <c r="D1856" s="10"/>
    </row>
    <row r="1857" spans="1:4" ht="12.75">
      <c r="A1857" s="10"/>
      <c r="B1857" s="10"/>
      <c r="C1857" s="10"/>
      <c r="D1857" s="10"/>
    </row>
    <row r="1858" spans="1:4" ht="12.75">
      <c r="A1858" s="10"/>
      <c r="B1858" s="10"/>
      <c r="C1858" s="10"/>
      <c r="D1858" s="10"/>
    </row>
    <row r="1859" spans="1:4" ht="12.75">
      <c r="A1859" s="10"/>
      <c r="B1859" s="10"/>
      <c r="C1859" s="10"/>
      <c r="D1859" s="10"/>
    </row>
    <row r="1860" spans="1:4" ht="12.75">
      <c r="A1860" s="10"/>
      <c r="B1860" s="10"/>
      <c r="C1860" s="10"/>
      <c r="D1860" s="10"/>
    </row>
    <row r="1861" spans="1:4" ht="12.75">
      <c r="A1861" s="10"/>
      <c r="B1861" s="10"/>
      <c r="C1861" s="10"/>
      <c r="D1861" s="10"/>
    </row>
    <row r="1862" spans="1:4" ht="12.75">
      <c r="A1862" s="10"/>
      <c r="B1862" s="10"/>
      <c r="C1862" s="10"/>
      <c r="D1862" s="10"/>
    </row>
    <row r="1863" spans="1:4" ht="12.75">
      <c r="A1863" s="10"/>
      <c r="B1863" s="10"/>
      <c r="C1863" s="10"/>
      <c r="D1863" s="10"/>
    </row>
    <row r="1864" spans="1:4" ht="12.75">
      <c r="A1864" s="10"/>
      <c r="B1864" s="10"/>
      <c r="C1864" s="10"/>
      <c r="D1864" s="10"/>
    </row>
    <row r="1865" spans="1:4" ht="12.75">
      <c r="A1865" s="10"/>
      <c r="B1865" s="10"/>
      <c r="C1865" s="10"/>
      <c r="D1865" s="10"/>
    </row>
    <row r="1866" spans="1:4" ht="12.75">
      <c r="A1866" s="10"/>
      <c r="B1866" s="10"/>
      <c r="C1866" s="10"/>
      <c r="D1866" s="10"/>
    </row>
    <row r="1867" spans="1:4" ht="12.75">
      <c r="A1867" s="10"/>
      <c r="B1867" s="10"/>
      <c r="C1867" s="10"/>
      <c r="D1867" s="10"/>
    </row>
    <row r="1868" spans="1:4" ht="12.75">
      <c r="A1868" s="10"/>
      <c r="B1868" s="10"/>
      <c r="C1868" s="10"/>
      <c r="D1868" s="10"/>
    </row>
    <row r="1869" spans="1:4" ht="12.75">
      <c r="A1869" s="10"/>
      <c r="B1869" s="10"/>
      <c r="C1869" s="10"/>
      <c r="D1869" s="10"/>
    </row>
    <row r="1870" spans="1:4" ht="12.75">
      <c r="A1870" s="10"/>
      <c r="B1870" s="10"/>
      <c r="C1870" s="10"/>
      <c r="D1870" s="10"/>
    </row>
    <row r="1871" spans="1:4" ht="12.75">
      <c r="A1871" s="10"/>
      <c r="B1871" s="10"/>
      <c r="C1871" s="10"/>
      <c r="D1871" s="10"/>
    </row>
    <row r="1872" spans="1:4" ht="12.75">
      <c r="A1872" s="10"/>
      <c r="B1872" s="10"/>
      <c r="C1872" s="10"/>
      <c r="D1872" s="10"/>
    </row>
    <row r="1873" spans="1:4" ht="12.75">
      <c r="A1873" s="10"/>
      <c r="B1873" s="10"/>
      <c r="C1873" s="10"/>
      <c r="D1873" s="10"/>
    </row>
    <row r="1874" spans="1:4" ht="12.75">
      <c r="A1874" s="10"/>
      <c r="B1874" s="10"/>
      <c r="C1874" s="10"/>
      <c r="D1874" s="10"/>
    </row>
    <row r="1875" spans="1:4" ht="12.75">
      <c r="A1875" s="10"/>
      <c r="B1875" s="10"/>
      <c r="C1875" s="10"/>
      <c r="D1875" s="10"/>
    </row>
    <row r="1876" spans="1:4" ht="12.75">
      <c r="A1876" s="10"/>
      <c r="B1876" s="10"/>
      <c r="C1876" s="10"/>
      <c r="D1876" s="10"/>
    </row>
    <row r="1877" spans="1:4" ht="12.75">
      <c r="A1877" s="10"/>
      <c r="B1877" s="10"/>
      <c r="C1877" s="10"/>
      <c r="D1877" s="10"/>
    </row>
    <row r="1878" spans="1:4" ht="12.75">
      <c r="A1878" s="10"/>
      <c r="B1878" s="10"/>
      <c r="C1878" s="10"/>
      <c r="D1878" s="10"/>
    </row>
    <row r="1879" spans="1:4" ht="12.75">
      <c r="A1879" s="10"/>
      <c r="B1879" s="10"/>
      <c r="C1879" s="10"/>
      <c r="D1879" s="10"/>
    </row>
    <row r="1880" spans="1:4" ht="12.75">
      <c r="A1880" s="10"/>
      <c r="B1880" s="10"/>
      <c r="C1880" s="10"/>
      <c r="D1880" s="10"/>
    </row>
    <row r="1881" spans="1:4" ht="12.75">
      <c r="A1881" s="10"/>
      <c r="B1881" s="10"/>
      <c r="C1881" s="10"/>
      <c r="D1881" s="10"/>
    </row>
    <row r="1882" spans="1:4" ht="12.75">
      <c r="A1882" s="10"/>
      <c r="B1882" s="10"/>
      <c r="C1882" s="10"/>
      <c r="D1882" s="10"/>
    </row>
    <row r="1883" spans="1:4" ht="12.75">
      <c r="A1883" s="10"/>
      <c r="B1883" s="10"/>
      <c r="C1883" s="10"/>
      <c r="D1883" s="10"/>
    </row>
    <row r="1884" spans="1:4" ht="12.75">
      <c r="A1884" s="10"/>
      <c r="B1884" s="10"/>
      <c r="C1884" s="10"/>
      <c r="D1884" s="10"/>
    </row>
    <row r="1885" spans="1:4" ht="12.75">
      <c r="A1885" s="10"/>
      <c r="B1885" s="10"/>
      <c r="C1885" s="10"/>
      <c r="D1885" s="10"/>
    </row>
    <row r="1886" spans="1:4" ht="12.75">
      <c r="A1886" s="10"/>
      <c r="B1886" s="10"/>
      <c r="C1886" s="10"/>
      <c r="D1886" s="10"/>
    </row>
    <row r="1887" spans="1:4" ht="12.75">
      <c r="A1887" s="10"/>
      <c r="B1887" s="10"/>
      <c r="C1887" s="10"/>
      <c r="D1887" s="10"/>
    </row>
    <row r="1888" spans="1:4" ht="12.75">
      <c r="A1888" s="10"/>
      <c r="B1888" s="10"/>
      <c r="C1888" s="10"/>
      <c r="D1888" s="10"/>
    </row>
    <row r="1889" spans="1:4" ht="12.75">
      <c r="A1889" s="10"/>
      <c r="B1889" s="10"/>
      <c r="C1889" s="10"/>
      <c r="D1889" s="10"/>
    </row>
    <row r="1890" spans="1:4" ht="12.75">
      <c r="A1890" s="10"/>
      <c r="B1890" s="10"/>
      <c r="C1890" s="10"/>
      <c r="D1890" s="10"/>
    </row>
    <row r="1891" spans="1:4" ht="12.75">
      <c r="A1891" s="10"/>
      <c r="B1891" s="10"/>
      <c r="C1891" s="10"/>
      <c r="D1891" s="10"/>
    </row>
    <row r="1892" spans="1:4" ht="12.75">
      <c r="A1892" s="10"/>
      <c r="B1892" s="10"/>
      <c r="C1892" s="10"/>
      <c r="D1892" s="10"/>
    </row>
    <row r="1893" spans="1:4" ht="12.75">
      <c r="A1893" s="10"/>
      <c r="B1893" s="10"/>
      <c r="C1893" s="10"/>
      <c r="D1893" s="10"/>
    </row>
    <row r="1894" spans="1:4" ht="12.75">
      <c r="A1894" s="10"/>
      <c r="B1894" s="10"/>
      <c r="C1894" s="10"/>
      <c r="D1894" s="10"/>
    </row>
    <row r="1895" spans="1:4" ht="12.75">
      <c r="A1895" s="10"/>
      <c r="B1895" s="10"/>
      <c r="C1895" s="10"/>
      <c r="D1895" s="10"/>
    </row>
    <row r="1896" spans="1:4" ht="12.75">
      <c r="A1896" s="10"/>
      <c r="B1896" s="10"/>
      <c r="C1896" s="10"/>
      <c r="D1896" s="10"/>
    </row>
    <row r="1897" spans="1:4" ht="12.75">
      <c r="A1897" s="10"/>
      <c r="B1897" s="10"/>
      <c r="C1897" s="10"/>
      <c r="D1897" s="10"/>
    </row>
    <row r="1898" spans="1:4" ht="12.75">
      <c r="A1898" s="10"/>
      <c r="B1898" s="10"/>
      <c r="C1898" s="10"/>
      <c r="D1898" s="10"/>
    </row>
    <row r="1899" spans="1:4" ht="12.75">
      <c r="A1899" s="10"/>
      <c r="B1899" s="10"/>
      <c r="C1899" s="10"/>
      <c r="D1899" s="10"/>
    </row>
    <row r="1900" spans="1:4" ht="12.75">
      <c r="A1900" s="10"/>
      <c r="B1900" s="10"/>
      <c r="C1900" s="10"/>
      <c r="D1900" s="10"/>
    </row>
    <row r="1901" spans="1:4" ht="12.75">
      <c r="A1901" s="10"/>
      <c r="B1901" s="10"/>
      <c r="C1901" s="10"/>
      <c r="D1901" s="10"/>
    </row>
    <row r="1902" spans="1:4" ht="12.75">
      <c r="A1902" s="10"/>
      <c r="B1902" s="10"/>
      <c r="C1902" s="10"/>
      <c r="D1902" s="10"/>
    </row>
    <row r="1903" spans="1:4" ht="12.75">
      <c r="A1903" s="10"/>
      <c r="B1903" s="10"/>
      <c r="C1903" s="10"/>
      <c r="D1903" s="10"/>
    </row>
    <row r="1904" spans="1:4" ht="12.75">
      <c r="A1904" s="10"/>
      <c r="B1904" s="10"/>
      <c r="C1904" s="10"/>
      <c r="D1904" s="10"/>
    </row>
    <row r="1905" spans="1:4" ht="12.75">
      <c r="A1905" s="10"/>
      <c r="B1905" s="10"/>
      <c r="C1905" s="10"/>
      <c r="D1905" s="10"/>
    </row>
    <row r="1906" spans="1:4" ht="12.75">
      <c r="A1906" s="10"/>
      <c r="B1906" s="10"/>
      <c r="C1906" s="10"/>
      <c r="D1906" s="10"/>
    </row>
    <row r="1907" spans="1:4" ht="12.75">
      <c r="A1907" s="10"/>
      <c r="B1907" s="10"/>
      <c r="C1907" s="10"/>
      <c r="D1907" s="10"/>
    </row>
    <row r="1908" spans="1:4" ht="12.75">
      <c r="A1908" s="10"/>
      <c r="B1908" s="10"/>
      <c r="C1908" s="10"/>
      <c r="D1908" s="10"/>
    </row>
    <row r="1909" spans="1:4" ht="12.75">
      <c r="A1909" s="10"/>
      <c r="B1909" s="10"/>
      <c r="C1909" s="10"/>
      <c r="D1909" s="10"/>
    </row>
    <row r="1910" spans="1:4" ht="12.75">
      <c r="A1910" s="10"/>
      <c r="B1910" s="10"/>
      <c r="C1910" s="10"/>
      <c r="D1910" s="10"/>
    </row>
    <row r="1911" spans="1:4" ht="12.75">
      <c r="A1911" s="10"/>
      <c r="B1911" s="10"/>
      <c r="C1911" s="10"/>
      <c r="D1911" s="10"/>
    </row>
    <row r="1912" spans="1:4" ht="12.75">
      <c r="A1912" s="10"/>
      <c r="B1912" s="10"/>
      <c r="C1912" s="10"/>
      <c r="D1912" s="10"/>
    </row>
    <row r="1913" spans="1:4" ht="12.75">
      <c r="A1913" s="10"/>
      <c r="B1913" s="10"/>
      <c r="C1913" s="10"/>
      <c r="D1913" s="10"/>
    </row>
    <row r="1914" spans="1:4" ht="12.75">
      <c r="A1914" s="10"/>
      <c r="B1914" s="10"/>
      <c r="C1914" s="10"/>
      <c r="D1914" s="10"/>
    </row>
    <row r="1915" spans="1:4" ht="12.75">
      <c r="A1915" s="10"/>
      <c r="B1915" s="10"/>
      <c r="C1915" s="10"/>
      <c r="D1915" s="10"/>
    </row>
    <row r="1916" spans="1:4" ht="12.75">
      <c r="A1916" s="10"/>
      <c r="B1916" s="10"/>
      <c r="C1916" s="10"/>
      <c r="D1916" s="10"/>
    </row>
    <row r="1917" spans="1:4" ht="12.75">
      <c r="A1917" s="10"/>
      <c r="B1917" s="10"/>
      <c r="C1917" s="10"/>
      <c r="D1917" s="10"/>
    </row>
    <row r="1918" spans="1:4" ht="12.75">
      <c r="A1918" s="10"/>
      <c r="B1918" s="10"/>
      <c r="C1918" s="10"/>
      <c r="D1918" s="10"/>
    </row>
    <row r="1919" spans="1:4" ht="12.75">
      <c r="A1919" s="10"/>
      <c r="B1919" s="10"/>
      <c r="C1919" s="10"/>
      <c r="D1919" s="10"/>
    </row>
    <row r="1920" spans="1:4" ht="12.75">
      <c r="A1920" s="10"/>
      <c r="B1920" s="10"/>
      <c r="C1920" s="10"/>
      <c r="D1920" s="10"/>
    </row>
    <row r="1921" spans="1:4" ht="12.75">
      <c r="A1921" s="10"/>
      <c r="B1921" s="10"/>
      <c r="C1921" s="10"/>
      <c r="D1921" s="10"/>
    </row>
    <row r="1922" spans="1:4" ht="12.75">
      <c r="A1922" s="10"/>
      <c r="B1922" s="10"/>
      <c r="C1922" s="10"/>
      <c r="D1922" s="10"/>
    </row>
    <row r="1923" spans="1:4" ht="12.75">
      <c r="A1923" s="10"/>
      <c r="B1923" s="10"/>
      <c r="C1923" s="10"/>
      <c r="D1923" s="10"/>
    </row>
    <row r="1924" spans="1:4" ht="12.75">
      <c r="A1924" s="10"/>
      <c r="B1924" s="10"/>
      <c r="C1924" s="10"/>
      <c r="D1924" s="10"/>
    </row>
    <row r="1925" spans="1:4" ht="12.75">
      <c r="A1925" s="10"/>
      <c r="B1925" s="10"/>
      <c r="C1925" s="10"/>
      <c r="D1925" s="10"/>
    </row>
    <row r="1926" spans="1:4" ht="12.75">
      <c r="A1926" s="10"/>
      <c r="B1926" s="10"/>
      <c r="C1926" s="10"/>
      <c r="D1926" s="10"/>
    </row>
    <row r="1927" spans="1:4" ht="12.75">
      <c r="A1927" s="10"/>
      <c r="B1927" s="10"/>
      <c r="C1927" s="10"/>
      <c r="D1927" s="10"/>
    </row>
    <row r="1928" spans="1:4" ht="12.75">
      <c r="A1928" s="10"/>
      <c r="B1928" s="10"/>
      <c r="C1928" s="10"/>
      <c r="D1928" s="10"/>
    </row>
    <row r="1929" spans="1:4" ht="12.75">
      <c r="A1929" s="10"/>
      <c r="B1929" s="10"/>
      <c r="C1929" s="10"/>
      <c r="D1929" s="10"/>
    </row>
    <row r="1930" spans="1:4" ht="12.75">
      <c r="A1930" s="10"/>
      <c r="B1930" s="10"/>
      <c r="C1930" s="10"/>
      <c r="D1930" s="10"/>
    </row>
    <row r="1931" spans="1:4" ht="12.75">
      <c r="A1931" s="10"/>
      <c r="B1931" s="10"/>
      <c r="C1931" s="10"/>
      <c r="D1931" s="10"/>
    </row>
    <row r="1932" spans="1:4" ht="12.75">
      <c r="A1932" s="10"/>
      <c r="B1932" s="10"/>
      <c r="C1932" s="10"/>
      <c r="D1932" s="10"/>
    </row>
    <row r="1933" spans="1:4" ht="12.75">
      <c r="A1933" s="10"/>
      <c r="B1933" s="10"/>
      <c r="C1933" s="10"/>
      <c r="D1933" s="10"/>
    </row>
    <row r="1934" spans="1:4" ht="12.75">
      <c r="A1934" s="10"/>
      <c r="B1934" s="10"/>
      <c r="C1934" s="10"/>
      <c r="D1934" s="10"/>
    </row>
    <row r="1935" spans="1:4" ht="12.75">
      <c r="A1935" s="10"/>
      <c r="B1935" s="10"/>
      <c r="C1935" s="10"/>
      <c r="D1935" s="10"/>
    </row>
    <row r="1936" spans="1:4" ht="12.75">
      <c r="A1936" s="10"/>
      <c r="B1936" s="10"/>
      <c r="C1936" s="10"/>
      <c r="D1936" s="10"/>
    </row>
    <row r="1937" spans="1:4" ht="12.75">
      <c r="A1937" s="10"/>
      <c r="B1937" s="10"/>
      <c r="C1937" s="10"/>
      <c r="D1937" s="10"/>
    </row>
    <row r="1938" spans="1:4" ht="12.75">
      <c r="A1938" s="10"/>
      <c r="B1938" s="10"/>
      <c r="C1938" s="10"/>
      <c r="D1938" s="10"/>
    </row>
    <row r="1939" spans="1:4" ht="12.75">
      <c r="A1939" s="10"/>
      <c r="B1939" s="10"/>
      <c r="C1939" s="10"/>
      <c r="D1939" s="10"/>
    </row>
    <row r="1940" spans="1:4" ht="12.75">
      <c r="A1940" s="10"/>
      <c r="B1940" s="10"/>
      <c r="C1940" s="10"/>
      <c r="D1940" s="10"/>
    </row>
    <row r="1941" spans="1:4" ht="12.75">
      <c r="A1941" s="10"/>
      <c r="B1941" s="10"/>
      <c r="C1941" s="10"/>
      <c r="D1941" s="10"/>
    </row>
    <row r="1942" spans="1:4" ht="12.75">
      <c r="A1942" s="10"/>
      <c r="B1942" s="10"/>
      <c r="C1942" s="10"/>
      <c r="D1942" s="10"/>
    </row>
    <row r="1943" spans="1:4" ht="12.75">
      <c r="A1943" s="10"/>
      <c r="B1943" s="10"/>
      <c r="C1943" s="10"/>
      <c r="D1943" s="10"/>
    </row>
    <row r="1944" spans="1:4" ht="12.75">
      <c r="A1944" s="10"/>
      <c r="B1944" s="10"/>
      <c r="C1944" s="10"/>
      <c r="D1944" s="10"/>
    </row>
    <row r="1945" spans="1:4" ht="12.75">
      <c r="A1945" s="10"/>
      <c r="B1945" s="10"/>
      <c r="C1945" s="10"/>
      <c r="D1945" s="10"/>
    </row>
    <row r="1946" spans="1:4" ht="12.75">
      <c r="A1946" s="10"/>
      <c r="B1946" s="10"/>
      <c r="C1946" s="10"/>
      <c r="D1946" s="10"/>
    </row>
    <row r="1947" spans="1:4" ht="12.75">
      <c r="A1947" s="10"/>
      <c r="B1947" s="10"/>
      <c r="C1947" s="10"/>
      <c r="D1947" s="10"/>
    </row>
    <row r="1948" spans="1:4" ht="12.75">
      <c r="A1948" s="10"/>
      <c r="B1948" s="10"/>
      <c r="C1948" s="10"/>
      <c r="D1948" s="10"/>
    </row>
    <row r="1949" spans="1:4" ht="12.75">
      <c r="A1949" s="10"/>
      <c r="B1949" s="10"/>
      <c r="C1949" s="10"/>
      <c r="D1949" s="10"/>
    </row>
    <row r="1950" spans="1:4" ht="12.75">
      <c r="A1950" s="10"/>
      <c r="B1950" s="10"/>
      <c r="C1950" s="10"/>
      <c r="D1950" s="10"/>
    </row>
    <row r="1951" spans="1:4" ht="12.75">
      <c r="A1951" s="10"/>
      <c r="B1951" s="10"/>
      <c r="C1951" s="10"/>
      <c r="D1951" s="10"/>
    </row>
    <row r="1952" spans="1:4" ht="12.75">
      <c r="A1952" s="10"/>
      <c r="B1952" s="10"/>
      <c r="C1952" s="10"/>
      <c r="D1952" s="10"/>
    </row>
    <row r="1953" spans="1:4" ht="12.75">
      <c r="A1953" s="10"/>
      <c r="B1953" s="10"/>
      <c r="C1953" s="10"/>
      <c r="D1953" s="10"/>
    </row>
    <row r="1954" spans="1:4" ht="12.75">
      <c r="A1954" s="10"/>
      <c r="B1954" s="10"/>
      <c r="C1954" s="10"/>
      <c r="D1954" s="10"/>
    </row>
    <row r="1955" spans="1:4" ht="12.75">
      <c r="A1955" s="10"/>
      <c r="B1955" s="10"/>
      <c r="C1955" s="10"/>
      <c r="D1955" s="10"/>
    </row>
    <row r="1956" spans="1:4" ht="12.75">
      <c r="A1956" s="10"/>
      <c r="B1956" s="10"/>
      <c r="C1956" s="10"/>
      <c r="D1956" s="10"/>
    </row>
    <row r="1957" spans="1:4" ht="12.75">
      <c r="A1957" s="10"/>
      <c r="B1957" s="10"/>
      <c r="C1957" s="10"/>
      <c r="D1957" s="10"/>
    </row>
    <row r="1958" spans="1:4" ht="12.75">
      <c r="A1958" s="10"/>
      <c r="B1958" s="10"/>
      <c r="C1958" s="10"/>
      <c r="D1958" s="10"/>
    </row>
    <row r="1959" spans="1:4" ht="12.75">
      <c r="A1959" s="10"/>
      <c r="B1959" s="10"/>
      <c r="C1959" s="10"/>
      <c r="D1959" s="10"/>
    </row>
    <row r="1960" spans="1:4" ht="12.75">
      <c r="A1960" s="10"/>
      <c r="B1960" s="10"/>
      <c r="C1960" s="10"/>
      <c r="D1960" s="10"/>
    </row>
    <row r="1961" spans="1:4" ht="12.75">
      <c r="A1961" s="10"/>
      <c r="B1961" s="10"/>
      <c r="C1961" s="10"/>
      <c r="D1961" s="10"/>
    </row>
    <row r="1962" spans="1:4" ht="12.75">
      <c r="A1962" s="10"/>
      <c r="B1962" s="10"/>
      <c r="C1962" s="10"/>
      <c r="D1962" s="10"/>
    </row>
    <row r="1963" spans="1:4" ht="12.75">
      <c r="A1963" s="10"/>
      <c r="B1963" s="10"/>
      <c r="C1963" s="10"/>
      <c r="D1963" s="10"/>
    </row>
    <row r="1964" spans="1:4" ht="12.75">
      <c r="A1964" s="10"/>
      <c r="B1964" s="10"/>
      <c r="C1964" s="10"/>
      <c r="D1964" s="10"/>
    </row>
    <row r="1965" spans="1:4" ht="12.75">
      <c r="A1965" s="10"/>
      <c r="B1965" s="10"/>
      <c r="C1965" s="10"/>
      <c r="D1965" s="10"/>
    </row>
    <row r="1966" spans="1:4" ht="12.75">
      <c r="A1966" s="10"/>
      <c r="B1966" s="10"/>
      <c r="C1966" s="10"/>
      <c r="D1966" s="10"/>
    </row>
    <row r="1967" spans="1:4" ht="12.75">
      <c r="A1967" s="10"/>
      <c r="B1967" s="10"/>
      <c r="C1967" s="10"/>
      <c r="D1967" s="10"/>
    </row>
    <row r="1968" spans="1:4" ht="12.75">
      <c r="A1968" s="10"/>
      <c r="B1968" s="10"/>
      <c r="C1968" s="10"/>
      <c r="D1968" s="10"/>
    </row>
    <row r="1969" spans="1:4" ht="12.75">
      <c r="A1969" s="10"/>
      <c r="B1969" s="10"/>
      <c r="C1969" s="10"/>
      <c r="D1969" s="10"/>
    </row>
    <row r="1970" spans="1:4" ht="12.75">
      <c r="A1970" s="10"/>
      <c r="B1970" s="10"/>
      <c r="C1970" s="10"/>
      <c r="D1970" s="10"/>
    </row>
    <row r="1971" spans="1:4" ht="12.75">
      <c r="A1971" s="10"/>
      <c r="B1971" s="10"/>
      <c r="C1971" s="10"/>
      <c r="D1971" s="10"/>
    </row>
    <row r="1972" spans="1:4" ht="12.75">
      <c r="A1972" s="10"/>
      <c r="B1972" s="10"/>
      <c r="C1972" s="10"/>
      <c r="D1972" s="10"/>
    </row>
    <row r="1973" spans="1:4" ht="12.75">
      <c r="A1973" s="10"/>
      <c r="B1973" s="10"/>
      <c r="C1973" s="10"/>
      <c r="D1973" s="10"/>
    </row>
    <row r="1974" spans="1:4" ht="12.75">
      <c r="A1974" s="10"/>
      <c r="B1974" s="10"/>
      <c r="C1974" s="10"/>
      <c r="D1974" s="10"/>
    </row>
    <row r="1975" spans="1:4" ht="12.75">
      <c r="A1975" s="10"/>
      <c r="B1975" s="10"/>
      <c r="C1975" s="10"/>
      <c r="D1975" s="10"/>
    </row>
    <row r="1976" spans="1:4" ht="12.75">
      <c r="A1976" s="10"/>
      <c r="B1976" s="10"/>
      <c r="C1976" s="10"/>
      <c r="D1976" s="10"/>
    </row>
    <row r="1977" spans="1:4" ht="12.75">
      <c r="A1977" s="10"/>
      <c r="B1977" s="10"/>
      <c r="C1977" s="10"/>
      <c r="D1977" s="10"/>
    </row>
    <row r="1978" spans="1:4" ht="12.75">
      <c r="A1978" s="10"/>
      <c r="B1978" s="10"/>
      <c r="C1978" s="10"/>
      <c r="D1978" s="10"/>
    </row>
    <row r="1979" spans="1:4" ht="12.75">
      <c r="A1979" s="10"/>
      <c r="B1979" s="10"/>
      <c r="C1979" s="10"/>
      <c r="D1979" s="10"/>
    </row>
    <row r="1980" spans="1:4" ht="12.75">
      <c r="A1980" s="10"/>
      <c r="B1980" s="10"/>
      <c r="C1980" s="10"/>
      <c r="D1980" s="10"/>
    </row>
    <row r="1981" spans="1:4" ht="12.75">
      <c r="A1981" s="10"/>
      <c r="B1981" s="10"/>
      <c r="C1981" s="10"/>
      <c r="D1981" s="10"/>
    </row>
    <row r="1982" spans="1:4" ht="12.75">
      <c r="A1982" s="10"/>
      <c r="B1982" s="10"/>
      <c r="C1982" s="10"/>
      <c r="D1982" s="10"/>
    </row>
    <row r="1983" spans="1:4" ht="12.75">
      <c r="A1983" s="10"/>
      <c r="B1983" s="10"/>
      <c r="C1983" s="10"/>
      <c r="D1983" s="10"/>
    </row>
    <row r="1984" spans="1:4" ht="12.75">
      <c r="A1984" s="10"/>
      <c r="B1984" s="10"/>
      <c r="C1984" s="10"/>
      <c r="D1984" s="10"/>
    </row>
    <row r="1985" spans="1:4" ht="12.75">
      <c r="A1985" s="10"/>
      <c r="B1985" s="10"/>
      <c r="C1985" s="10"/>
      <c r="D1985" s="10"/>
    </row>
    <row r="1986" spans="1:4" ht="12.75">
      <c r="A1986" s="10"/>
      <c r="B1986" s="10"/>
      <c r="C1986" s="10"/>
      <c r="D1986" s="10"/>
    </row>
    <row r="1987" spans="1:4" ht="12.75">
      <c r="A1987" s="10"/>
      <c r="B1987" s="10"/>
      <c r="C1987" s="10"/>
      <c r="D1987" s="10"/>
    </row>
    <row r="1988" spans="1:4" ht="12.75">
      <c r="A1988" s="10"/>
      <c r="B1988" s="10"/>
      <c r="C1988" s="10"/>
      <c r="D1988" s="10"/>
    </row>
    <row r="1989" spans="1:4" ht="12.75">
      <c r="A1989" s="10"/>
      <c r="B1989" s="10"/>
      <c r="C1989" s="10"/>
      <c r="D1989" s="10"/>
    </row>
    <row r="1990" spans="1:4" ht="12.75">
      <c r="A1990" s="10"/>
      <c r="B1990" s="10"/>
      <c r="C1990" s="10"/>
      <c r="D1990" s="10"/>
    </row>
    <row r="1991" spans="1:4" ht="12.75">
      <c r="A1991" s="10"/>
      <c r="B1991" s="10"/>
      <c r="C1991" s="10"/>
      <c r="D1991" s="10"/>
    </row>
    <row r="1992" spans="1:4" ht="12.75">
      <c r="A1992" s="10"/>
      <c r="B1992" s="10"/>
      <c r="C1992" s="10"/>
      <c r="D1992" s="10"/>
    </row>
    <row r="1993" spans="1:4" ht="12.75">
      <c r="A1993" s="10"/>
      <c r="B1993" s="10"/>
      <c r="C1993" s="10"/>
      <c r="D1993" s="10"/>
    </row>
    <row r="1994" spans="1:4" ht="12.75">
      <c r="A1994" s="10"/>
      <c r="B1994" s="10"/>
      <c r="C1994" s="10"/>
      <c r="D1994" s="10"/>
    </row>
    <row r="1995" spans="1:4" ht="12.75">
      <c r="A1995" s="10"/>
      <c r="B1995" s="10"/>
      <c r="C1995" s="10"/>
      <c r="D1995" s="10"/>
    </row>
    <row r="1996" spans="1:4" ht="12.75">
      <c r="A1996" s="10"/>
      <c r="B1996" s="10"/>
      <c r="C1996" s="10"/>
      <c r="D1996" s="10"/>
    </row>
    <row r="1997" spans="1:4" ht="12.75">
      <c r="A1997" s="10"/>
      <c r="B1997" s="10"/>
      <c r="C1997" s="10"/>
      <c r="D1997" s="10"/>
    </row>
    <row r="1998" spans="1:4" ht="12.75">
      <c r="A1998" s="10"/>
      <c r="B1998" s="10"/>
      <c r="C1998" s="10"/>
      <c r="D1998" s="10"/>
    </row>
    <row r="1999" spans="1:4" ht="12.75">
      <c r="A1999" s="10"/>
      <c r="B1999" s="10"/>
      <c r="C1999" s="10"/>
      <c r="D1999" s="10"/>
    </row>
    <row r="2000" spans="1:4" ht="12.75">
      <c r="A2000" s="10"/>
      <c r="B2000" s="10"/>
      <c r="C2000" s="10"/>
      <c r="D2000" s="10"/>
    </row>
    <row r="2001" spans="1:4" ht="12.75">
      <c r="A2001" s="10"/>
      <c r="B2001" s="10"/>
      <c r="C2001" s="10"/>
      <c r="D2001" s="10"/>
    </row>
    <row r="2002" spans="1:4" ht="12.75">
      <c r="A2002" s="10"/>
      <c r="B2002" s="10"/>
      <c r="C2002" s="10"/>
      <c r="D2002" s="10"/>
    </row>
    <row r="2003" spans="1:4" ht="12.75">
      <c r="A2003" s="10"/>
      <c r="B2003" s="10"/>
      <c r="C2003" s="10"/>
      <c r="D2003" s="10"/>
    </row>
    <row r="2004" spans="1:4" ht="12.75">
      <c r="A2004" s="10"/>
      <c r="B2004" s="10"/>
      <c r="C2004" s="10"/>
      <c r="D2004" s="10"/>
    </row>
    <row r="2005" spans="1:4" ht="12.75">
      <c r="A2005" s="10"/>
      <c r="B2005" s="10"/>
      <c r="C2005" s="10"/>
      <c r="D2005" s="10"/>
    </row>
    <row r="2006" spans="1:4" ht="12.75">
      <c r="A2006" s="10"/>
      <c r="B2006" s="10"/>
      <c r="C2006" s="10"/>
      <c r="D2006" s="10"/>
    </row>
    <row r="2007" spans="1:4" ht="12.75">
      <c r="A2007" s="10"/>
      <c r="B2007" s="10"/>
      <c r="C2007" s="10"/>
      <c r="D2007" s="10"/>
    </row>
    <row r="2008" spans="1:4" ht="12.75">
      <c r="A2008" s="10"/>
      <c r="B2008" s="10"/>
      <c r="C2008" s="10"/>
      <c r="D2008" s="10"/>
    </row>
    <row r="2009" spans="1:4" ht="12.75">
      <c r="A2009" s="10"/>
      <c r="B2009" s="10"/>
      <c r="C2009" s="10"/>
      <c r="D2009" s="10"/>
    </row>
    <row r="2010" spans="1:4" ht="12.75">
      <c r="A2010" s="10"/>
      <c r="B2010" s="10"/>
      <c r="C2010" s="10"/>
      <c r="D2010" s="10"/>
    </row>
    <row r="2011" spans="1:4" ht="12.75">
      <c r="A2011" s="10"/>
      <c r="B2011" s="10"/>
      <c r="C2011" s="10"/>
      <c r="D2011" s="10"/>
    </row>
    <row r="2012" spans="1:4" ht="12.75">
      <c r="A2012" s="10"/>
      <c r="B2012" s="10"/>
      <c r="C2012" s="10"/>
      <c r="D2012" s="10"/>
    </row>
    <row r="2013" spans="1:4" ht="12.75">
      <c r="A2013" s="10"/>
      <c r="B2013" s="10"/>
      <c r="C2013" s="10"/>
      <c r="D2013" s="10"/>
    </row>
    <row r="2014" spans="1:4" ht="12.75">
      <c r="A2014" s="10"/>
      <c r="B2014" s="10"/>
      <c r="C2014" s="10"/>
      <c r="D2014" s="10"/>
    </row>
    <row r="2015" spans="1:4" ht="12.75">
      <c r="A2015" s="10"/>
      <c r="B2015" s="10"/>
      <c r="C2015" s="10"/>
      <c r="D2015" s="10"/>
    </row>
    <row r="2016" spans="1:4" ht="12.75">
      <c r="A2016" s="10"/>
      <c r="B2016" s="10"/>
      <c r="C2016" s="10"/>
      <c r="D2016" s="10"/>
    </row>
    <row r="2017" spans="1:4" ht="12.75">
      <c r="A2017" s="10"/>
      <c r="B2017" s="10"/>
      <c r="C2017" s="10"/>
      <c r="D2017" s="10"/>
    </row>
    <row r="2018" spans="1:4" ht="12.75">
      <c r="A2018" s="10"/>
      <c r="B2018" s="10"/>
      <c r="C2018" s="10"/>
      <c r="D2018" s="10"/>
    </row>
    <row r="2019" spans="1:4" ht="12.75">
      <c r="A2019" s="10"/>
      <c r="B2019" s="10"/>
      <c r="C2019" s="10"/>
      <c r="D2019" s="10"/>
    </row>
    <row r="2020" spans="1:4" ht="12.75">
      <c r="A2020" s="10"/>
      <c r="B2020" s="10"/>
      <c r="C2020" s="10"/>
      <c r="D2020" s="10"/>
    </row>
    <row r="2021" spans="1:4" ht="12.75">
      <c r="A2021" s="10"/>
      <c r="B2021" s="10"/>
      <c r="C2021" s="10"/>
      <c r="D2021" s="10"/>
    </row>
    <row r="2022" spans="1:4" ht="12.75">
      <c r="A2022" s="10"/>
      <c r="B2022" s="10"/>
      <c r="C2022" s="10"/>
      <c r="D2022" s="10"/>
    </row>
    <row r="2023" spans="1:4" ht="12.75">
      <c r="A2023" s="10"/>
      <c r="B2023" s="10"/>
      <c r="C2023" s="10"/>
      <c r="D2023" s="10"/>
    </row>
    <row r="2024" spans="1:4" ht="12.75">
      <c r="A2024" s="10"/>
      <c r="B2024" s="10"/>
      <c r="C2024" s="10"/>
      <c r="D2024" s="10"/>
    </row>
    <row r="2025" spans="1:4" ht="12.75">
      <c r="A2025" s="10"/>
      <c r="B2025" s="10"/>
      <c r="C2025" s="10"/>
      <c r="D2025" s="10"/>
    </row>
    <row r="2026" spans="1:4" ht="12.75">
      <c r="A2026" s="10"/>
      <c r="B2026" s="10"/>
      <c r="C2026" s="10"/>
      <c r="D2026" s="10"/>
    </row>
    <row r="2027" spans="1:4" ht="12.75">
      <c r="A2027" s="10"/>
      <c r="B2027" s="10"/>
      <c r="C2027" s="10"/>
      <c r="D2027" s="10"/>
    </row>
    <row r="2028" spans="1:4" ht="12.75">
      <c r="A2028" s="10"/>
      <c r="B2028" s="10"/>
      <c r="C2028" s="10"/>
      <c r="D2028" s="10"/>
    </row>
    <row r="2029" spans="1:4" ht="12.75">
      <c r="A2029" s="10"/>
      <c r="B2029" s="10"/>
      <c r="C2029" s="10"/>
      <c r="D2029" s="10"/>
    </row>
    <row r="2030" spans="1:4" ht="12.75">
      <c r="A2030" s="10"/>
      <c r="B2030" s="10"/>
      <c r="C2030" s="10"/>
      <c r="D2030" s="10"/>
    </row>
    <row r="2031" spans="1:4" ht="12.75">
      <c r="A2031" s="10"/>
      <c r="B2031" s="10"/>
      <c r="C2031" s="10"/>
      <c r="D2031" s="10"/>
    </row>
    <row r="2032" spans="1:4" ht="12.75">
      <c r="A2032" s="10"/>
      <c r="B2032" s="10"/>
      <c r="C2032" s="10"/>
      <c r="D2032" s="10"/>
    </row>
    <row r="2033" spans="1:4" ht="12.75">
      <c r="A2033" s="10"/>
      <c r="B2033" s="10"/>
      <c r="C2033" s="10"/>
      <c r="D2033" s="10"/>
    </row>
    <row r="2034" spans="1:4" ht="12.75">
      <c r="A2034" s="10"/>
      <c r="B2034" s="10"/>
      <c r="C2034" s="10"/>
      <c r="D2034" s="10"/>
    </row>
    <row r="2035" spans="1:4" ht="12.75">
      <c r="A2035" s="10"/>
      <c r="B2035" s="10"/>
      <c r="C2035" s="10"/>
      <c r="D2035" s="10"/>
    </row>
    <row r="2036" spans="1:4" ht="12.75">
      <c r="A2036" s="10"/>
      <c r="B2036" s="10"/>
      <c r="C2036" s="10"/>
      <c r="D2036" s="10"/>
    </row>
    <row r="2037" spans="1:4" ht="12.75">
      <c r="A2037" s="10"/>
      <c r="B2037" s="10"/>
      <c r="C2037" s="10"/>
      <c r="D2037" s="10"/>
    </row>
    <row r="2038" spans="1:4" ht="12.75">
      <c r="A2038" s="10"/>
      <c r="B2038" s="10"/>
      <c r="C2038" s="10"/>
      <c r="D2038" s="10"/>
    </row>
    <row r="2039" spans="1:4" ht="12.75">
      <c r="A2039" s="10"/>
      <c r="B2039" s="10"/>
      <c r="C2039" s="10"/>
      <c r="D2039" s="10"/>
    </row>
    <row r="2040" spans="1:4" ht="12.75">
      <c r="A2040" s="10"/>
      <c r="B2040" s="10"/>
      <c r="C2040" s="10"/>
      <c r="D2040" s="10"/>
    </row>
    <row r="2041" spans="1:4" ht="12.75">
      <c r="A2041" s="10"/>
      <c r="B2041" s="10"/>
      <c r="C2041" s="10"/>
      <c r="D2041" s="10"/>
    </row>
    <row r="2042" spans="1:4" ht="12.75">
      <c r="A2042" s="10"/>
      <c r="B2042" s="10"/>
      <c r="C2042" s="10"/>
      <c r="D2042" s="10"/>
    </row>
    <row r="2043" spans="1:4" ht="12.75">
      <c r="A2043" s="10"/>
      <c r="B2043" s="10"/>
      <c r="C2043" s="10"/>
      <c r="D2043" s="10"/>
    </row>
    <row r="2044" spans="1:4" ht="12.75">
      <c r="A2044" s="10"/>
      <c r="B2044" s="10"/>
      <c r="C2044" s="10"/>
      <c r="D2044" s="10"/>
    </row>
    <row r="2045" spans="1:4" ht="12.75">
      <c r="A2045" s="10"/>
      <c r="B2045" s="10"/>
      <c r="C2045" s="10"/>
      <c r="D2045" s="10"/>
    </row>
    <row r="2046" spans="1:4" ht="12.75">
      <c r="A2046" s="10"/>
      <c r="B2046" s="10"/>
      <c r="C2046" s="10"/>
      <c r="D2046" s="10"/>
    </row>
    <row r="2047" spans="1:4" ht="12.75">
      <c r="A2047" s="10"/>
      <c r="B2047" s="10"/>
      <c r="C2047" s="10"/>
      <c r="D2047" s="10"/>
    </row>
    <row r="2048" spans="1:4" ht="12.75">
      <c r="A2048" s="10"/>
      <c r="B2048" s="10"/>
      <c r="C2048" s="10"/>
      <c r="D2048" s="10"/>
    </row>
    <row r="2049" spans="1:4" ht="12.75">
      <c r="A2049" s="10"/>
      <c r="B2049" s="10"/>
      <c r="C2049" s="10"/>
      <c r="D2049" s="10"/>
    </row>
    <row r="2050" spans="1:4" ht="12.75">
      <c r="A2050" s="10"/>
      <c r="B2050" s="10"/>
      <c r="C2050" s="10"/>
      <c r="D2050" s="10"/>
    </row>
    <row r="2051" spans="1:4" ht="12.75">
      <c r="A2051" s="10"/>
      <c r="B2051" s="10"/>
      <c r="C2051" s="10"/>
      <c r="D2051" s="10"/>
    </row>
    <row r="2052" spans="1:4" ht="12.75">
      <c r="A2052" s="10"/>
      <c r="B2052" s="10"/>
      <c r="C2052" s="10"/>
      <c r="D2052" s="10"/>
    </row>
    <row r="2053" spans="1:4" ht="12.75">
      <c r="A2053" s="10"/>
      <c r="B2053" s="10"/>
      <c r="C2053" s="10"/>
      <c r="D2053" s="10"/>
    </row>
    <row r="2054" spans="1:4" ht="12.75">
      <c r="A2054" s="10"/>
      <c r="B2054" s="10"/>
      <c r="C2054" s="10"/>
      <c r="D2054" s="10"/>
    </row>
    <row r="2055" spans="1:4" ht="12.75">
      <c r="A2055" s="10"/>
      <c r="B2055" s="10"/>
      <c r="C2055" s="10"/>
      <c r="D2055" s="10"/>
    </row>
    <row r="2056" spans="1:4" ht="12.75">
      <c r="A2056" s="10"/>
      <c r="B2056" s="10"/>
      <c r="C2056" s="10"/>
      <c r="D2056" s="10"/>
    </row>
    <row r="2057" spans="1:4" ht="12.75">
      <c r="A2057" s="10"/>
      <c r="B2057" s="10"/>
      <c r="C2057" s="10"/>
      <c r="D2057" s="10"/>
    </row>
    <row r="2058" spans="1:4" ht="12.75">
      <c r="A2058" s="10"/>
      <c r="B2058" s="10"/>
      <c r="C2058" s="10"/>
      <c r="D2058" s="10"/>
    </row>
    <row r="2059" spans="1:4" ht="12.75">
      <c r="A2059" s="10"/>
      <c r="B2059" s="10"/>
      <c r="C2059" s="10"/>
      <c r="D2059" s="10"/>
    </row>
    <row r="2060" spans="1:4" ht="12.75">
      <c r="A2060" s="10"/>
      <c r="B2060" s="10"/>
      <c r="C2060" s="10"/>
      <c r="D2060" s="10"/>
    </row>
    <row r="2061" spans="1:4" ht="12.75">
      <c r="A2061" s="10"/>
      <c r="B2061" s="10"/>
      <c r="C2061" s="10"/>
      <c r="D2061" s="10"/>
    </row>
    <row r="2062" spans="1:4" ht="12.75">
      <c r="A2062" s="10"/>
      <c r="B2062" s="10"/>
      <c r="C2062" s="10"/>
      <c r="D2062" s="10"/>
    </row>
    <row r="2063" spans="1:4" ht="12.75">
      <c r="A2063" s="10"/>
      <c r="B2063" s="10"/>
      <c r="C2063" s="10"/>
      <c r="D2063" s="10"/>
    </row>
    <row r="2064" spans="1:4" ht="12.75">
      <c r="A2064" s="10"/>
      <c r="B2064" s="10"/>
      <c r="C2064" s="10"/>
      <c r="D2064" s="10"/>
    </row>
    <row r="2065" spans="1:4" ht="12.75">
      <c r="A2065" s="10"/>
      <c r="B2065" s="10"/>
      <c r="C2065" s="10"/>
      <c r="D2065" s="10"/>
    </row>
    <row r="2066" spans="1:4" ht="12.75">
      <c r="A2066" s="10"/>
      <c r="B2066" s="10"/>
      <c r="C2066" s="10"/>
      <c r="D2066" s="10"/>
    </row>
    <row r="2067" spans="1:4" ht="12.75">
      <c r="A2067" s="10"/>
      <c r="B2067" s="10"/>
      <c r="C2067" s="10"/>
      <c r="D2067" s="10"/>
    </row>
    <row r="2068" spans="1:4" ht="12.75">
      <c r="A2068" s="10"/>
      <c r="B2068" s="10"/>
      <c r="C2068" s="10"/>
      <c r="D2068" s="10"/>
    </row>
    <row r="2069" spans="1:4" ht="12.75">
      <c r="A2069" s="10"/>
      <c r="B2069" s="10"/>
      <c r="C2069" s="10"/>
      <c r="D2069" s="10"/>
    </row>
    <row r="2070" spans="1:4" ht="12.75">
      <c r="A2070" s="10"/>
      <c r="B2070" s="10"/>
      <c r="C2070" s="10"/>
      <c r="D2070" s="10"/>
    </row>
    <row r="2071" spans="1:4" ht="12.75">
      <c r="A2071" s="10"/>
      <c r="B2071" s="10"/>
      <c r="C2071" s="10"/>
      <c r="D2071" s="10"/>
    </row>
    <row r="2072" spans="1:4" ht="12.75">
      <c r="A2072" s="10"/>
      <c r="B2072" s="10"/>
      <c r="C2072" s="10"/>
      <c r="D2072" s="10"/>
    </row>
    <row r="2073" spans="1:4" ht="12.75">
      <c r="A2073" s="10"/>
      <c r="B2073" s="10"/>
      <c r="C2073" s="10"/>
      <c r="D2073" s="10"/>
    </row>
    <row r="2074" spans="1:4" ht="12.75">
      <c r="A2074" s="10"/>
      <c r="B2074" s="10"/>
      <c r="C2074" s="10"/>
      <c r="D2074" s="10"/>
    </row>
    <row r="2075" spans="1:4" ht="12.75">
      <c r="A2075" s="10"/>
      <c r="B2075" s="10"/>
      <c r="C2075" s="10"/>
      <c r="D2075" s="10"/>
    </row>
    <row r="2076" spans="1:4" ht="12.75">
      <c r="A2076" s="10"/>
      <c r="B2076" s="10"/>
      <c r="C2076" s="10"/>
      <c r="D2076" s="10"/>
    </row>
    <row r="2077" spans="1:4" ht="12.75">
      <c r="A2077" s="10"/>
      <c r="B2077" s="10"/>
      <c r="C2077" s="10"/>
      <c r="D2077" s="10"/>
    </row>
    <row r="2078" spans="1:4" ht="12.75">
      <c r="A2078" s="10"/>
      <c r="B2078" s="10"/>
      <c r="C2078" s="10"/>
      <c r="D2078" s="10"/>
    </row>
    <row r="2079" spans="1:4" ht="12.75">
      <c r="A2079" s="10"/>
      <c r="B2079" s="10"/>
      <c r="C2079" s="10"/>
      <c r="D2079" s="10"/>
    </row>
    <row r="2080" spans="1:4" ht="12.75">
      <c r="A2080" s="10"/>
      <c r="B2080" s="10"/>
      <c r="C2080" s="10"/>
      <c r="D2080" s="10"/>
    </row>
    <row r="2081" spans="1:4" ht="12.75">
      <c r="A2081" s="10"/>
      <c r="B2081" s="10"/>
      <c r="C2081" s="10"/>
      <c r="D2081" s="10"/>
    </row>
    <row r="2082" spans="1:4" ht="12.75">
      <c r="A2082" s="10"/>
      <c r="B2082" s="10"/>
      <c r="C2082" s="10"/>
      <c r="D2082" s="10"/>
    </row>
    <row r="2083" spans="1:4" ht="12.75">
      <c r="A2083" s="10"/>
      <c r="B2083" s="10"/>
      <c r="C2083" s="10"/>
      <c r="D2083" s="10"/>
    </row>
    <row r="2084" spans="1:4" ht="12.75">
      <c r="A2084" s="10"/>
      <c r="B2084" s="10"/>
      <c r="C2084" s="10"/>
      <c r="D2084" s="10"/>
    </row>
    <row r="2085" spans="1:4" ht="12.75">
      <c r="A2085" s="10"/>
      <c r="B2085" s="10"/>
      <c r="C2085" s="10"/>
      <c r="D2085" s="10"/>
    </row>
    <row r="2086" spans="1:4" ht="12.75">
      <c r="A2086" s="10"/>
      <c r="B2086" s="10"/>
      <c r="C2086" s="10"/>
      <c r="D2086" s="10"/>
    </row>
    <row r="2087" spans="1:4" ht="12.75">
      <c r="A2087" s="10"/>
      <c r="B2087" s="10"/>
      <c r="C2087" s="10"/>
      <c r="D2087" s="10"/>
    </row>
    <row r="2088" spans="1:4" ht="12.75">
      <c r="A2088" s="10"/>
      <c r="B2088" s="10"/>
      <c r="C2088" s="10"/>
      <c r="D2088" s="10"/>
    </row>
    <row r="2089" spans="1:4" ht="12.75">
      <c r="A2089" s="10"/>
      <c r="B2089" s="10"/>
      <c r="C2089" s="10"/>
      <c r="D2089" s="10"/>
    </row>
    <row r="2090" spans="1:4" ht="12.75">
      <c r="A2090" s="10"/>
      <c r="B2090" s="10"/>
      <c r="C2090" s="10"/>
      <c r="D2090" s="10"/>
    </row>
    <row r="2091" spans="1:4" ht="12.75">
      <c r="A2091" s="10"/>
      <c r="B2091" s="10"/>
      <c r="C2091" s="10"/>
      <c r="D2091" s="10"/>
    </row>
    <row r="2092" spans="1:4" ht="12.75">
      <c r="A2092" s="10"/>
      <c r="B2092" s="10"/>
      <c r="C2092" s="10"/>
      <c r="D2092" s="10"/>
    </row>
    <row r="2093" spans="1:4" ht="12.75">
      <c r="A2093" s="10"/>
      <c r="B2093" s="10"/>
      <c r="C2093" s="10"/>
      <c r="D2093" s="10"/>
    </row>
    <row r="2094" spans="1:4" ht="12.75">
      <c r="A2094" s="10"/>
      <c r="B2094" s="10"/>
      <c r="C2094" s="10"/>
      <c r="D2094" s="10"/>
    </row>
    <row r="2095" spans="1:4" ht="12.75">
      <c r="A2095" s="10"/>
      <c r="B2095" s="10"/>
      <c r="C2095" s="10"/>
      <c r="D2095" s="10"/>
    </row>
    <row r="2096" spans="1:4" ht="12.75">
      <c r="A2096" s="10"/>
      <c r="B2096" s="10"/>
      <c r="C2096" s="10"/>
      <c r="D2096" s="10"/>
    </row>
    <row r="2097" spans="1:4" ht="12.75">
      <c r="A2097" s="10"/>
      <c r="B2097" s="10"/>
      <c r="C2097" s="10"/>
      <c r="D2097" s="10"/>
    </row>
    <row r="2098" spans="1:4" ht="12.75">
      <c r="A2098" s="10"/>
      <c r="B2098" s="10"/>
      <c r="C2098" s="10"/>
      <c r="D2098" s="10"/>
    </row>
    <row r="2099" spans="1:4" ht="12.75">
      <c r="A2099" s="10"/>
      <c r="B2099" s="10"/>
      <c r="C2099" s="10"/>
      <c r="D2099" s="10"/>
    </row>
    <row r="2100" spans="1:4" ht="12.75">
      <c r="A2100" s="10"/>
      <c r="B2100" s="10"/>
      <c r="C2100" s="10"/>
      <c r="D2100" s="10"/>
    </row>
    <row r="2101" spans="1:4" ht="12.75">
      <c r="A2101" s="10"/>
      <c r="B2101" s="10"/>
      <c r="C2101" s="10"/>
      <c r="D2101" s="10"/>
    </row>
    <row r="2102" spans="1:4" ht="12.75">
      <c r="A2102" s="10"/>
      <c r="B2102" s="10"/>
      <c r="C2102" s="10"/>
      <c r="D2102" s="10"/>
    </row>
    <row r="2103" spans="1:4" ht="12.75">
      <c r="A2103" s="10"/>
      <c r="B2103" s="10"/>
      <c r="C2103" s="10"/>
      <c r="D2103" s="10"/>
    </row>
    <row r="2104" spans="1:4" ht="12.75">
      <c r="A2104" s="10"/>
      <c r="B2104" s="10"/>
      <c r="C2104" s="10"/>
      <c r="D2104" s="10"/>
    </row>
    <row r="2105" spans="1:4" ht="12.75">
      <c r="A2105" s="10"/>
      <c r="B2105" s="10"/>
      <c r="C2105" s="10"/>
      <c r="D2105" s="10"/>
    </row>
    <row r="2106" spans="1:4" ht="12.75">
      <c r="A2106" s="10"/>
      <c r="B2106" s="10"/>
      <c r="C2106" s="10"/>
      <c r="D2106" s="10"/>
    </row>
    <row r="2107" spans="1:4" ht="12.75">
      <c r="A2107" s="10"/>
      <c r="B2107" s="10"/>
      <c r="C2107" s="10"/>
      <c r="D2107" s="10"/>
    </row>
    <row r="2108" spans="1:4" ht="12.75">
      <c r="A2108" s="10"/>
      <c r="B2108" s="10"/>
      <c r="C2108" s="10"/>
      <c r="D2108" s="10"/>
    </row>
    <row r="2109" spans="1:4" ht="12.75">
      <c r="A2109" s="10"/>
      <c r="B2109" s="10"/>
      <c r="C2109" s="10"/>
      <c r="D2109" s="10"/>
    </row>
    <row r="2110" spans="1:4" ht="12.75">
      <c r="A2110" s="10"/>
      <c r="B2110" s="10"/>
      <c r="C2110" s="10"/>
      <c r="D2110" s="10"/>
    </row>
    <row r="2111" spans="1:4" ht="12.75">
      <c r="A2111" s="10"/>
      <c r="B2111" s="10"/>
      <c r="C2111" s="10"/>
      <c r="D2111" s="10"/>
    </row>
    <row r="2112" spans="1:4" ht="12.75">
      <c r="A2112" s="10"/>
      <c r="B2112" s="10"/>
      <c r="C2112" s="10"/>
      <c r="D2112" s="10"/>
    </row>
    <row r="2113" spans="1:4" ht="12.75">
      <c r="A2113" s="10"/>
      <c r="B2113" s="10"/>
      <c r="C2113" s="10"/>
      <c r="D2113" s="10"/>
    </row>
    <row r="2114" spans="1:4" ht="12.75">
      <c r="A2114" s="10"/>
      <c r="B2114" s="10"/>
      <c r="C2114" s="10"/>
      <c r="D2114" s="10"/>
    </row>
    <row r="2115" spans="1:4" ht="12.75">
      <c r="A2115" s="10"/>
      <c r="B2115" s="10"/>
      <c r="C2115" s="10"/>
      <c r="D2115" s="10"/>
    </row>
    <row r="2116" spans="1:4" ht="12.75">
      <c r="A2116" s="10"/>
      <c r="B2116" s="10"/>
      <c r="C2116" s="10"/>
      <c r="D2116" s="10"/>
    </row>
    <row r="2117" spans="1:4" ht="12.75">
      <c r="A2117" s="10"/>
      <c r="B2117" s="10"/>
      <c r="C2117" s="10"/>
      <c r="D2117" s="10"/>
    </row>
    <row r="2118" spans="1:4" ht="12.75">
      <c r="A2118" s="10"/>
      <c r="B2118" s="10"/>
      <c r="C2118" s="10"/>
      <c r="D2118" s="10"/>
    </row>
    <row r="2119" spans="1:4" ht="12.75">
      <c r="A2119" s="10"/>
      <c r="B2119" s="10"/>
      <c r="C2119" s="10"/>
      <c r="D2119" s="10"/>
    </row>
    <row r="2120" spans="1:4" ht="12.75">
      <c r="A2120" s="10"/>
      <c r="B2120" s="10"/>
      <c r="C2120" s="10"/>
      <c r="D2120" s="10"/>
    </row>
    <row r="2121" spans="1:4" ht="12.75">
      <c r="A2121" s="10"/>
      <c r="B2121" s="10"/>
      <c r="C2121" s="10"/>
      <c r="D2121" s="10"/>
    </row>
    <row r="2122" spans="1:4" ht="12.75">
      <c r="A2122" s="10"/>
      <c r="B2122" s="10"/>
      <c r="C2122" s="10"/>
      <c r="D2122" s="10"/>
    </row>
    <row r="2123" spans="1:4" ht="12.75">
      <c r="A2123" s="10"/>
      <c r="B2123" s="10"/>
      <c r="C2123" s="10"/>
      <c r="D2123" s="10"/>
    </row>
    <row r="2124" spans="1:4" ht="12.75">
      <c r="A2124" s="10"/>
      <c r="B2124" s="10"/>
      <c r="C2124" s="10"/>
      <c r="D2124" s="10"/>
    </row>
    <row r="2125" spans="1:4" ht="12.75">
      <c r="A2125" s="10"/>
      <c r="B2125" s="10"/>
      <c r="C2125" s="10"/>
      <c r="D2125" s="10"/>
    </row>
    <row r="2126" spans="1:4" ht="12.75">
      <c r="A2126" s="10"/>
      <c r="B2126" s="10"/>
      <c r="C2126" s="10"/>
      <c r="D2126" s="10"/>
    </row>
    <row r="2127" spans="1:4" ht="12.75">
      <c r="A2127" s="10"/>
      <c r="B2127" s="10"/>
      <c r="C2127" s="10"/>
      <c r="D2127" s="10"/>
    </row>
    <row r="2128" spans="1:4" ht="12.75">
      <c r="A2128" s="10"/>
      <c r="B2128" s="10"/>
      <c r="C2128" s="10"/>
      <c r="D2128" s="10"/>
    </row>
    <row r="2129" spans="1:4" ht="12.75">
      <c r="A2129" s="10"/>
      <c r="B2129" s="10"/>
      <c r="C2129" s="10"/>
      <c r="D2129" s="10"/>
    </row>
    <row r="2130" spans="1:4" ht="12.75">
      <c r="A2130" s="10"/>
      <c r="B2130" s="10"/>
      <c r="C2130" s="10"/>
      <c r="D2130" s="10"/>
    </row>
    <row r="2131" spans="1:4" ht="12.75">
      <c r="A2131" s="10"/>
      <c r="B2131" s="10"/>
      <c r="C2131" s="10"/>
      <c r="D2131" s="10"/>
    </row>
    <row r="2132" spans="1:4" ht="12.75">
      <c r="A2132" s="10"/>
      <c r="B2132" s="10"/>
      <c r="C2132" s="10"/>
      <c r="D2132" s="10"/>
    </row>
    <row r="2133" spans="1:4" ht="12.75">
      <c r="A2133" s="10"/>
      <c r="B2133" s="10"/>
      <c r="C2133" s="10"/>
      <c r="D2133" s="10"/>
    </row>
    <row r="2134" spans="1:4" ht="12.75">
      <c r="A2134" s="10"/>
      <c r="B2134" s="10"/>
      <c r="C2134" s="10"/>
      <c r="D2134" s="10"/>
    </row>
    <row r="2135" spans="1:4" ht="12.75">
      <c r="A2135" s="10"/>
      <c r="B2135" s="10"/>
      <c r="C2135" s="10"/>
      <c r="D2135" s="10"/>
    </row>
    <row r="2136" spans="1:4" ht="12.75">
      <c r="A2136" s="10"/>
      <c r="B2136" s="10"/>
      <c r="C2136" s="10"/>
      <c r="D2136" s="10"/>
    </row>
    <row r="2137" spans="1:4" ht="12.75">
      <c r="A2137" s="10"/>
      <c r="B2137" s="10"/>
      <c r="C2137" s="10"/>
      <c r="D2137" s="10"/>
    </row>
    <row r="2138" spans="1:4" ht="12.75">
      <c r="A2138" s="10"/>
      <c r="B2138" s="10"/>
      <c r="C2138" s="10"/>
      <c r="D2138" s="10"/>
    </row>
    <row r="2139" spans="1:4" ht="12.75">
      <c r="A2139" s="10"/>
      <c r="B2139" s="10"/>
      <c r="C2139" s="10"/>
      <c r="D2139" s="10"/>
    </row>
    <row r="2140" spans="1:4" ht="12.75">
      <c r="A2140" s="10"/>
      <c r="B2140" s="10"/>
      <c r="C2140" s="10"/>
      <c r="D2140" s="10"/>
    </row>
    <row r="2141" spans="1:4" ht="12.75">
      <c r="A2141" s="10"/>
      <c r="B2141" s="10"/>
      <c r="C2141" s="10"/>
      <c r="D2141" s="10"/>
    </row>
    <row r="2142" spans="1:4" ht="12.75">
      <c r="A2142" s="10"/>
      <c r="B2142" s="10"/>
      <c r="C2142" s="10"/>
      <c r="D2142" s="10"/>
    </row>
    <row r="2143" spans="1:4" ht="12.75">
      <c r="A2143" s="10"/>
      <c r="B2143" s="10"/>
      <c r="C2143" s="10"/>
      <c r="D2143" s="10"/>
    </row>
    <row r="2144" spans="1:4" ht="12.75">
      <c r="A2144" s="10"/>
      <c r="B2144" s="10"/>
      <c r="C2144" s="10"/>
      <c r="D2144" s="10"/>
    </row>
    <row r="2145" spans="1:4" ht="12.75">
      <c r="A2145" s="10"/>
      <c r="B2145" s="10"/>
      <c r="C2145" s="10"/>
      <c r="D2145" s="10"/>
    </row>
    <row r="2146" spans="1:4" ht="12.75">
      <c r="A2146" s="10"/>
      <c r="B2146" s="10"/>
      <c r="C2146" s="10"/>
      <c r="D2146" s="10"/>
    </row>
    <row r="2147" spans="1:4" ht="12.75">
      <c r="A2147" s="10"/>
      <c r="B2147" s="10"/>
      <c r="C2147" s="10"/>
      <c r="D2147" s="10"/>
    </row>
    <row r="2148" spans="1:4" ht="12.75">
      <c r="A2148" s="10"/>
      <c r="B2148" s="10"/>
      <c r="C2148" s="10"/>
      <c r="D2148" s="10"/>
    </row>
    <row r="2149" spans="1:4" ht="12.75">
      <c r="A2149" s="10"/>
      <c r="B2149" s="10"/>
      <c r="C2149" s="10"/>
      <c r="D2149" s="10"/>
    </row>
    <row r="2150" spans="1:4" ht="12.75">
      <c r="A2150" s="10"/>
      <c r="B2150" s="10"/>
      <c r="C2150" s="10"/>
      <c r="D2150" s="10"/>
    </row>
    <row r="2151" spans="1:4" ht="12.75">
      <c r="A2151" s="10"/>
      <c r="B2151" s="10"/>
      <c r="C2151" s="10"/>
      <c r="D2151" s="10"/>
    </row>
    <row r="2152" spans="1:4" ht="12.75">
      <c r="A2152" s="10"/>
      <c r="B2152" s="10"/>
      <c r="C2152" s="10"/>
      <c r="D2152" s="10"/>
    </row>
    <row r="2153" spans="1:4" ht="12.75">
      <c r="A2153" s="10"/>
      <c r="B2153" s="10"/>
      <c r="C2153" s="10"/>
      <c r="D2153" s="10"/>
    </row>
    <row r="2154" spans="1:4" ht="12.75">
      <c r="A2154" s="10"/>
      <c r="B2154" s="10"/>
      <c r="C2154" s="10"/>
      <c r="D2154" s="10"/>
    </row>
    <row r="2155" spans="1:4" ht="12.75">
      <c r="A2155" s="10"/>
      <c r="B2155" s="10"/>
      <c r="C2155" s="10"/>
      <c r="D2155" s="10"/>
    </row>
    <row r="2156" spans="1:4" ht="12.75">
      <c r="A2156" s="10"/>
      <c r="B2156" s="10"/>
      <c r="C2156" s="10"/>
      <c r="D2156" s="10"/>
    </row>
    <row r="2157" spans="1:4" ht="12.75">
      <c r="A2157" s="10"/>
      <c r="B2157" s="10"/>
      <c r="C2157" s="10"/>
      <c r="D2157" s="10"/>
    </row>
    <row r="2158" spans="1:4" ht="12.75">
      <c r="A2158" s="10"/>
      <c r="B2158" s="10"/>
      <c r="C2158" s="10"/>
      <c r="D2158" s="10"/>
    </row>
    <row r="2159" spans="1:4" ht="12.75">
      <c r="A2159" s="10"/>
      <c r="B2159" s="10"/>
      <c r="C2159" s="10"/>
      <c r="D2159" s="10"/>
    </row>
    <row r="2160" spans="1:4" ht="12.75">
      <c r="A2160" s="10"/>
      <c r="B2160" s="10"/>
      <c r="C2160" s="10"/>
      <c r="D2160" s="10"/>
    </row>
    <row r="2161" spans="1:4" ht="12.75">
      <c r="A2161" s="10"/>
      <c r="B2161" s="10"/>
      <c r="C2161" s="10"/>
      <c r="D2161" s="10"/>
    </row>
    <row r="2162" spans="1:4" ht="12.75">
      <c r="A2162" s="10"/>
      <c r="B2162" s="10"/>
      <c r="C2162" s="10"/>
      <c r="D2162" s="10"/>
    </row>
    <row r="2163" spans="1:4" ht="12.75">
      <c r="A2163" s="10"/>
      <c r="B2163" s="10"/>
      <c r="C2163" s="10"/>
      <c r="D2163" s="10"/>
    </row>
    <row r="2164" spans="1:4" ht="12.75">
      <c r="A2164" s="10"/>
      <c r="B2164" s="10"/>
      <c r="C2164" s="10"/>
      <c r="D2164" s="10"/>
    </row>
    <row r="2165" spans="1:4" ht="12.75">
      <c r="A2165" s="10"/>
      <c r="B2165" s="10"/>
      <c r="C2165" s="10"/>
      <c r="D2165" s="10"/>
    </row>
    <row r="2166" spans="1:4" ht="12.75">
      <c r="A2166" s="10"/>
      <c r="B2166" s="10"/>
      <c r="C2166" s="10"/>
      <c r="D2166" s="10"/>
    </row>
    <row r="2167" spans="1:4" ht="12.75">
      <c r="A2167" s="10"/>
      <c r="B2167" s="10"/>
      <c r="C2167" s="10"/>
      <c r="D2167" s="10"/>
    </row>
    <row r="2168" spans="1:4" ht="12.75">
      <c r="A2168" s="10"/>
      <c r="B2168" s="10"/>
      <c r="C2168" s="10"/>
      <c r="D2168" s="10"/>
    </row>
    <row r="2169" spans="1:4" ht="12.75">
      <c r="A2169" s="10"/>
      <c r="B2169" s="10"/>
      <c r="C2169" s="10"/>
      <c r="D2169" s="10"/>
    </row>
    <row r="2170" spans="1:4" ht="12.75">
      <c r="A2170" s="10"/>
      <c r="B2170" s="10"/>
      <c r="C2170" s="10"/>
      <c r="D2170" s="10"/>
    </row>
    <row r="2171" spans="1:4" ht="12.75">
      <c r="A2171" s="10"/>
      <c r="B2171" s="10"/>
      <c r="C2171" s="10"/>
      <c r="D2171" s="10"/>
    </row>
    <row r="2172" spans="1:4" ht="12.75">
      <c r="A2172" s="10"/>
      <c r="B2172" s="10"/>
      <c r="C2172" s="10"/>
      <c r="D2172" s="10"/>
    </row>
    <row r="2173" spans="1:4" ht="12.75">
      <c r="A2173" s="10"/>
      <c r="B2173" s="10"/>
      <c r="C2173" s="10"/>
      <c r="D2173" s="10"/>
    </row>
    <row r="2174" spans="1:4" ht="12.75">
      <c r="A2174" s="10"/>
      <c r="B2174" s="10"/>
      <c r="C2174" s="10"/>
      <c r="D2174" s="10"/>
    </row>
    <row r="2175" spans="1:4" ht="12.75">
      <c r="A2175" s="10"/>
      <c r="B2175" s="10"/>
      <c r="C2175" s="10"/>
      <c r="D2175" s="10"/>
    </row>
    <row r="2176" spans="1:4" ht="12.75">
      <c r="A2176" s="10"/>
      <c r="B2176" s="10"/>
      <c r="C2176" s="10"/>
      <c r="D2176" s="10"/>
    </row>
    <row r="2177" spans="1:4" ht="12.75">
      <c r="A2177" s="10"/>
      <c r="B2177" s="10"/>
      <c r="C2177" s="10"/>
      <c r="D2177" s="10"/>
    </row>
    <row r="2178" spans="1:4" ht="12.75">
      <c r="A2178" s="10"/>
      <c r="B2178" s="10"/>
      <c r="C2178" s="10"/>
      <c r="D2178" s="10"/>
    </row>
    <row r="2179" spans="1:4" ht="12.75">
      <c r="A2179" s="10"/>
      <c r="B2179" s="10"/>
      <c r="C2179" s="10"/>
      <c r="D2179" s="10"/>
    </row>
    <row r="2180" spans="1:4" ht="12.75">
      <c r="A2180" s="10"/>
      <c r="B2180" s="10"/>
      <c r="C2180" s="10"/>
      <c r="D2180" s="10"/>
    </row>
    <row r="2181" spans="1:4" ht="12.75">
      <c r="A2181" s="10"/>
      <c r="B2181" s="10"/>
      <c r="C2181" s="10"/>
      <c r="D2181" s="10"/>
    </row>
    <row r="2182" spans="1:4" ht="12.75">
      <c r="A2182" s="10"/>
      <c r="B2182" s="10"/>
      <c r="C2182" s="10"/>
      <c r="D2182" s="10"/>
    </row>
    <row r="2183" spans="1:4" ht="12.75">
      <c r="A2183" s="10"/>
      <c r="B2183" s="10"/>
      <c r="C2183" s="10"/>
      <c r="D2183" s="10"/>
    </row>
    <row r="2184" spans="1:4" ht="12.75">
      <c r="A2184" s="10"/>
      <c r="B2184" s="10"/>
      <c r="C2184" s="10"/>
      <c r="D2184" s="10"/>
    </row>
    <row r="2185" spans="1:4" ht="12.75">
      <c r="A2185" s="10"/>
      <c r="B2185" s="10"/>
      <c r="C2185" s="10"/>
      <c r="D2185" s="10"/>
    </row>
    <row r="2186" spans="1:4" ht="12.75">
      <c r="A2186" s="10"/>
      <c r="B2186" s="10"/>
      <c r="C2186" s="10"/>
      <c r="D2186" s="10"/>
    </row>
    <row r="2187" spans="1:4" ht="12.75">
      <c r="A2187" s="10"/>
      <c r="B2187" s="10"/>
      <c r="C2187" s="10"/>
      <c r="D2187" s="10"/>
    </row>
    <row r="2188" spans="1:4" ht="12.75">
      <c r="A2188" s="10"/>
      <c r="B2188" s="10"/>
      <c r="C2188" s="10"/>
      <c r="D2188" s="10"/>
    </row>
    <row r="2189" spans="1:4" ht="12.75">
      <c r="A2189" s="10"/>
      <c r="B2189" s="10"/>
      <c r="C2189" s="10"/>
      <c r="D2189" s="10"/>
    </row>
    <row r="2190" spans="1:4" ht="12.75">
      <c r="A2190" s="10"/>
      <c r="B2190" s="10"/>
      <c r="C2190" s="10"/>
      <c r="D2190" s="10"/>
    </row>
    <row r="2191" spans="1:4" ht="12.75">
      <c r="A2191" s="10"/>
      <c r="B2191" s="10"/>
      <c r="C2191" s="10"/>
      <c r="D2191" s="10"/>
    </row>
    <row r="2192" spans="1:4" ht="12.75">
      <c r="A2192" s="10"/>
      <c r="B2192" s="10"/>
      <c r="C2192" s="10"/>
      <c r="D2192" s="10"/>
    </row>
    <row r="2193" spans="1:4" ht="12.75">
      <c r="A2193" s="10"/>
      <c r="B2193" s="10"/>
      <c r="C2193" s="10"/>
      <c r="D2193" s="10"/>
    </row>
    <row r="2194" spans="1:4" ht="12.75">
      <c r="A2194" s="10"/>
      <c r="B2194" s="10"/>
      <c r="C2194" s="10"/>
      <c r="D2194" s="10"/>
    </row>
    <row r="2195" spans="1:4" ht="12.75">
      <c r="A2195" s="10"/>
      <c r="B2195" s="10"/>
      <c r="C2195" s="10"/>
      <c r="D2195" s="10"/>
    </row>
    <row r="2196" spans="1:4" ht="12.75">
      <c r="A2196" s="10"/>
      <c r="B2196" s="10"/>
      <c r="C2196" s="10"/>
      <c r="D2196" s="10"/>
    </row>
    <row r="2197" spans="1:4" ht="12.75">
      <c r="A2197" s="10"/>
      <c r="B2197" s="10"/>
      <c r="C2197" s="10"/>
      <c r="D2197" s="10"/>
    </row>
    <row r="2198" spans="1:4" ht="12.75">
      <c r="A2198" s="10"/>
      <c r="B2198" s="10"/>
      <c r="C2198" s="10"/>
      <c r="D2198" s="10"/>
    </row>
    <row r="2199" spans="1:4" ht="12.75">
      <c r="A2199" s="10"/>
      <c r="B2199" s="10"/>
      <c r="C2199" s="10"/>
      <c r="D2199" s="10"/>
    </row>
    <row r="2200" spans="1:4" ht="12.75">
      <c r="A2200" s="10"/>
      <c r="B2200" s="10"/>
      <c r="C2200" s="10"/>
      <c r="D2200" s="10"/>
    </row>
    <row r="2201" spans="1:4" ht="12.75">
      <c r="A2201" s="10"/>
      <c r="B2201" s="10"/>
      <c r="C2201" s="10"/>
      <c r="D2201" s="10"/>
    </row>
    <row r="2202" spans="1:4" ht="12.75">
      <c r="A2202" s="10"/>
      <c r="B2202" s="10"/>
      <c r="C2202" s="10"/>
      <c r="D2202" s="10"/>
    </row>
    <row r="2203" spans="1:4" ht="12.75">
      <c r="A2203" s="10"/>
      <c r="B2203" s="10"/>
      <c r="C2203" s="10"/>
      <c r="D2203" s="10"/>
    </row>
    <row r="2204" spans="1:4" ht="12.75">
      <c r="A2204" s="10"/>
      <c r="B2204" s="10"/>
      <c r="C2204" s="10"/>
      <c r="D2204" s="10"/>
    </row>
    <row r="2205" spans="1:4" ht="12.75">
      <c r="A2205" s="10"/>
      <c r="B2205" s="10"/>
      <c r="C2205" s="10"/>
      <c r="D2205" s="10"/>
    </row>
    <row r="2206" spans="1:4" ht="12.75">
      <c r="A2206" s="10"/>
      <c r="B2206" s="10"/>
      <c r="C2206" s="10"/>
      <c r="D2206" s="10"/>
    </row>
    <row r="2207" spans="1:4" ht="12.75">
      <c r="A2207" s="10"/>
      <c r="B2207" s="10"/>
      <c r="C2207" s="10"/>
      <c r="D2207" s="10"/>
    </row>
    <row r="2208" spans="1:4" ht="12.75">
      <c r="A2208" s="10"/>
      <c r="B2208" s="10"/>
      <c r="C2208" s="10"/>
      <c r="D2208" s="10"/>
    </row>
    <row r="2209" spans="1:4" ht="12.75">
      <c r="A2209" s="10"/>
      <c r="B2209" s="10"/>
      <c r="C2209" s="10"/>
      <c r="D2209" s="10"/>
    </row>
    <row r="2210" spans="1:4" ht="12.75">
      <c r="A2210" s="10"/>
      <c r="B2210" s="10"/>
      <c r="C2210" s="10"/>
      <c r="D2210" s="10"/>
    </row>
    <row r="2211" spans="1:4" ht="12.75">
      <c r="A2211" s="10"/>
      <c r="B2211" s="10"/>
      <c r="C2211" s="10"/>
      <c r="D2211" s="10"/>
    </row>
    <row r="2212" spans="1:4" ht="12.75">
      <c r="A2212" s="10"/>
      <c r="B2212" s="10"/>
      <c r="C2212" s="10"/>
      <c r="D2212" s="10"/>
    </row>
    <row r="2213" spans="1:4" ht="12.75">
      <c r="A2213" s="10"/>
      <c r="B2213" s="10"/>
      <c r="C2213" s="10"/>
      <c r="D2213" s="10"/>
    </row>
    <row r="2214" spans="1:4" ht="12.75">
      <c r="A2214" s="10"/>
      <c r="B2214" s="10"/>
      <c r="C2214" s="10"/>
      <c r="D2214" s="10"/>
    </row>
    <row r="2215" spans="1:4" ht="12.75">
      <c r="A2215" s="10"/>
      <c r="B2215" s="10"/>
      <c r="C2215" s="10"/>
      <c r="D2215" s="10"/>
    </row>
    <row r="2216" spans="1:4" ht="12.75">
      <c r="A2216" s="10"/>
      <c r="B2216" s="10"/>
      <c r="C2216" s="10"/>
      <c r="D2216" s="10"/>
    </row>
    <row r="2217" spans="1:4" ht="12.75">
      <c r="A2217" s="10"/>
      <c r="B2217" s="10"/>
      <c r="C2217" s="10"/>
      <c r="D2217" s="10"/>
    </row>
    <row r="2218" spans="1:4" ht="12.75">
      <c r="A2218" s="10"/>
      <c r="B2218" s="10"/>
      <c r="C2218" s="10"/>
      <c r="D2218" s="10"/>
    </row>
    <row r="2219" spans="1:4" ht="12.75">
      <c r="A2219" s="10"/>
      <c r="B2219" s="10"/>
      <c r="C2219" s="10"/>
      <c r="D2219" s="10"/>
    </row>
    <row r="2220" spans="1:4" ht="12.75">
      <c r="A2220" s="10"/>
      <c r="B2220" s="10"/>
      <c r="C2220" s="10"/>
      <c r="D2220" s="10"/>
    </row>
    <row r="2221" spans="1:4" ht="12.75">
      <c r="A2221" s="10"/>
      <c r="B2221" s="10"/>
      <c r="C2221" s="10"/>
      <c r="D2221" s="10"/>
    </row>
    <row r="2222" spans="1:4" ht="12.75">
      <c r="A2222" s="10"/>
      <c r="B2222" s="10"/>
      <c r="C2222" s="10"/>
      <c r="D2222" s="10"/>
    </row>
    <row r="2223" spans="1:4" ht="12.75">
      <c r="A2223" s="10"/>
      <c r="B2223" s="10"/>
      <c r="C2223" s="10"/>
      <c r="D2223" s="10"/>
    </row>
    <row r="2224" spans="1:4" ht="12.75">
      <c r="A2224" s="10"/>
      <c r="B2224" s="10"/>
      <c r="C2224" s="10"/>
      <c r="D2224" s="10"/>
    </row>
    <row r="2225" spans="1:4" ht="12.75">
      <c r="A2225" s="10"/>
      <c r="B2225" s="10"/>
      <c r="C2225" s="10"/>
      <c r="D2225" s="10"/>
    </row>
    <row r="2226" spans="1:4" ht="12.75">
      <c r="A2226" s="10"/>
      <c r="B2226" s="10"/>
      <c r="C2226" s="10"/>
      <c r="D2226" s="10"/>
    </row>
    <row r="2227" spans="1:4" ht="12.75">
      <c r="A2227" s="10"/>
      <c r="B2227" s="10"/>
      <c r="C2227" s="10"/>
      <c r="D2227" s="10"/>
    </row>
    <row r="2228" spans="1:4" ht="12.75">
      <c r="A2228" s="10"/>
      <c r="B2228" s="10"/>
      <c r="C2228" s="10"/>
      <c r="D2228" s="10"/>
    </row>
    <row r="2229" spans="1:4" ht="12.75">
      <c r="A2229" s="10"/>
      <c r="B2229" s="10"/>
      <c r="C2229" s="10"/>
      <c r="D2229" s="10"/>
    </row>
    <row r="2230" spans="1:4" ht="12.75">
      <c r="A2230" s="10"/>
      <c r="B2230" s="10"/>
      <c r="C2230" s="10"/>
      <c r="D2230" s="10"/>
    </row>
    <row r="2231" spans="1:4" ht="12.75">
      <c r="A2231" s="10"/>
      <c r="B2231" s="10"/>
      <c r="C2231" s="10"/>
      <c r="D2231" s="10"/>
    </row>
    <row r="2232" spans="1:4" ht="12.75">
      <c r="A2232" s="10"/>
      <c r="B2232" s="10"/>
      <c r="C2232" s="10"/>
      <c r="D2232" s="10"/>
    </row>
    <row r="2233" spans="1:4" ht="12.75">
      <c r="A2233" s="10"/>
      <c r="B2233" s="10"/>
      <c r="C2233" s="10"/>
      <c r="D2233" s="10"/>
    </row>
    <row r="2234" spans="1:4" ht="12.75">
      <c r="A2234" s="10"/>
      <c r="B2234" s="10"/>
      <c r="C2234" s="10"/>
      <c r="D2234" s="10"/>
    </row>
    <row r="2235" spans="1:4" ht="12.75">
      <c r="A2235" s="10"/>
      <c r="B2235" s="10"/>
      <c r="C2235" s="10"/>
      <c r="D2235" s="10"/>
    </row>
    <row r="2236" spans="1:4" ht="12.75">
      <c r="A2236" s="10"/>
      <c r="B2236" s="10"/>
      <c r="C2236" s="10"/>
      <c r="D2236" s="10"/>
    </row>
    <row r="2237" spans="1:4" ht="12.75">
      <c r="A2237" s="10"/>
      <c r="B2237" s="10"/>
      <c r="C2237" s="10"/>
      <c r="D2237" s="10"/>
    </row>
    <row r="2238" spans="1:4" ht="12.75">
      <c r="A2238" s="10"/>
      <c r="B2238" s="10"/>
      <c r="C2238" s="10"/>
      <c r="D2238" s="10"/>
    </row>
    <row r="2239" spans="1:4" ht="12.75">
      <c r="A2239" s="10"/>
      <c r="B2239" s="10"/>
      <c r="C2239" s="10"/>
      <c r="D2239" s="10"/>
    </row>
    <row r="2240" spans="1:4" ht="12.75">
      <c r="A2240" s="10"/>
      <c r="B2240" s="10"/>
      <c r="C2240" s="10"/>
      <c r="D2240" s="10"/>
    </row>
    <row r="2241" spans="1:4" ht="12.75">
      <c r="A2241" s="10"/>
      <c r="B2241" s="10"/>
      <c r="C2241" s="10"/>
      <c r="D2241" s="10"/>
    </row>
    <row r="2242" spans="1:4" ht="12.75">
      <c r="A2242" s="10"/>
      <c r="B2242" s="10"/>
      <c r="C2242" s="10"/>
      <c r="D2242" s="10"/>
    </row>
    <row r="2243" spans="1:4" ht="12.75">
      <c r="A2243" s="10"/>
      <c r="B2243" s="10"/>
      <c r="C2243" s="10"/>
      <c r="D2243" s="10"/>
    </row>
    <row r="2244" spans="1:4" ht="12.75">
      <c r="A2244" s="10"/>
      <c r="B2244" s="10"/>
      <c r="C2244" s="10"/>
      <c r="D2244" s="10"/>
    </row>
    <row r="2245" spans="1:4" ht="12.75">
      <c r="A2245" s="10"/>
      <c r="B2245" s="10"/>
      <c r="C2245" s="10"/>
      <c r="D2245" s="10"/>
    </row>
    <row r="2246" spans="1:4" ht="12.75">
      <c r="A2246" s="10"/>
      <c r="B2246" s="10"/>
      <c r="C2246" s="10"/>
      <c r="D2246" s="10"/>
    </row>
    <row r="2247" spans="1:4" ht="12.75">
      <c r="A2247" s="10"/>
      <c r="B2247" s="10"/>
      <c r="C2247" s="10"/>
      <c r="D2247" s="10"/>
    </row>
    <row r="2248" spans="1:4" ht="12.75">
      <c r="A2248" s="10"/>
      <c r="B2248" s="10"/>
      <c r="C2248" s="10"/>
      <c r="D2248" s="10"/>
    </row>
    <row r="2249" spans="1:4" ht="12.75">
      <c r="A2249" s="10"/>
      <c r="B2249" s="10"/>
      <c r="C2249" s="10"/>
      <c r="D2249" s="10"/>
    </row>
    <row r="2250" spans="1:4" ht="12.75">
      <c r="A2250" s="10"/>
      <c r="B2250" s="10"/>
      <c r="C2250" s="10"/>
      <c r="D2250" s="10"/>
    </row>
    <row r="2251" spans="1:4" ht="12.75">
      <c r="A2251" s="10"/>
      <c r="B2251" s="10"/>
      <c r="C2251" s="10"/>
      <c r="D2251" s="10"/>
    </row>
    <row r="2252" spans="1:4" ht="12.75">
      <c r="A2252" s="10"/>
      <c r="B2252" s="10"/>
      <c r="C2252" s="10"/>
      <c r="D2252" s="10"/>
    </row>
    <row r="2253" spans="1:4" ht="12.75">
      <c r="A2253" s="10"/>
      <c r="B2253" s="10"/>
      <c r="C2253" s="10"/>
      <c r="D2253" s="10"/>
    </row>
    <row r="2254" spans="1:4" ht="12.75">
      <c r="A2254" s="10"/>
      <c r="B2254" s="10"/>
      <c r="C2254" s="10"/>
      <c r="D2254" s="10"/>
    </row>
    <row r="2255" spans="1:4" ht="12.75">
      <c r="A2255" s="10"/>
      <c r="B2255" s="10"/>
      <c r="C2255" s="10"/>
      <c r="D2255" s="10"/>
    </row>
    <row r="2256" spans="1:4" ht="12.75">
      <c r="A2256" s="10"/>
      <c r="B2256" s="10"/>
      <c r="C2256" s="10"/>
      <c r="D2256" s="10"/>
    </row>
    <row r="2257" spans="1:4" ht="12.75">
      <c r="A2257" s="10"/>
      <c r="B2257" s="10"/>
      <c r="C2257" s="10"/>
      <c r="D2257" s="10"/>
    </row>
    <row r="2258" spans="1:4" ht="12.75">
      <c r="A2258" s="10"/>
      <c r="B2258" s="10"/>
      <c r="C2258" s="10"/>
      <c r="D2258" s="10"/>
    </row>
    <row r="2259" spans="1:4" ht="12.75">
      <c r="A2259" s="10"/>
      <c r="B2259" s="10"/>
      <c r="C2259" s="10"/>
      <c r="D2259" s="10"/>
    </row>
    <row r="2260" spans="1:4" ht="12.75">
      <c r="A2260" s="10"/>
      <c r="B2260" s="10"/>
      <c r="C2260" s="10"/>
      <c r="D2260" s="10"/>
    </row>
    <row r="2261" spans="1:4" ht="12.75">
      <c r="A2261" s="10"/>
      <c r="B2261" s="10"/>
      <c r="C2261" s="10"/>
      <c r="D2261" s="10"/>
    </row>
    <row r="2262" spans="1:4" ht="12.75">
      <c r="A2262" s="10"/>
      <c r="B2262" s="10"/>
      <c r="C2262" s="10"/>
      <c r="D2262" s="10"/>
    </row>
    <row r="2263" spans="1:4" ht="12.75">
      <c r="A2263" s="10"/>
      <c r="B2263" s="10"/>
      <c r="C2263" s="10"/>
      <c r="D2263" s="10"/>
    </row>
    <row r="2264" spans="1:4" ht="12.75">
      <c r="A2264" s="10"/>
      <c r="B2264" s="10"/>
      <c r="C2264" s="10"/>
      <c r="D2264" s="10"/>
    </row>
    <row r="2265" spans="1:4" ht="12.75">
      <c r="A2265" s="10"/>
      <c r="B2265" s="10"/>
      <c r="C2265" s="10"/>
      <c r="D2265" s="10"/>
    </row>
    <row r="2266" spans="1:4" ht="12.75">
      <c r="A2266" s="10"/>
      <c r="B2266" s="10"/>
      <c r="C2266" s="10"/>
      <c r="D2266" s="10"/>
    </row>
    <row r="2267" spans="1:4" ht="12.75">
      <c r="A2267" s="10"/>
      <c r="B2267" s="10"/>
      <c r="C2267" s="10"/>
      <c r="D2267" s="10"/>
    </row>
    <row r="2268" spans="1:4" ht="12.75">
      <c r="A2268" s="10"/>
      <c r="B2268" s="10"/>
      <c r="C2268" s="10"/>
      <c r="D2268" s="10"/>
    </row>
    <row r="2269" spans="1:4" ht="12.75">
      <c r="A2269" s="10"/>
      <c r="B2269" s="10"/>
      <c r="C2269" s="10"/>
      <c r="D2269" s="10"/>
    </row>
    <row r="2270" spans="1:4" ht="12.75">
      <c r="A2270" s="10"/>
      <c r="B2270" s="10"/>
      <c r="C2270" s="10"/>
      <c r="D2270" s="10"/>
    </row>
    <row r="2271" spans="1:4" ht="12.75">
      <c r="A2271" s="10"/>
      <c r="B2271" s="10"/>
      <c r="C2271" s="10"/>
      <c r="D2271" s="10"/>
    </row>
    <row r="2272" spans="1:4" ht="12.75">
      <c r="A2272" s="10"/>
      <c r="B2272" s="10"/>
      <c r="C2272" s="10"/>
      <c r="D2272" s="10"/>
    </row>
    <row r="2273" spans="1:4" ht="12.75">
      <c r="A2273" s="10"/>
      <c r="B2273" s="10"/>
      <c r="C2273" s="10"/>
      <c r="D2273" s="10"/>
    </row>
    <row r="2274" spans="1:4" ht="12.75">
      <c r="A2274" s="10"/>
      <c r="B2274" s="10"/>
      <c r="C2274" s="10"/>
      <c r="D2274" s="10"/>
    </row>
    <row r="2275" spans="1:4" ht="12.75">
      <c r="A2275" s="10"/>
      <c r="B2275" s="10"/>
      <c r="C2275" s="10"/>
      <c r="D2275" s="10"/>
    </row>
    <row r="2276" spans="1:4" ht="12.75">
      <c r="A2276" s="10"/>
      <c r="B2276" s="10"/>
      <c r="C2276" s="10"/>
      <c r="D2276" s="10"/>
    </row>
    <row r="2277" spans="1:4" ht="12.75">
      <c r="A2277" s="10"/>
      <c r="B2277" s="10"/>
      <c r="C2277" s="10"/>
      <c r="D2277" s="10"/>
    </row>
    <row r="2278" spans="1:4" ht="12.75">
      <c r="A2278" s="10"/>
      <c r="B2278" s="10"/>
      <c r="C2278" s="10"/>
      <c r="D2278" s="10"/>
    </row>
    <row r="2279" spans="1:4" ht="12.75">
      <c r="A2279" s="10"/>
      <c r="B2279" s="10"/>
      <c r="C2279" s="10"/>
      <c r="D2279" s="10"/>
    </row>
    <row r="2280" spans="1:4" ht="12.75">
      <c r="A2280" s="10"/>
      <c r="B2280" s="10"/>
      <c r="C2280" s="10"/>
      <c r="D2280" s="10"/>
    </row>
    <row r="2281" spans="1:4" ht="12.75">
      <c r="A2281" s="10"/>
      <c r="B2281" s="10"/>
      <c r="C2281" s="10"/>
      <c r="D2281" s="10"/>
    </row>
    <row r="2282" spans="1:4" ht="12.75">
      <c r="A2282" s="10"/>
      <c r="B2282" s="10"/>
      <c r="C2282" s="10"/>
      <c r="D2282" s="10"/>
    </row>
    <row r="2283" spans="1:4" ht="12.75">
      <c r="A2283" s="10"/>
      <c r="B2283" s="10"/>
      <c r="C2283" s="10"/>
      <c r="D2283" s="10"/>
    </row>
    <row r="2284" spans="1:4" ht="12.75">
      <c r="A2284" s="10"/>
      <c r="B2284" s="10"/>
      <c r="C2284" s="10"/>
      <c r="D2284" s="10"/>
    </row>
    <row r="2285" spans="1:4" ht="12.75">
      <c r="A2285" s="10"/>
      <c r="B2285" s="10"/>
      <c r="C2285" s="10"/>
      <c r="D2285" s="10"/>
    </row>
    <row r="2286" spans="1:4" ht="12.75">
      <c r="A2286" s="10"/>
      <c r="B2286" s="10"/>
      <c r="C2286" s="10"/>
      <c r="D2286" s="10"/>
    </row>
    <row r="2287" spans="1:4" ht="12.75">
      <c r="A2287" s="10"/>
      <c r="B2287" s="10"/>
      <c r="C2287" s="10"/>
      <c r="D2287" s="10"/>
    </row>
    <row r="2288" spans="1:4" ht="12.75">
      <c r="A2288" s="10"/>
      <c r="B2288" s="10"/>
      <c r="C2288" s="10"/>
      <c r="D2288" s="10"/>
    </row>
    <row r="2289" spans="1:4" ht="12.75">
      <c r="A2289" s="10"/>
      <c r="B2289" s="10"/>
      <c r="C2289" s="10"/>
      <c r="D2289" s="10"/>
    </row>
    <row r="2290" spans="1:4" ht="12.75">
      <c r="A2290" s="10"/>
      <c r="B2290" s="10"/>
      <c r="C2290" s="10"/>
      <c r="D2290" s="10"/>
    </row>
    <row r="2291" spans="1:4" ht="12.75">
      <c r="A2291" s="10"/>
      <c r="B2291" s="10"/>
      <c r="C2291" s="10"/>
      <c r="D2291" s="10"/>
    </row>
    <row r="2292" spans="1:4" ht="12.75">
      <c r="A2292" s="10"/>
      <c r="B2292" s="10"/>
      <c r="C2292" s="10"/>
      <c r="D2292" s="10"/>
    </row>
    <row r="2293" spans="1:4" ht="12.75">
      <c r="A2293" s="10"/>
      <c r="B2293" s="10"/>
      <c r="C2293" s="10"/>
      <c r="D2293" s="10"/>
    </row>
    <row r="2294" spans="1:4" ht="12.75">
      <c r="A2294" s="10"/>
      <c r="B2294" s="10"/>
      <c r="C2294" s="10"/>
      <c r="D2294" s="10"/>
    </row>
    <row r="2295" spans="1:4" ht="12.75">
      <c r="A2295" s="10"/>
      <c r="B2295" s="10"/>
      <c r="C2295" s="10"/>
      <c r="D2295" s="10"/>
    </row>
    <row r="2296" spans="1:4" ht="12.75">
      <c r="A2296" s="10"/>
      <c r="B2296" s="10"/>
      <c r="C2296" s="10"/>
      <c r="D2296" s="10"/>
    </row>
    <row r="2297" spans="1:4" ht="12.75">
      <c r="A2297" s="10"/>
      <c r="B2297" s="10"/>
      <c r="C2297" s="10"/>
      <c r="D2297" s="10"/>
    </row>
    <row r="2298" spans="1:4" ht="12.75">
      <c r="A2298" s="10"/>
      <c r="B2298" s="10"/>
      <c r="C2298" s="10"/>
      <c r="D2298" s="10"/>
    </row>
    <row r="2299" spans="1:4" ht="12.75">
      <c r="A2299" s="10"/>
      <c r="B2299" s="10"/>
      <c r="C2299" s="10"/>
      <c r="D2299" s="10"/>
    </row>
    <row r="2300" spans="1:4" ht="12.75">
      <c r="A2300" s="10"/>
      <c r="B2300" s="10"/>
      <c r="C2300" s="10"/>
      <c r="D2300" s="10"/>
    </row>
    <row r="2301" spans="1:4" ht="12.75">
      <c r="A2301" s="10"/>
      <c r="B2301" s="10"/>
      <c r="C2301" s="10"/>
      <c r="D2301" s="10"/>
    </row>
    <row r="2302" spans="1:4" ht="12.75">
      <c r="A2302" s="10"/>
      <c r="B2302" s="10"/>
      <c r="C2302" s="10"/>
      <c r="D2302" s="10"/>
    </row>
    <row r="2303" spans="1:4" ht="12.75">
      <c r="A2303" s="10"/>
      <c r="B2303" s="10"/>
      <c r="C2303" s="10"/>
      <c r="D2303" s="10"/>
    </row>
    <row r="2304" spans="1:4" ht="12.75">
      <c r="A2304" s="10"/>
      <c r="B2304" s="10"/>
      <c r="C2304" s="10"/>
      <c r="D2304" s="10"/>
    </row>
    <row r="2305" spans="1:4" ht="12.75">
      <c r="A2305" s="10"/>
      <c r="B2305" s="10"/>
      <c r="C2305" s="10"/>
      <c r="D2305" s="10"/>
    </row>
    <row r="2306" spans="1:4" ht="12.75">
      <c r="A2306" s="10"/>
      <c r="B2306" s="10"/>
      <c r="C2306" s="10"/>
      <c r="D2306" s="10"/>
    </row>
    <row r="2307" spans="1:4" ht="12.75">
      <c r="A2307" s="10"/>
      <c r="B2307" s="10"/>
      <c r="C2307" s="10"/>
      <c r="D2307" s="10"/>
    </row>
    <row r="2308" spans="1:4" ht="12.75">
      <c r="A2308" s="10"/>
      <c r="B2308" s="10"/>
      <c r="C2308" s="10"/>
      <c r="D2308" s="10"/>
    </row>
    <row r="2309" spans="1:4" ht="12.75">
      <c r="A2309" s="10"/>
      <c r="B2309" s="10"/>
      <c r="C2309" s="10"/>
      <c r="D2309" s="10"/>
    </row>
    <row r="2310" spans="1:4" ht="12.75">
      <c r="A2310" s="10"/>
      <c r="B2310" s="10"/>
      <c r="C2310" s="10"/>
      <c r="D2310" s="10"/>
    </row>
    <row r="2311" spans="1:4" ht="12.75">
      <c r="A2311" s="10"/>
      <c r="B2311" s="10"/>
      <c r="C2311" s="10"/>
      <c r="D2311" s="10"/>
    </row>
    <row r="2312" spans="1:4" ht="12.75">
      <c r="A2312" s="10"/>
      <c r="B2312" s="10"/>
      <c r="C2312" s="10"/>
      <c r="D2312" s="10"/>
    </row>
    <row r="2313" spans="1:4" ht="12.75">
      <c r="A2313" s="10"/>
      <c r="B2313" s="10"/>
      <c r="C2313" s="10"/>
      <c r="D2313" s="10"/>
    </row>
    <row r="2314" spans="1:4" ht="12.75">
      <c r="A2314" s="10"/>
      <c r="B2314" s="10"/>
      <c r="C2314" s="10"/>
      <c r="D2314" s="10"/>
    </row>
    <row r="2315" spans="1:4" ht="12.75">
      <c r="A2315" s="10"/>
      <c r="B2315" s="10"/>
      <c r="C2315" s="10"/>
      <c r="D2315" s="10"/>
    </row>
    <row r="2316" spans="1:4" ht="12.75">
      <c r="A2316" s="10"/>
      <c r="B2316" s="10"/>
      <c r="C2316" s="10"/>
      <c r="D2316" s="10"/>
    </row>
    <row r="2317" spans="1:4" ht="12.75">
      <c r="A2317" s="10"/>
      <c r="B2317" s="10"/>
      <c r="C2317" s="10"/>
      <c r="D2317" s="10"/>
    </row>
    <row r="2318" spans="1:4" ht="12.75">
      <c r="A2318" s="10"/>
      <c r="B2318" s="10"/>
      <c r="C2318" s="10"/>
      <c r="D2318" s="10"/>
    </row>
    <row r="2319" spans="1:4" ht="12.75">
      <c r="A2319" s="10"/>
      <c r="B2319" s="10"/>
      <c r="C2319" s="10"/>
      <c r="D2319" s="10"/>
    </row>
    <row r="2320" spans="1:4" ht="12.75">
      <c r="A2320" s="10"/>
      <c r="B2320" s="10"/>
      <c r="C2320" s="10"/>
      <c r="D2320" s="10"/>
    </row>
    <row r="2321" spans="1:4" ht="12.75">
      <c r="A2321" s="10"/>
      <c r="B2321" s="10"/>
      <c r="C2321" s="10"/>
      <c r="D2321" s="10"/>
    </row>
    <row r="2322" spans="1:4" ht="12.75">
      <c r="A2322" s="10"/>
      <c r="B2322" s="10"/>
      <c r="C2322" s="10"/>
      <c r="D2322" s="10"/>
    </row>
    <row r="2323" spans="1:4" ht="12.75">
      <c r="A2323" s="10"/>
      <c r="B2323" s="10"/>
      <c r="C2323" s="10"/>
      <c r="D2323" s="10"/>
    </row>
    <row r="2324" spans="1:4" ht="12.75">
      <c r="A2324" s="10"/>
      <c r="B2324" s="10"/>
      <c r="C2324" s="10"/>
      <c r="D2324" s="10"/>
    </row>
    <row r="2325" spans="1:4" ht="12.75">
      <c r="A2325" s="10"/>
      <c r="B2325" s="10"/>
      <c r="C2325" s="10"/>
      <c r="D2325" s="10"/>
    </row>
    <row r="2326" spans="1:4" ht="12.75">
      <c r="A2326" s="10"/>
      <c r="B2326" s="10"/>
      <c r="C2326" s="10"/>
      <c r="D2326" s="10"/>
    </row>
    <row r="2327" spans="1:4" ht="12.75">
      <c r="A2327" s="10"/>
      <c r="B2327" s="10"/>
      <c r="C2327" s="10"/>
      <c r="D2327" s="10"/>
    </row>
    <row r="2328" spans="1:4" ht="12.75">
      <c r="A2328" s="10"/>
      <c r="B2328" s="10"/>
      <c r="C2328" s="10"/>
      <c r="D2328" s="10"/>
    </row>
    <row r="2329" spans="1:4" ht="12.75">
      <c r="A2329" s="10"/>
      <c r="B2329" s="10"/>
      <c r="C2329" s="10"/>
      <c r="D2329" s="10"/>
    </row>
    <row r="2330" spans="1:4" ht="12.75">
      <c r="A2330" s="10"/>
      <c r="B2330" s="10"/>
      <c r="C2330" s="10"/>
      <c r="D2330" s="10"/>
    </row>
    <row r="2331" spans="1:4" ht="12.75">
      <c r="A2331" s="10"/>
      <c r="B2331" s="10"/>
      <c r="C2331" s="10"/>
      <c r="D2331" s="10"/>
    </row>
    <row r="2332" spans="1:4" ht="12.75">
      <c r="A2332" s="10"/>
      <c r="B2332" s="10"/>
      <c r="C2332" s="10"/>
      <c r="D2332" s="10"/>
    </row>
    <row r="2333" spans="1:4" ht="12.75">
      <c r="A2333" s="10"/>
      <c r="B2333" s="10"/>
      <c r="C2333" s="10"/>
      <c r="D2333" s="10"/>
    </row>
    <row r="2334" spans="1:4" ht="12.75">
      <c r="A2334" s="10"/>
      <c r="B2334" s="10"/>
      <c r="C2334" s="10"/>
      <c r="D2334" s="10"/>
    </row>
    <row r="2335" spans="1:4" ht="12.75">
      <c r="A2335" s="10"/>
      <c r="B2335" s="10"/>
      <c r="C2335" s="10"/>
      <c r="D2335" s="10"/>
    </row>
    <row r="2336" spans="1:4" ht="12.75">
      <c r="A2336" s="10"/>
      <c r="B2336" s="10"/>
      <c r="C2336" s="10"/>
      <c r="D2336" s="10"/>
    </row>
    <row r="2337" spans="1:4" ht="12.75">
      <c r="A2337" s="10"/>
      <c r="B2337" s="10"/>
      <c r="C2337" s="10"/>
      <c r="D2337" s="10"/>
    </row>
    <row r="2338" spans="1:4" ht="12.75">
      <c r="A2338" s="10"/>
      <c r="B2338" s="10"/>
      <c r="C2338" s="10"/>
      <c r="D2338" s="10"/>
    </row>
    <row r="2339" spans="1:4" ht="12.75">
      <c r="A2339" s="10"/>
      <c r="B2339" s="10"/>
      <c r="C2339" s="10"/>
      <c r="D2339" s="10"/>
    </row>
    <row r="2340" spans="1:4" ht="12.75">
      <c r="A2340" s="10"/>
      <c r="B2340" s="10"/>
      <c r="C2340" s="10"/>
      <c r="D2340" s="10"/>
    </row>
    <row r="2341" spans="1:4" ht="12.75">
      <c r="A2341" s="10"/>
      <c r="B2341" s="10"/>
      <c r="C2341" s="10"/>
      <c r="D2341" s="10"/>
    </row>
    <row r="2342" spans="1:4" ht="12.75">
      <c r="A2342" s="10"/>
      <c r="B2342" s="10"/>
      <c r="C2342" s="10"/>
      <c r="D2342" s="10"/>
    </row>
    <row r="2343" spans="1:4" ht="12.75">
      <c r="A2343" s="10"/>
      <c r="B2343" s="10"/>
      <c r="C2343" s="10"/>
      <c r="D2343" s="10"/>
    </row>
    <row r="2344" spans="1:4" ht="12.75">
      <c r="A2344" s="10"/>
      <c r="B2344" s="10"/>
      <c r="C2344" s="10"/>
      <c r="D2344" s="10"/>
    </row>
    <row r="2345" spans="1:4" ht="12.75">
      <c r="A2345" s="10"/>
      <c r="B2345" s="10"/>
      <c r="C2345" s="10"/>
      <c r="D2345" s="10"/>
    </row>
    <row r="2346" spans="1:4" ht="12.75">
      <c r="A2346" s="10"/>
      <c r="B2346" s="10"/>
      <c r="C2346" s="10"/>
      <c r="D2346" s="10"/>
    </row>
    <row r="2347" spans="1:4" ht="12.75">
      <c r="A2347" s="10"/>
      <c r="B2347" s="10"/>
      <c r="C2347" s="10"/>
      <c r="D2347" s="10"/>
    </row>
    <row r="2348" spans="1:4" ht="12.75">
      <c r="A2348" s="10"/>
      <c r="B2348" s="10"/>
      <c r="C2348" s="10"/>
      <c r="D2348" s="10"/>
    </row>
    <row r="2349" spans="1:4" ht="12.75">
      <c r="A2349" s="10"/>
      <c r="B2349" s="10"/>
      <c r="C2349" s="10"/>
      <c r="D2349" s="10"/>
    </row>
    <row r="2350" spans="1:4" ht="12.75">
      <c r="A2350" s="10"/>
      <c r="B2350" s="10"/>
      <c r="C2350" s="10"/>
      <c r="D2350" s="10"/>
    </row>
    <row r="2351" spans="1:4" ht="12.75">
      <c r="A2351" s="10"/>
      <c r="B2351" s="10"/>
      <c r="C2351" s="10"/>
      <c r="D2351" s="10"/>
    </row>
    <row r="2352" spans="1:4" ht="12.75">
      <c r="A2352" s="10"/>
      <c r="B2352" s="10"/>
      <c r="C2352" s="10"/>
      <c r="D2352" s="10"/>
    </row>
    <row r="2353" spans="1:4" ht="12.75">
      <c r="A2353" s="10"/>
      <c r="B2353" s="10"/>
      <c r="C2353" s="10"/>
      <c r="D2353" s="10"/>
    </row>
    <row r="2354" spans="1:4" ht="12.75">
      <c r="A2354" s="10"/>
      <c r="B2354" s="10"/>
      <c r="C2354" s="10"/>
      <c r="D2354" s="10"/>
    </row>
    <row r="2355" spans="1:4" ht="12.75">
      <c r="A2355" s="10"/>
      <c r="B2355" s="10"/>
      <c r="C2355" s="10"/>
      <c r="D2355" s="10"/>
    </row>
    <row r="2356" spans="1:4" ht="12.75">
      <c r="A2356" s="10"/>
      <c r="B2356" s="10"/>
      <c r="C2356" s="10"/>
      <c r="D2356" s="10"/>
    </row>
    <row r="2357" spans="1:4" ht="12.75">
      <c r="A2357" s="10"/>
      <c r="B2357" s="10"/>
      <c r="C2357" s="10"/>
      <c r="D2357" s="10"/>
    </row>
    <row r="2358" spans="1:4" ht="12.75">
      <c r="A2358" s="10"/>
      <c r="B2358" s="10"/>
      <c r="C2358" s="10"/>
      <c r="D2358" s="10"/>
    </row>
    <row r="2359" spans="1:4" ht="12.75">
      <c r="A2359" s="10"/>
      <c r="B2359" s="10"/>
      <c r="C2359" s="10"/>
      <c r="D2359" s="10"/>
    </row>
    <row r="2360" spans="1:4" ht="12.75">
      <c r="A2360" s="10"/>
      <c r="B2360" s="10"/>
      <c r="C2360" s="10"/>
      <c r="D2360" s="10"/>
    </row>
    <row r="2361" spans="1:4" ht="12.75">
      <c r="A2361" s="10"/>
      <c r="B2361" s="10"/>
      <c r="C2361" s="10"/>
      <c r="D2361" s="10"/>
    </row>
    <row r="2362" spans="1:4" ht="12.75">
      <c r="A2362" s="10"/>
      <c r="B2362" s="10"/>
      <c r="C2362" s="10"/>
      <c r="D2362" s="10"/>
    </row>
    <row r="2363" spans="1:4" ht="12.75">
      <c r="A2363" s="10"/>
      <c r="B2363" s="10"/>
      <c r="C2363" s="10"/>
      <c r="D2363" s="10"/>
    </row>
    <row r="2364" spans="1:4" ht="12.75">
      <c r="A2364" s="10"/>
      <c r="B2364" s="10"/>
      <c r="C2364" s="10"/>
      <c r="D2364" s="10"/>
    </row>
    <row r="2365" spans="1:4" ht="12.75">
      <c r="A2365" s="10"/>
      <c r="B2365" s="10"/>
      <c r="C2365" s="10"/>
      <c r="D2365" s="10"/>
    </row>
    <row r="2366" spans="1:4" ht="12.75">
      <c r="A2366" s="10"/>
      <c r="B2366" s="10"/>
      <c r="C2366" s="10"/>
      <c r="D2366" s="10"/>
    </row>
    <row r="2367" spans="1:4" ht="12.75">
      <c r="A2367" s="10"/>
      <c r="B2367" s="10"/>
      <c r="C2367" s="10"/>
      <c r="D2367" s="10"/>
    </row>
    <row r="2368" spans="1:4" ht="12.75">
      <c r="A2368" s="10"/>
      <c r="B2368" s="10"/>
      <c r="C2368" s="10"/>
      <c r="D2368" s="10"/>
    </row>
    <row r="2369" spans="1:4" ht="12.75">
      <c r="A2369" s="10"/>
      <c r="B2369" s="10"/>
      <c r="C2369" s="10"/>
      <c r="D2369" s="10"/>
    </row>
    <row r="2370" spans="1:4" ht="12.75">
      <c r="A2370" s="10"/>
      <c r="B2370" s="10"/>
      <c r="C2370" s="10"/>
      <c r="D2370" s="10"/>
    </row>
    <row r="2371" spans="1:4" ht="12.75">
      <c r="A2371" s="10"/>
      <c r="B2371" s="10"/>
      <c r="C2371" s="10"/>
      <c r="D2371" s="10"/>
    </row>
    <row r="2372" spans="1:4" ht="12.75">
      <c r="A2372" s="10"/>
      <c r="B2372" s="10"/>
      <c r="C2372" s="10"/>
      <c r="D2372" s="10"/>
    </row>
    <row r="2373" spans="1:4" ht="12.75">
      <c r="A2373" s="10"/>
      <c r="B2373" s="10"/>
      <c r="C2373" s="10"/>
      <c r="D2373" s="10"/>
    </row>
    <row r="2374" spans="1:4" ht="12.75">
      <c r="A2374" s="10"/>
      <c r="B2374" s="10"/>
      <c r="C2374" s="10"/>
      <c r="D2374" s="10"/>
    </row>
    <row r="2375" spans="1:4" ht="12.75">
      <c r="A2375" s="10"/>
      <c r="B2375" s="10"/>
      <c r="C2375" s="10"/>
      <c r="D2375" s="10"/>
    </row>
    <row r="2376" spans="1:4" ht="12.75">
      <c r="A2376" s="10"/>
      <c r="B2376" s="10"/>
      <c r="C2376" s="10"/>
      <c r="D2376" s="10"/>
    </row>
    <row r="2377" spans="1:4" ht="12.75">
      <c r="A2377" s="10"/>
      <c r="B2377" s="10"/>
      <c r="C2377" s="10"/>
      <c r="D2377" s="10"/>
    </row>
    <row r="2378" spans="1:4" ht="12.75">
      <c r="A2378" s="10"/>
      <c r="B2378" s="10"/>
      <c r="C2378" s="10"/>
      <c r="D2378" s="10"/>
    </row>
    <row r="2379" spans="1:4" ht="12.75">
      <c r="A2379" s="10"/>
      <c r="B2379" s="10"/>
      <c r="C2379" s="10"/>
      <c r="D2379" s="10"/>
    </row>
    <row r="2380" spans="1:4" ht="12.75">
      <c r="A2380" s="10"/>
      <c r="B2380" s="10"/>
      <c r="C2380" s="10"/>
      <c r="D2380" s="10"/>
    </row>
    <row r="2381" spans="1:4" ht="12.75">
      <c r="A2381" s="10"/>
      <c r="B2381" s="10"/>
      <c r="C2381" s="10"/>
      <c r="D2381" s="10"/>
    </row>
    <row r="2382" spans="1:4" ht="12.75">
      <c r="A2382" s="10"/>
      <c r="B2382" s="10"/>
      <c r="C2382" s="10"/>
      <c r="D2382" s="10"/>
    </row>
    <row r="2383" spans="1:4" ht="12.75">
      <c r="A2383" s="10"/>
      <c r="B2383" s="10"/>
      <c r="C2383" s="10"/>
      <c r="D2383" s="10"/>
    </row>
    <row r="2384" spans="1:4" ht="12.75">
      <c r="A2384" s="10"/>
      <c r="B2384" s="10"/>
      <c r="C2384" s="10"/>
      <c r="D2384" s="10"/>
    </row>
    <row r="2385" spans="1:4" ht="12.75">
      <c r="A2385" s="10"/>
      <c r="B2385" s="10"/>
      <c r="C2385" s="10"/>
      <c r="D2385" s="10"/>
    </row>
    <row r="2386" spans="1:4" ht="12.75">
      <c r="A2386" s="10"/>
      <c r="B2386" s="10"/>
      <c r="C2386" s="10"/>
      <c r="D2386" s="10"/>
    </row>
    <row r="2387" spans="1:4" ht="12.75">
      <c r="A2387" s="10"/>
      <c r="B2387" s="10"/>
      <c r="C2387" s="10"/>
      <c r="D2387" s="10"/>
    </row>
    <row r="2388" spans="1:4" ht="12.75">
      <c r="A2388" s="10"/>
      <c r="B2388" s="10"/>
      <c r="C2388" s="10"/>
      <c r="D2388" s="10"/>
    </row>
    <row r="2389" spans="1:4" ht="12.75">
      <c r="A2389" s="10"/>
      <c r="B2389" s="10"/>
      <c r="C2389" s="10"/>
      <c r="D2389" s="10"/>
    </row>
    <row r="2390" spans="1:4" ht="12.75">
      <c r="A2390" s="10"/>
      <c r="B2390" s="10"/>
      <c r="C2390" s="10"/>
      <c r="D2390" s="10"/>
    </row>
    <row r="2391" spans="1:4" ht="12.75">
      <c r="A2391" s="10"/>
      <c r="B2391" s="10"/>
      <c r="C2391" s="10"/>
      <c r="D2391" s="10"/>
    </row>
    <row r="2392" spans="1:4" ht="12.75">
      <c r="A2392" s="10"/>
      <c r="B2392" s="10"/>
      <c r="C2392" s="10"/>
      <c r="D2392" s="10"/>
    </row>
    <row r="2393" spans="1:4" ht="12.75">
      <c r="A2393" s="10"/>
      <c r="B2393" s="10"/>
      <c r="C2393" s="10"/>
      <c r="D2393" s="10"/>
    </row>
    <row r="2394" spans="1:4" ht="12.75">
      <c r="A2394" s="10"/>
      <c r="B2394" s="10"/>
      <c r="C2394" s="10"/>
      <c r="D2394" s="10"/>
    </row>
    <row r="2395" spans="1:4" ht="12.75">
      <c r="A2395" s="10"/>
      <c r="B2395" s="10"/>
      <c r="C2395" s="10"/>
      <c r="D2395" s="10"/>
    </row>
    <row r="2396" spans="1:4" ht="12.75">
      <c r="A2396" s="10"/>
      <c r="B2396" s="10"/>
      <c r="C2396" s="10"/>
      <c r="D2396" s="10"/>
    </row>
    <row r="2397" spans="1:4" ht="12.75">
      <c r="A2397" s="10"/>
      <c r="B2397" s="10"/>
      <c r="C2397" s="10"/>
      <c r="D2397" s="10"/>
    </row>
    <row r="2398" spans="1:4" ht="12.75">
      <c r="A2398" s="10"/>
      <c r="B2398" s="10"/>
      <c r="C2398" s="10"/>
      <c r="D2398" s="10"/>
    </row>
    <row r="2399" spans="1:4" ht="12.75">
      <c r="A2399" s="10"/>
      <c r="B2399" s="10"/>
      <c r="C2399" s="10"/>
      <c r="D2399" s="10"/>
    </row>
    <row r="2400" spans="1:4" ht="12.75">
      <c r="A2400" s="10"/>
      <c r="B2400" s="10"/>
      <c r="C2400" s="10"/>
      <c r="D2400" s="10"/>
    </row>
    <row r="2401" spans="1:4" ht="12.75">
      <c r="A2401" s="10"/>
      <c r="B2401" s="10"/>
      <c r="C2401" s="10"/>
      <c r="D2401" s="10"/>
    </row>
    <row r="2402" spans="1:4" ht="12.75">
      <c r="A2402" s="10"/>
      <c r="B2402" s="10"/>
      <c r="C2402" s="10"/>
      <c r="D2402" s="10"/>
    </row>
    <row r="2403" spans="1:4" ht="12.75">
      <c r="A2403" s="10"/>
      <c r="B2403" s="10"/>
      <c r="C2403" s="10"/>
      <c r="D2403" s="10"/>
    </row>
    <row r="2404" spans="1:4" ht="12.75">
      <c r="A2404" s="10"/>
      <c r="B2404" s="10"/>
      <c r="C2404" s="10"/>
      <c r="D2404" s="10"/>
    </row>
    <row r="2405" spans="1:4" ht="12.75">
      <c r="A2405" s="10"/>
      <c r="B2405" s="10"/>
      <c r="C2405" s="10"/>
      <c r="D2405" s="10"/>
    </row>
    <row r="2406" spans="1:4" ht="12.75">
      <c r="A2406" s="10"/>
      <c r="B2406" s="10"/>
      <c r="C2406" s="10"/>
      <c r="D2406" s="10"/>
    </row>
    <row r="2407" spans="1:4" ht="12.75">
      <c r="A2407" s="10"/>
      <c r="B2407" s="10"/>
      <c r="C2407" s="10"/>
      <c r="D2407" s="10"/>
    </row>
    <row r="2408" spans="1:4" ht="12.75">
      <c r="A2408" s="10"/>
      <c r="B2408" s="10"/>
      <c r="C2408" s="10"/>
      <c r="D2408" s="10"/>
    </row>
    <row r="2409" spans="1:4" ht="12.75">
      <c r="A2409" s="10"/>
      <c r="B2409" s="10"/>
      <c r="C2409" s="10"/>
      <c r="D2409" s="10"/>
    </row>
    <row r="2410" spans="1:4" ht="12.75">
      <c r="A2410" s="10"/>
      <c r="B2410" s="10"/>
      <c r="C2410" s="10"/>
      <c r="D2410" s="10"/>
    </row>
    <row r="2411" spans="1:4" ht="12.75">
      <c r="A2411" s="10"/>
      <c r="B2411" s="10"/>
      <c r="C2411" s="10"/>
      <c r="D2411" s="10"/>
    </row>
    <row r="2412" spans="1:4" ht="12.75">
      <c r="A2412" s="10"/>
      <c r="B2412" s="10"/>
      <c r="C2412" s="10"/>
      <c r="D2412" s="10"/>
    </row>
    <row r="2413" spans="1:4" ht="12.75">
      <c r="A2413" s="10"/>
      <c r="B2413" s="10"/>
      <c r="C2413" s="10"/>
      <c r="D2413" s="10"/>
    </row>
    <row r="2414" spans="1:4" ht="12.75">
      <c r="A2414" s="10"/>
      <c r="B2414" s="10"/>
      <c r="C2414" s="10"/>
      <c r="D2414" s="10"/>
    </row>
    <row r="2415" spans="1:4" ht="12.75">
      <c r="A2415" s="10"/>
      <c r="B2415" s="10"/>
      <c r="C2415" s="10"/>
      <c r="D2415" s="10"/>
    </row>
    <row r="2416" spans="1:4" ht="12.75">
      <c r="A2416" s="10"/>
      <c r="B2416" s="10"/>
      <c r="C2416" s="10"/>
      <c r="D2416" s="10"/>
    </row>
    <row r="2417" spans="1:4" ht="12.75">
      <c r="A2417" s="10"/>
      <c r="B2417" s="10"/>
      <c r="C2417" s="10"/>
      <c r="D2417" s="10"/>
    </row>
    <row r="2418" spans="1:4" ht="12.75">
      <c r="A2418" s="10"/>
      <c r="B2418" s="10"/>
      <c r="C2418" s="10"/>
      <c r="D2418" s="10"/>
    </row>
    <row r="2419" spans="1:4" ht="12.75">
      <c r="A2419" s="10"/>
      <c r="B2419" s="10"/>
      <c r="C2419" s="10"/>
      <c r="D2419" s="10"/>
    </row>
    <row r="2420" spans="1:4" ht="12.75">
      <c r="A2420" s="10"/>
      <c r="B2420" s="10"/>
      <c r="C2420" s="10"/>
      <c r="D2420" s="10"/>
    </row>
    <row r="2421" spans="1:4" ht="12.75">
      <c r="A2421" s="10"/>
      <c r="B2421" s="10"/>
      <c r="C2421" s="10"/>
      <c r="D2421" s="10"/>
    </row>
    <row r="2422" spans="1:4" ht="12.75">
      <c r="A2422" s="10"/>
      <c r="B2422" s="10"/>
      <c r="C2422" s="10"/>
      <c r="D2422" s="10"/>
    </row>
    <row r="2423" spans="1:4" ht="12.75">
      <c r="A2423" s="10"/>
      <c r="B2423" s="10"/>
      <c r="C2423" s="10"/>
      <c r="D2423" s="10"/>
    </row>
    <row r="2424" spans="1:4" ht="12.75">
      <c r="A2424" s="10"/>
      <c r="B2424" s="10"/>
      <c r="C2424" s="10"/>
      <c r="D2424" s="10"/>
    </row>
    <row r="2425" spans="1:4" ht="12.75">
      <c r="A2425" s="10"/>
      <c r="B2425" s="10"/>
      <c r="C2425" s="10"/>
      <c r="D2425" s="10"/>
    </row>
    <row r="2426" spans="1:4" ht="12.75">
      <c r="A2426" s="10"/>
      <c r="B2426" s="10"/>
      <c r="C2426" s="10"/>
      <c r="D2426" s="10"/>
    </row>
    <row r="2427" spans="1:4" ht="12.75">
      <c r="A2427" s="10"/>
      <c r="B2427" s="10"/>
      <c r="C2427" s="10"/>
      <c r="D2427" s="10"/>
    </row>
    <row r="2428" spans="1:4" ht="12.75">
      <c r="A2428" s="10"/>
      <c r="B2428" s="10"/>
      <c r="C2428" s="10"/>
      <c r="D2428" s="10"/>
    </row>
    <row r="2429" spans="1:4" ht="12.75">
      <c r="A2429" s="10"/>
      <c r="B2429" s="10"/>
      <c r="C2429" s="10"/>
      <c r="D2429" s="10"/>
    </row>
    <row r="2430" spans="1:4" ht="12.75">
      <c r="A2430" s="10"/>
      <c r="B2430" s="10"/>
      <c r="C2430" s="10"/>
      <c r="D2430" s="10"/>
    </row>
    <row r="2431" spans="1:4" ht="12.75">
      <c r="A2431" s="10"/>
      <c r="B2431" s="10"/>
      <c r="C2431" s="10"/>
      <c r="D2431" s="10"/>
    </row>
    <row r="2432" spans="1:4" ht="12.75">
      <c r="A2432" s="10"/>
      <c r="B2432" s="10"/>
      <c r="C2432" s="10"/>
      <c r="D2432" s="10"/>
    </row>
    <row r="2433" spans="1:4" ht="12.75">
      <c r="A2433" s="10"/>
      <c r="B2433" s="10"/>
      <c r="C2433" s="10"/>
      <c r="D2433" s="10"/>
    </row>
    <row r="2434" spans="1:4" ht="12.75">
      <c r="A2434" s="10"/>
      <c r="B2434" s="10"/>
      <c r="C2434" s="10"/>
      <c r="D2434" s="10"/>
    </row>
    <row r="2435" spans="1:4" ht="12.75">
      <c r="A2435" s="10"/>
      <c r="B2435" s="10"/>
      <c r="C2435" s="10"/>
      <c r="D2435" s="10"/>
    </row>
    <row r="2436" spans="1:4" ht="12.75">
      <c r="A2436" s="10"/>
      <c r="B2436" s="10"/>
      <c r="C2436" s="10"/>
      <c r="D2436" s="10"/>
    </row>
    <row r="2437" spans="1:4" ht="12.75">
      <c r="A2437" s="10"/>
      <c r="B2437" s="10"/>
      <c r="C2437" s="10"/>
      <c r="D2437" s="10"/>
    </row>
    <row r="2438" spans="1:4" ht="12.75">
      <c r="A2438" s="10"/>
      <c r="B2438" s="10"/>
      <c r="C2438" s="10"/>
      <c r="D2438" s="10"/>
    </row>
    <row r="2439" spans="1:4" ht="12.75">
      <c r="A2439" s="10"/>
      <c r="B2439" s="10"/>
      <c r="C2439" s="10"/>
      <c r="D2439" s="10"/>
    </row>
    <row r="2440" spans="1:4" ht="12.75">
      <c r="A2440" s="10"/>
      <c r="B2440" s="10"/>
      <c r="C2440" s="10"/>
      <c r="D2440" s="10"/>
    </row>
    <row r="2441" spans="1:4" ht="12.75">
      <c r="A2441" s="10"/>
      <c r="B2441" s="10"/>
      <c r="C2441" s="10"/>
      <c r="D2441" s="10"/>
    </row>
    <row r="2442" spans="1:4" ht="12.75">
      <c r="A2442" s="10"/>
      <c r="B2442" s="10"/>
      <c r="C2442" s="10"/>
      <c r="D2442" s="10"/>
    </row>
    <row r="2443" spans="1:4" ht="12.75">
      <c r="A2443" s="10"/>
      <c r="B2443" s="10"/>
      <c r="C2443" s="10"/>
      <c r="D2443" s="10"/>
    </row>
    <row r="2444" spans="1:4" ht="12.75">
      <c r="A2444" s="10"/>
      <c r="B2444" s="10"/>
      <c r="C2444" s="10"/>
      <c r="D2444" s="10"/>
    </row>
    <row r="2445" spans="1:4" ht="12.75">
      <c r="A2445" s="10"/>
      <c r="B2445" s="10"/>
      <c r="C2445" s="10"/>
      <c r="D2445" s="10"/>
    </row>
    <row r="2446" spans="1:4" ht="12.75">
      <c r="A2446" s="10"/>
      <c r="B2446" s="10"/>
      <c r="C2446" s="10"/>
      <c r="D2446" s="10"/>
    </row>
    <row r="2447" spans="1:4" ht="12.75">
      <c r="A2447" s="10"/>
      <c r="B2447" s="10"/>
      <c r="C2447" s="10"/>
      <c r="D2447" s="10"/>
    </row>
    <row r="2448" spans="1:4" ht="12.75">
      <c r="A2448" s="10"/>
      <c r="B2448" s="10"/>
      <c r="C2448" s="10"/>
      <c r="D2448" s="10"/>
    </row>
    <row r="2449" spans="1:4" ht="12.75">
      <c r="A2449" s="10"/>
      <c r="B2449" s="10"/>
      <c r="C2449" s="10"/>
      <c r="D2449" s="10"/>
    </row>
    <row r="2450" spans="1:4" ht="12.75">
      <c r="A2450" s="10"/>
      <c r="B2450" s="10"/>
      <c r="C2450" s="10"/>
      <c r="D2450" s="10"/>
    </row>
    <row r="2451" spans="1:4" ht="12.75">
      <c r="A2451" s="10"/>
      <c r="B2451" s="10"/>
      <c r="C2451" s="10"/>
      <c r="D2451" s="10"/>
    </row>
    <row r="2452" spans="1:4" ht="12.75">
      <c r="A2452" s="10"/>
      <c r="B2452" s="10"/>
      <c r="C2452" s="10"/>
      <c r="D2452" s="10"/>
    </row>
    <row r="2453" spans="1:4" ht="12.75">
      <c r="A2453" s="10"/>
      <c r="B2453" s="10"/>
      <c r="C2453" s="10"/>
      <c r="D2453" s="10"/>
    </row>
    <row r="2454" spans="1:4" ht="12.75">
      <c r="A2454" s="10"/>
      <c r="B2454" s="10"/>
      <c r="C2454" s="10"/>
      <c r="D2454" s="10"/>
    </row>
    <row r="2455" spans="1:4" ht="12.75">
      <c r="A2455" s="10"/>
      <c r="B2455" s="10"/>
      <c r="C2455" s="10"/>
      <c r="D2455" s="10"/>
    </row>
    <row r="2456" spans="1:4" ht="12.75">
      <c r="A2456" s="10"/>
      <c r="B2456" s="10"/>
      <c r="C2456" s="10"/>
      <c r="D2456" s="10"/>
    </row>
    <row r="2457" spans="1:4" ht="12.75">
      <c r="A2457" s="10"/>
      <c r="B2457" s="10"/>
      <c r="C2457" s="10"/>
      <c r="D2457" s="10"/>
    </row>
    <row r="2458" spans="1:4" ht="12.75">
      <c r="A2458" s="10"/>
      <c r="B2458" s="10"/>
      <c r="C2458" s="10"/>
      <c r="D2458" s="10"/>
    </row>
    <row r="2459" spans="1:4" ht="12.75">
      <c r="A2459" s="10"/>
      <c r="B2459" s="10"/>
      <c r="C2459" s="10"/>
      <c r="D2459" s="10"/>
    </row>
    <row r="2460" spans="1:4" ht="12.75">
      <c r="A2460" s="10"/>
      <c r="B2460" s="10"/>
      <c r="C2460" s="10"/>
      <c r="D2460" s="10"/>
    </row>
    <row r="2461" spans="1:4" ht="12.75">
      <c r="A2461" s="10"/>
      <c r="B2461" s="10"/>
      <c r="C2461" s="10"/>
      <c r="D2461" s="10"/>
    </row>
    <row r="2462" spans="1:4" ht="12.75">
      <c r="A2462" s="10"/>
      <c r="B2462" s="10"/>
      <c r="C2462" s="10"/>
      <c r="D2462" s="10"/>
    </row>
    <row r="2463" spans="1:4" ht="12.75">
      <c r="A2463" s="10"/>
      <c r="B2463" s="10"/>
      <c r="C2463" s="10"/>
      <c r="D2463" s="10"/>
    </row>
    <row r="2464" spans="1:4" ht="12.75">
      <c r="A2464" s="10"/>
      <c r="B2464" s="10"/>
      <c r="C2464" s="10"/>
      <c r="D2464" s="10"/>
    </row>
    <row r="2465" spans="1:4" ht="12.75">
      <c r="A2465" s="10"/>
      <c r="B2465" s="10"/>
      <c r="C2465" s="10"/>
      <c r="D2465" s="10"/>
    </row>
    <row r="2466" spans="1:4" ht="12.75">
      <c r="A2466" s="10"/>
      <c r="B2466" s="10"/>
      <c r="C2466" s="10"/>
      <c r="D2466" s="10"/>
    </row>
    <row r="2467" spans="1:4" ht="12.75">
      <c r="A2467" s="10"/>
      <c r="B2467" s="10"/>
      <c r="C2467" s="10"/>
      <c r="D2467" s="10"/>
    </row>
    <row r="2468" spans="1:4" ht="12.75">
      <c r="A2468" s="10"/>
      <c r="B2468" s="10"/>
      <c r="C2468" s="10"/>
      <c r="D2468" s="10"/>
    </row>
    <row r="2469" spans="1:4" ht="12.75">
      <c r="A2469" s="10"/>
      <c r="B2469" s="10"/>
      <c r="C2469" s="10"/>
      <c r="D2469" s="10"/>
    </row>
    <row r="2470" spans="1:4" ht="12.75">
      <c r="A2470" s="10"/>
      <c r="B2470" s="10"/>
      <c r="C2470" s="10"/>
      <c r="D2470" s="10"/>
    </row>
    <row r="2471" spans="1:4" ht="12.75">
      <c r="A2471" s="10"/>
      <c r="B2471" s="10"/>
      <c r="C2471" s="10"/>
      <c r="D2471" s="10"/>
    </row>
    <row r="2472" spans="1:4" ht="12.75">
      <c r="A2472" s="10"/>
      <c r="B2472" s="10"/>
      <c r="C2472" s="10"/>
      <c r="D2472" s="10"/>
    </row>
    <row r="2473" spans="1:4" ht="12.75">
      <c r="A2473" s="10"/>
      <c r="B2473" s="10"/>
      <c r="C2473" s="10"/>
      <c r="D2473" s="10"/>
    </row>
    <row r="2474" spans="1:4" ht="12.75">
      <c r="A2474" s="10"/>
      <c r="B2474" s="10"/>
      <c r="C2474" s="10"/>
      <c r="D2474" s="10"/>
    </row>
    <row r="2475" spans="1:4" ht="12.75">
      <c r="A2475" s="10"/>
      <c r="B2475" s="10"/>
      <c r="C2475" s="10"/>
      <c r="D2475" s="10"/>
    </row>
    <row r="2476" spans="1:4" ht="12.75">
      <c r="A2476" s="10"/>
      <c r="B2476" s="10"/>
      <c r="C2476" s="10"/>
      <c r="D2476" s="10"/>
    </row>
    <row r="2477" spans="1:4" ht="12.75">
      <c r="A2477" s="10"/>
      <c r="B2477" s="10"/>
      <c r="C2477" s="10"/>
      <c r="D2477" s="10"/>
    </row>
    <row r="2478" spans="1:4" ht="12.75">
      <c r="A2478" s="10"/>
      <c r="B2478" s="10"/>
      <c r="C2478" s="10"/>
      <c r="D2478" s="10"/>
    </row>
    <row r="2479" spans="1:4" ht="12.75">
      <c r="A2479" s="10"/>
      <c r="B2479" s="10"/>
      <c r="C2479" s="10"/>
      <c r="D2479" s="10"/>
    </row>
    <row r="2480" spans="1:4" ht="12.75">
      <c r="A2480" s="10"/>
      <c r="B2480" s="10"/>
      <c r="C2480" s="10"/>
      <c r="D2480" s="10"/>
    </row>
    <row r="2481" spans="1:4" ht="12.75">
      <c r="A2481" s="10"/>
      <c r="B2481" s="10"/>
      <c r="C2481" s="10"/>
      <c r="D2481" s="10"/>
    </row>
    <row r="2482" spans="1:4" ht="12.75">
      <c r="A2482" s="10"/>
      <c r="B2482" s="10"/>
      <c r="C2482" s="10"/>
      <c r="D2482" s="10"/>
    </row>
    <row r="2483" spans="1:4" ht="12.75">
      <c r="A2483" s="10"/>
      <c r="B2483" s="10"/>
      <c r="C2483" s="10"/>
      <c r="D2483" s="10"/>
    </row>
    <row r="2484" spans="1:4" ht="12.75">
      <c r="A2484" s="10"/>
      <c r="B2484" s="10"/>
      <c r="C2484" s="10"/>
      <c r="D2484" s="10"/>
    </row>
    <row r="2485" spans="1:4" ht="12.75">
      <c r="A2485" s="10"/>
      <c r="B2485" s="10"/>
      <c r="C2485" s="10"/>
      <c r="D2485" s="10"/>
    </row>
    <row r="2486" spans="1:4" ht="12.75">
      <c r="A2486" s="10"/>
      <c r="B2486" s="10"/>
      <c r="C2486" s="10"/>
      <c r="D2486" s="10"/>
    </row>
    <row r="2487" spans="1:4" ht="12.75">
      <c r="A2487" s="10"/>
      <c r="B2487" s="10"/>
      <c r="C2487" s="10"/>
      <c r="D2487" s="10"/>
    </row>
    <row r="2488" spans="1:4" ht="12.75">
      <c r="A2488" s="10"/>
      <c r="B2488" s="10"/>
      <c r="C2488" s="10"/>
      <c r="D2488" s="10"/>
    </row>
    <row r="2489" spans="1:4" ht="12.75">
      <c r="A2489" s="10"/>
      <c r="B2489" s="10"/>
      <c r="C2489" s="10"/>
      <c r="D2489" s="10"/>
    </row>
    <row r="2490" spans="1:4" ht="12.75">
      <c r="A2490" s="10"/>
      <c r="B2490" s="10"/>
      <c r="C2490" s="10"/>
      <c r="D2490" s="10"/>
    </row>
    <row r="2491" spans="1:4" ht="12.75">
      <c r="A2491" s="10"/>
      <c r="B2491" s="10"/>
      <c r="C2491" s="10"/>
      <c r="D2491" s="10"/>
    </row>
    <row r="2492" spans="1:4" ht="12.75">
      <c r="A2492" s="10"/>
      <c r="B2492" s="10"/>
      <c r="C2492" s="10"/>
      <c r="D2492" s="10"/>
    </row>
    <row r="2493" spans="1:4" ht="12.75">
      <c r="A2493" s="10"/>
      <c r="B2493" s="10"/>
      <c r="C2493" s="10"/>
      <c r="D2493" s="10"/>
    </row>
    <row r="2494" spans="1:4" ht="12.75">
      <c r="A2494" s="10"/>
      <c r="B2494" s="10"/>
      <c r="C2494" s="10"/>
      <c r="D2494" s="10"/>
    </row>
    <row r="2495" spans="1:4" ht="12.75">
      <c r="A2495" s="10"/>
      <c r="B2495" s="10"/>
      <c r="C2495" s="10"/>
      <c r="D2495" s="10"/>
    </row>
    <row r="2496" spans="1:4" ht="12.75">
      <c r="A2496" s="10"/>
      <c r="B2496" s="10"/>
      <c r="C2496" s="10"/>
      <c r="D2496" s="10"/>
    </row>
    <row r="2497" spans="1:4" ht="12.75">
      <c r="A2497" s="10"/>
      <c r="B2497" s="10"/>
      <c r="C2497" s="10"/>
      <c r="D2497" s="10"/>
    </row>
    <row r="2498" spans="1:4" ht="12.75">
      <c r="A2498" s="10"/>
      <c r="B2498" s="10"/>
      <c r="C2498" s="10"/>
      <c r="D2498" s="10"/>
    </row>
    <row r="2499" spans="1:4" ht="12.75">
      <c r="A2499" s="10"/>
      <c r="B2499" s="10"/>
      <c r="C2499" s="10"/>
      <c r="D2499" s="10"/>
    </row>
    <row r="2500" spans="1:4" ht="12.75">
      <c r="A2500" s="10"/>
      <c r="B2500" s="10"/>
      <c r="C2500" s="10"/>
      <c r="D2500" s="10"/>
    </row>
    <row r="2501" spans="1:4" ht="12.75">
      <c r="A2501" s="10"/>
      <c r="B2501" s="10"/>
      <c r="C2501" s="10"/>
      <c r="D2501" s="10"/>
    </row>
    <row r="2502" spans="1:4" ht="12.75">
      <c r="A2502" s="10"/>
      <c r="B2502" s="10"/>
      <c r="C2502" s="10"/>
      <c r="D2502" s="10"/>
    </row>
    <row r="2503" spans="1:4" ht="12.75">
      <c r="A2503" s="10"/>
      <c r="B2503" s="10"/>
      <c r="C2503" s="10"/>
      <c r="D2503" s="10"/>
    </row>
    <row r="2504" spans="1:4" ht="12.75">
      <c r="A2504" s="10"/>
      <c r="B2504" s="10"/>
      <c r="C2504" s="10"/>
      <c r="D2504" s="10"/>
    </row>
    <row r="2505" spans="1:4" ht="12.75">
      <c r="A2505" s="10"/>
      <c r="B2505" s="10"/>
      <c r="C2505" s="10"/>
      <c r="D2505" s="10"/>
    </row>
    <row r="2506" spans="1:4" ht="12.75">
      <c r="A2506" s="10"/>
      <c r="B2506" s="10"/>
      <c r="C2506" s="10"/>
      <c r="D2506" s="10"/>
    </row>
    <row r="2507" spans="1:4" ht="12.75">
      <c r="A2507" s="10"/>
      <c r="B2507" s="10"/>
      <c r="C2507" s="10"/>
      <c r="D2507" s="10"/>
    </row>
    <row r="2508" spans="1:4" ht="12.75">
      <c r="A2508" s="10"/>
      <c r="B2508" s="10"/>
      <c r="C2508" s="10"/>
      <c r="D2508" s="10"/>
    </row>
    <row r="2509" spans="1:4" ht="12.75">
      <c r="A2509" s="10"/>
      <c r="B2509" s="10"/>
      <c r="C2509" s="10"/>
      <c r="D2509" s="10"/>
    </row>
    <row r="2510" spans="1:4" ht="12.75">
      <c r="A2510" s="10"/>
      <c r="B2510" s="10"/>
      <c r="C2510" s="10"/>
      <c r="D2510" s="10"/>
    </row>
    <row r="2511" spans="1:4" ht="12.75">
      <c r="A2511" s="10"/>
      <c r="B2511" s="10"/>
      <c r="C2511" s="10"/>
      <c r="D2511" s="10"/>
    </row>
    <row r="2512" spans="1:4" ht="12.75">
      <c r="A2512" s="10"/>
      <c r="B2512" s="10"/>
      <c r="C2512" s="10"/>
      <c r="D2512" s="10"/>
    </row>
    <row r="2513" spans="1:4" ht="12.75">
      <c r="A2513" s="10"/>
      <c r="B2513" s="10"/>
      <c r="C2513" s="10"/>
      <c r="D2513" s="10"/>
    </row>
    <row r="2514" spans="1:4" ht="12.75">
      <c r="A2514" s="10"/>
      <c r="B2514" s="10"/>
      <c r="C2514" s="10"/>
      <c r="D2514" s="10"/>
    </row>
    <row r="2515" spans="1:4" ht="12.75">
      <c r="A2515" s="10"/>
      <c r="B2515" s="10"/>
      <c r="C2515" s="10"/>
      <c r="D2515" s="10"/>
    </row>
    <row r="2516" spans="1:4" ht="12.75">
      <c r="A2516" s="10"/>
      <c r="B2516" s="10"/>
      <c r="C2516" s="10"/>
      <c r="D2516" s="10"/>
    </row>
    <row r="2517" spans="1:4" ht="12.75">
      <c r="A2517" s="10"/>
      <c r="B2517" s="10"/>
      <c r="C2517" s="10"/>
      <c r="D2517" s="10"/>
    </row>
    <row r="2518" spans="1:4" ht="12.75">
      <c r="A2518" s="10"/>
      <c r="B2518" s="10"/>
      <c r="C2518" s="10"/>
      <c r="D2518" s="10"/>
    </row>
    <row r="2519" spans="1:4" ht="12.75">
      <c r="A2519" s="10"/>
      <c r="B2519" s="10"/>
      <c r="C2519" s="10"/>
      <c r="D2519" s="10"/>
    </row>
    <row r="2520" spans="1:4" ht="12.75">
      <c r="A2520" s="10"/>
      <c r="B2520" s="10"/>
      <c r="C2520" s="10"/>
      <c r="D2520" s="10"/>
    </row>
    <row r="2521" spans="1:4" ht="12.75">
      <c r="A2521" s="10"/>
      <c r="B2521" s="10"/>
      <c r="C2521" s="10"/>
      <c r="D2521" s="10"/>
    </row>
    <row r="2522" spans="1:4" ht="12.75">
      <c r="A2522" s="10"/>
      <c r="B2522" s="10"/>
      <c r="C2522" s="10"/>
      <c r="D2522" s="10"/>
    </row>
    <row r="2523" spans="1:4" ht="12.75">
      <c r="A2523" s="10"/>
      <c r="B2523" s="10"/>
      <c r="C2523" s="10"/>
      <c r="D2523" s="10"/>
    </row>
    <row r="2524" spans="1:4" ht="12.75">
      <c r="A2524" s="10"/>
      <c r="B2524" s="10"/>
      <c r="C2524" s="10"/>
      <c r="D2524" s="10"/>
    </row>
    <row r="2525" spans="1:4" ht="12.75">
      <c r="A2525" s="10"/>
      <c r="B2525" s="10"/>
      <c r="C2525" s="10"/>
      <c r="D2525" s="10"/>
    </row>
    <row r="2526" spans="1:4" ht="12.75">
      <c r="A2526" s="10"/>
      <c r="B2526" s="10"/>
      <c r="C2526" s="10"/>
      <c r="D2526" s="10"/>
    </row>
    <row r="2527" spans="1:4" ht="12.75">
      <c r="A2527" s="10"/>
      <c r="B2527" s="10"/>
      <c r="C2527" s="10"/>
      <c r="D2527" s="10"/>
    </row>
    <row r="2528" spans="1:4" ht="12.75">
      <c r="A2528" s="10"/>
      <c r="B2528" s="10"/>
      <c r="C2528" s="10"/>
      <c r="D2528" s="10"/>
    </row>
    <row r="2529" spans="1:4" ht="12.75">
      <c r="A2529" s="10"/>
      <c r="B2529" s="10"/>
      <c r="C2529" s="10"/>
      <c r="D2529" s="10"/>
    </row>
    <row r="2530" spans="1:4" ht="12.75">
      <c r="A2530" s="10"/>
      <c r="B2530" s="10"/>
      <c r="C2530" s="10"/>
      <c r="D2530" s="10"/>
    </row>
    <row r="2531" spans="1:4" ht="12.75">
      <c r="A2531" s="10"/>
      <c r="B2531" s="10"/>
      <c r="C2531" s="10"/>
      <c r="D2531" s="10"/>
    </row>
    <row r="2532" spans="1:4" ht="12.75">
      <c r="A2532" s="10"/>
      <c r="B2532" s="10"/>
      <c r="C2532" s="10"/>
      <c r="D2532" s="10"/>
    </row>
    <row r="2533" spans="1:4" ht="12.75">
      <c r="A2533" s="10"/>
      <c r="B2533" s="10"/>
      <c r="C2533" s="10"/>
      <c r="D2533" s="10"/>
    </row>
    <row r="2534" spans="1:4" ht="12.75">
      <c r="A2534" s="10"/>
      <c r="B2534" s="10"/>
      <c r="C2534" s="10"/>
      <c r="D2534" s="10"/>
    </row>
    <row r="2535" spans="1:4" ht="12.75">
      <c r="A2535" s="10"/>
      <c r="B2535" s="10"/>
      <c r="C2535" s="10"/>
      <c r="D2535" s="10"/>
    </row>
    <row r="2536" spans="1:4" ht="12.75">
      <c r="A2536" s="10"/>
      <c r="B2536" s="10"/>
      <c r="C2536" s="10"/>
      <c r="D2536" s="10"/>
    </row>
    <row r="2537" spans="1:4" ht="12.75">
      <c r="A2537" s="10"/>
      <c r="B2537" s="10"/>
      <c r="C2537" s="10"/>
      <c r="D2537" s="10"/>
    </row>
    <row r="2538" spans="1:4" ht="12.75">
      <c r="A2538" s="10"/>
      <c r="B2538" s="10"/>
      <c r="C2538" s="10"/>
      <c r="D2538" s="10"/>
    </row>
    <row r="2539" spans="1:4" ht="12.75">
      <c r="A2539" s="10"/>
      <c r="B2539" s="10"/>
      <c r="C2539" s="10"/>
      <c r="D2539" s="10"/>
    </row>
    <row r="2540" spans="1:4" ht="12.75">
      <c r="A2540" s="10"/>
      <c r="B2540" s="10"/>
      <c r="C2540" s="10"/>
      <c r="D2540" s="10"/>
    </row>
    <row r="2541" spans="1:4" ht="12.75">
      <c r="A2541" s="10"/>
      <c r="B2541" s="10"/>
      <c r="C2541" s="10"/>
      <c r="D2541" s="10"/>
    </row>
    <row r="2542" spans="1:4" ht="12.75">
      <c r="A2542" s="10"/>
      <c r="B2542" s="10"/>
      <c r="C2542" s="10"/>
      <c r="D2542" s="10"/>
    </row>
    <row r="2543" spans="1:4" ht="12.75">
      <c r="A2543" s="10"/>
      <c r="B2543" s="10"/>
      <c r="C2543" s="10"/>
      <c r="D2543" s="10"/>
    </row>
    <row r="2544" spans="1:4" ht="12.75">
      <c r="A2544" s="10"/>
      <c r="B2544" s="10"/>
      <c r="C2544" s="10"/>
      <c r="D2544" s="10"/>
    </row>
    <row r="2545" spans="1:4" ht="12.75">
      <c r="A2545" s="10"/>
      <c r="B2545" s="10"/>
      <c r="C2545" s="10"/>
      <c r="D2545" s="10"/>
    </row>
    <row r="2546" spans="1:4" ht="12.75">
      <c r="A2546" s="10"/>
      <c r="B2546" s="10"/>
      <c r="C2546" s="10"/>
      <c r="D2546" s="10"/>
    </row>
    <row r="2547" spans="1:4" ht="12.75">
      <c r="A2547" s="10"/>
      <c r="B2547" s="10"/>
      <c r="C2547" s="10"/>
      <c r="D2547" s="10"/>
    </row>
    <row r="2548" spans="1:4" ht="12.75">
      <c r="A2548" s="10"/>
      <c r="B2548" s="10"/>
      <c r="C2548" s="10"/>
      <c r="D2548" s="10"/>
    </row>
    <row r="2549" spans="1:4" ht="12.75">
      <c r="A2549" s="10"/>
      <c r="B2549" s="10"/>
      <c r="C2549" s="10"/>
      <c r="D2549" s="10"/>
    </row>
    <row r="2550" spans="1:4" ht="12.75">
      <c r="A2550" s="10"/>
      <c r="B2550" s="10"/>
      <c r="C2550" s="10"/>
      <c r="D2550" s="10"/>
    </row>
    <row r="2551" spans="1:4" ht="12.75">
      <c r="A2551" s="10"/>
      <c r="B2551" s="10"/>
      <c r="C2551" s="10"/>
      <c r="D2551" s="10"/>
    </row>
    <row r="2552" spans="1:4" ht="12.75">
      <c r="A2552" s="10"/>
      <c r="B2552" s="10"/>
      <c r="C2552" s="10"/>
      <c r="D2552" s="10"/>
    </row>
    <row r="2553" spans="1:4" ht="12.75">
      <c r="A2553" s="10"/>
      <c r="B2553" s="10"/>
      <c r="C2553" s="10"/>
      <c r="D2553" s="10"/>
    </row>
    <row r="2554" spans="1:4" ht="12.75">
      <c r="A2554" s="10"/>
      <c r="B2554" s="10"/>
      <c r="C2554" s="10"/>
      <c r="D2554" s="10"/>
    </row>
    <row r="2555" spans="1:4" ht="12.75">
      <c r="A2555" s="10"/>
      <c r="B2555" s="10"/>
      <c r="C2555" s="10"/>
      <c r="D2555" s="10"/>
    </row>
    <row r="2556" spans="1:4" ht="12.75">
      <c r="A2556" s="10"/>
      <c r="B2556" s="10"/>
      <c r="C2556" s="10"/>
      <c r="D2556" s="10"/>
    </row>
    <row r="2557" spans="1:4" ht="12.75">
      <c r="A2557" s="10"/>
      <c r="B2557" s="10"/>
      <c r="C2557" s="10"/>
      <c r="D2557" s="10"/>
    </row>
    <row r="2558" spans="1:4" ht="12.75">
      <c r="A2558" s="10"/>
      <c r="B2558" s="10"/>
      <c r="C2558" s="10"/>
      <c r="D2558" s="10"/>
    </row>
    <row r="2559" spans="1:4" ht="12.75">
      <c r="A2559" s="10"/>
      <c r="B2559" s="10"/>
      <c r="C2559" s="10"/>
      <c r="D2559" s="10"/>
    </row>
    <row r="2560" spans="1:4" ht="12.75">
      <c r="A2560" s="10"/>
      <c r="B2560" s="10"/>
      <c r="C2560" s="10"/>
      <c r="D2560" s="10"/>
    </row>
    <row r="2561" spans="1:4" ht="12.75">
      <c r="A2561" s="10"/>
      <c r="B2561" s="10"/>
      <c r="C2561" s="10"/>
      <c r="D2561" s="10"/>
    </row>
    <row r="2562" spans="1:4" ht="12.75">
      <c r="A2562" s="10"/>
      <c r="B2562" s="10"/>
      <c r="C2562" s="10"/>
      <c r="D2562" s="10"/>
    </row>
    <row r="2563" spans="1:4" ht="12.75">
      <c r="A2563" s="10"/>
      <c r="B2563" s="10"/>
      <c r="C2563" s="10"/>
      <c r="D2563" s="10"/>
    </row>
    <row r="2564" spans="1:4" ht="12.75">
      <c r="A2564" s="10"/>
      <c r="B2564" s="10"/>
      <c r="C2564" s="10"/>
      <c r="D2564" s="10"/>
    </row>
    <row r="2565" spans="1:4" ht="12.75">
      <c r="A2565" s="10"/>
      <c r="B2565" s="10"/>
      <c r="C2565" s="10"/>
      <c r="D2565" s="10"/>
    </row>
    <row r="2566" spans="1:4" ht="12.75">
      <c r="A2566" s="10"/>
      <c r="B2566" s="10"/>
      <c r="C2566" s="10"/>
      <c r="D2566" s="10"/>
    </row>
    <row r="2567" spans="1:4" ht="12.75">
      <c r="A2567" s="10"/>
      <c r="B2567" s="10"/>
      <c r="C2567" s="10"/>
      <c r="D2567" s="10"/>
    </row>
    <row r="2568" spans="1:4" ht="12.75">
      <c r="A2568" s="10"/>
      <c r="B2568" s="10"/>
      <c r="C2568" s="10"/>
      <c r="D2568" s="10"/>
    </row>
    <row r="2569" spans="1:4" ht="12.75">
      <c r="A2569" s="10"/>
      <c r="B2569" s="10"/>
      <c r="C2569" s="10"/>
      <c r="D2569" s="10"/>
    </row>
    <row r="2570" spans="1:4" ht="12.75">
      <c r="A2570" s="10"/>
      <c r="B2570" s="10"/>
      <c r="C2570" s="10"/>
      <c r="D2570" s="10"/>
    </row>
    <row r="2571" spans="1:4" ht="12.75">
      <c r="A2571" s="10"/>
      <c r="B2571" s="10"/>
      <c r="C2571" s="10"/>
      <c r="D2571" s="10"/>
    </row>
    <row r="2572" spans="1:4" ht="12.75">
      <c r="A2572" s="10"/>
      <c r="B2572" s="10"/>
      <c r="C2572" s="10"/>
      <c r="D2572" s="10"/>
    </row>
    <row r="2573" spans="1:4" ht="12.75">
      <c r="A2573" s="10"/>
      <c r="B2573" s="10"/>
      <c r="C2573" s="10"/>
      <c r="D2573" s="10"/>
    </row>
    <row r="2574" spans="1:4" ht="12.75">
      <c r="A2574" s="10"/>
      <c r="B2574" s="10"/>
      <c r="C2574" s="10"/>
      <c r="D2574" s="10"/>
    </row>
    <row r="2575" spans="1:4" ht="12.75">
      <c r="A2575" s="10"/>
      <c r="B2575" s="10"/>
      <c r="C2575" s="10"/>
      <c r="D2575" s="10"/>
    </row>
    <row r="2576" spans="1:4" ht="12.75">
      <c r="A2576" s="10"/>
      <c r="B2576" s="10"/>
      <c r="C2576" s="10"/>
      <c r="D2576" s="10"/>
    </row>
    <row r="2577" spans="1:4" ht="12.75">
      <c r="A2577" s="10"/>
      <c r="B2577" s="10"/>
      <c r="C2577" s="10"/>
      <c r="D2577" s="10"/>
    </row>
    <row r="2578" spans="1:4" ht="12.75">
      <c r="A2578" s="10"/>
      <c r="B2578" s="10"/>
      <c r="C2578" s="10"/>
      <c r="D2578" s="10"/>
    </row>
    <row r="2579" spans="1:4" ht="12.75">
      <c r="A2579" s="10"/>
      <c r="B2579" s="10"/>
      <c r="C2579" s="10"/>
      <c r="D2579" s="10"/>
    </row>
    <row r="2580" spans="1:4" ht="12.75">
      <c r="A2580" s="10"/>
      <c r="B2580" s="10"/>
      <c r="C2580" s="10"/>
      <c r="D2580" s="10"/>
    </row>
    <row r="2581" spans="1:4" ht="12.75">
      <c r="A2581" s="10"/>
      <c r="B2581" s="10"/>
      <c r="C2581" s="10"/>
      <c r="D2581" s="10"/>
    </row>
    <row r="2582" spans="1:4" ht="12.75">
      <c r="A2582" s="10"/>
      <c r="B2582" s="10"/>
      <c r="C2582" s="10"/>
      <c r="D2582" s="10"/>
    </row>
    <row r="2583" spans="1:4" ht="12.75">
      <c r="A2583" s="10"/>
      <c r="B2583" s="10"/>
      <c r="C2583" s="10"/>
      <c r="D2583" s="10"/>
    </row>
    <row r="2584" spans="1:4" ht="12.75">
      <c r="A2584" s="10"/>
      <c r="B2584" s="10"/>
      <c r="C2584" s="10"/>
      <c r="D2584" s="10"/>
    </row>
    <row r="2585" spans="1:4" ht="12.75">
      <c r="A2585" s="10"/>
      <c r="B2585" s="10"/>
      <c r="C2585" s="10"/>
      <c r="D2585" s="10"/>
    </row>
    <row r="2586" spans="1:4" ht="12.75">
      <c r="A2586" s="10"/>
      <c r="B2586" s="10"/>
      <c r="C2586" s="10"/>
      <c r="D2586" s="10"/>
    </row>
    <row r="2587" spans="1:4" ht="12.75">
      <c r="A2587" s="10"/>
      <c r="B2587" s="10"/>
      <c r="C2587" s="10"/>
      <c r="D2587" s="10"/>
    </row>
    <row r="2588" spans="1:4" ht="12.75">
      <c r="A2588" s="10"/>
      <c r="B2588" s="10"/>
      <c r="C2588" s="10"/>
      <c r="D2588" s="10"/>
    </row>
    <row r="2589" spans="1:4" ht="12.75">
      <c r="A2589" s="10"/>
      <c r="B2589" s="10"/>
      <c r="C2589" s="10"/>
      <c r="D2589" s="10"/>
    </row>
    <row r="2590" spans="1:4" ht="12.75">
      <c r="A2590" s="10"/>
      <c r="B2590" s="10"/>
      <c r="C2590" s="10"/>
      <c r="D2590" s="10"/>
    </row>
    <row r="2591" spans="1:4" ht="12.75">
      <c r="A2591" s="10"/>
      <c r="B2591" s="10"/>
      <c r="C2591" s="10"/>
      <c r="D2591" s="10"/>
    </row>
    <row r="2592" spans="1:4" ht="12.75">
      <c r="A2592" s="10"/>
      <c r="B2592" s="10"/>
      <c r="C2592" s="10"/>
      <c r="D2592" s="10"/>
    </row>
    <row r="2593" spans="1:4" ht="12.75">
      <c r="A2593" s="10"/>
      <c r="B2593" s="10"/>
      <c r="C2593" s="10"/>
      <c r="D2593" s="10"/>
    </row>
    <row r="2594" spans="1:4" ht="12.75">
      <c r="A2594" s="10"/>
      <c r="B2594" s="10"/>
      <c r="C2594" s="10"/>
      <c r="D2594" s="10"/>
    </row>
    <row r="2595" spans="1:4" ht="12.75">
      <c r="A2595" s="10"/>
      <c r="B2595" s="10"/>
      <c r="C2595" s="10"/>
      <c r="D2595" s="10"/>
    </row>
    <row r="2596" spans="1:4" ht="12.75">
      <c r="A2596" s="10"/>
      <c r="B2596" s="10"/>
      <c r="C2596" s="10"/>
      <c r="D2596" s="10"/>
    </row>
    <row r="2597" spans="1:4" ht="12.75">
      <c r="A2597" s="10"/>
      <c r="B2597" s="10"/>
      <c r="C2597" s="10"/>
      <c r="D2597" s="10"/>
    </row>
    <row r="2598" spans="1:4" ht="12.75">
      <c r="A2598" s="10"/>
      <c r="B2598" s="10"/>
      <c r="C2598" s="10"/>
      <c r="D2598" s="10"/>
    </row>
    <row r="2599" spans="1:4" ht="12.75">
      <c r="A2599" s="10"/>
      <c r="B2599" s="10"/>
      <c r="C2599" s="10"/>
      <c r="D2599" s="10"/>
    </row>
    <row r="2600" spans="1:4" ht="12.75">
      <c r="A2600" s="10"/>
      <c r="B2600" s="10"/>
      <c r="C2600" s="10"/>
      <c r="D2600" s="10"/>
    </row>
    <row r="2601" spans="1:4" ht="12.75">
      <c r="A2601" s="10"/>
      <c r="B2601" s="10"/>
      <c r="C2601" s="10"/>
      <c r="D2601" s="10"/>
    </row>
    <row r="2602" spans="1:4" ht="12.75">
      <c r="A2602" s="10"/>
      <c r="B2602" s="10"/>
      <c r="C2602" s="10"/>
      <c r="D2602" s="10"/>
    </row>
    <row r="2603" spans="1:4" ht="12.75">
      <c r="A2603" s="10"/>
      <c r="B2603" s="10"/>
      <c r="C2603" s="10"/>
      <c r="D2603" s="10"/>
    </row>
    <row r="2604" spans="1:4" ht="12.75">
      <c r="A2604" s="10"/>
      <c r="B2604" s="10"/>
      <c r="C2604" s="10"/>
      <c r="D2604" s="10"/>
    </row>
    <row r="2605" spans="1:4" ht="12.75">
      <c r="A2605" s="10"/>
      <c r="B2605" s="10"/>
      <c r="C2605" s="10"/>
      <c r="D2605" s="10"/>
    </row>
    <row r="2606" spans="1:4" ht="12.75">
      <c r="A2606" s="10"/>
      <c r="B2606" s="10"/>
      <c r="C2606" s="10"/>
      <c r="D2606" s="10"/>
    </row>
    <row r="2607" spans="1:4" ht="12.75">
      <c r="A2607" s="10"/>
      <c r="B2607" s="10"/>
      <c r="C2607" s="10"/>
      <c r="D2607" s="10"/>
    </row>
    <row r="2608" spans="1:4" ht="12.75">
      <c r="A2608" s="10"/>
      <c r="B2608" s="10"/>
      <c r="C2608" s="10"/>
      <c r="D2608" s="10"/>
    </row>
    <row r="2609" spans="1:4" ht="12.75">
      <c r="A2609" s="10"/>
      <c r="B2609" s="10"/>
      <c r="C2609" s="10"/>
      <c r="D2609" s="10"/>
    </row>
    <row r="2610" spans="1:4" ht="12.75">
      <c r="A2610" s="10"/>
      <c r="B2610" s="10"/>
      <c r="C2610" s="10"/>
      <c r="D2610" s="10"/>
    </row>
    <row r="2611" spans="1:4" ht="12.75">
      <c r="A2611" s="10"/>
      <c r="B2611" s="10"/>
      <c r="C2611" s="10"/>
      <c r="D2611" s="10"/>
    </row>
    <row r="2612" spans="1:4" ht="12.75">
      <c r="A2612" s="10"/>
      <c r="B2612" s="10"/>
      <c r="C2612" s="10"/>
      <c r="D2612" s="10"/>
    </row>
    <row r="2613" spans="1:4" ht="12.75">
      <c r="A2613" s="10"/>
      <c r="B2613" s="10"/>
      <c r="C2613" s="10"/>
      <c r="D2613" s="10"/>
    </row>
    <row r="2614" spans="1:4" ht="12.75">
      <c r="A2614" s="10"/>
      <c r="B2614" s="10"/>
      <c r="C2614" s="10"/>
      <c r="D2614" s="10"/>
    </row>
    <row r="2615" spans="1:4" ht="12.75">
      <c r="A2615" s="10"/>
      <c r="B2615" s="10"/>
      <c r="C2615" s="10"/>
      <c r="D2615" s="10"/>
    </row>
    <row r="2616" spans="1:4" ht="12.75">
      <c r="A2616" s="10"/>
      <c r="B2616" s="10"/>
      <c r="C2616" s="10"/>
      <c r="D2616" s="10"/>
    </row>
    <row r="2617" spans="1:4" ht="12.75">
      <c r="A2617" s="10"/>
      <c r="B2617" s="10"/>
      <c r="C2617" s="10"/>
      <c r="D2617" s="10"/>
    </row>
    <row r="2618" spans="1:4" ht="12.75">
      <c r="A2618" s="10"/>
      <c r="B2618" s="10"/>
      <c r="C2618" s="10"/>
      <c r="D2618" s="10"/>
    </row>
    <row r="2619" spans="1:4" ht="12.75">
      <c r="A2619" s="10"/>
      <c r="B2619" s="10"/>
      <c r="C2619" s="10"/>
      <c r="D2619" s="10"/>
    </row>
    <row r="2620" spans="1:4" ht="12.75">
      <c r="A2620" s="10"/>
      <c r="B2620" s="10"/>
      <c r="C2620" s="10"/>
      <c r="D2620" s="10"/>
    </row>
    <row r="2621" spans="1:4" ht="12.75">
      <c r="A2621" s="10"/>
      <c r="B2621" s="10"/>
      <c r="C2621" s="10"/>
      <c r="D2621" s="10"/>
    </row>
    <row r="2622" spans="1:4" ht="12.75">
      <c r="A2622" s="10"/>
      <c r="B2622" s="10"/>
      <c r="C2622" s="10"/>
      <c r="D2622" s="10"/>
    </row>
    <row r="2623" spans="1:4" ht="12.75">
      <c r="A2623" s="10"/>
      <c r="B2623" s="10"/>
      <c r="C2623" s="10"/>
      <c r="D2623" s="10"/>
    </row>
    <row r="2624" spans="1:4" ht="12.75">
      <c r="A2624" s="10"/>
      <c r="B2624" s="10"/>
      <c r="C2624" s="10"/>
      <c r="D2624" s="10"/>
    </row>
    <row r="2625" spans="1:4" ht="12.75">
      <c r="A2625" s="10"/>
      <c r="B2625" s="10"/>
      <c r="C2625" s="10"/>
      <c r="D2625" s="10"/>
    </row>
    <row r="2626" spans="1:4" ht="12.75">
      <c r="A2626" s="10"/>
      <c r="B2626" s="10"/>
      <c r="C2626" s="10"/>
      <c r="D2626" s="10"/>
    </row>
    <row r="2627" spans="1:4" ht="12.75">
      <c r="A2627" s="10"/>
      <c r="B2627" s="10"/>
      <c r="C2627" s="10"/>
      <c r="D2627" s="10"/>
    </row>
    <row r="2628" spans="1:4" ht="12.75">
      <c r="A2628" s="10"/>
      <c r="B2628" s="10"/>
      <c r="C2628" s="10"/>
      <c r="D2628" s="10"/>
    </row>
    <row r="2629" spans="1:4" ht="12.75">
      <c r="A2629" s="10"/>
      <c r="B2629" s="10"/>
      <c r="C2629" s="10"/>
      <c r="D2629" s="10"/>
    </row>
    <row r="2630" spans="1:4" ht="12.75">
      <c r="A2630" s="10"/>
      <c r="B2630" s="10"/>
      <c r="C2630" s="10"/>
      <c r="D2630" s="10"/>
    </row>
    <row r="2631" spans="1:4" ht="12.75">
      <c r="A2631" s="10"/>
      <c r="B2631" s="10"/>
      <c r="C2631" s="10"/>
      <c r="D2631" s="10"/>
    </row>
    <row r="2632" spans="1:4" ht="12.75">
      <c r="A2632" s="10"/>
      <c r="B2632" s="10"/>
      <c r="C2632" s="10"/>
      <c r="D2632" s="10"/>
    </row>
    <row r="2633" spans="1:4" ht="12.75">
      <c r="A2633" s="10"/>
      <c r="B2633" s="10"/>
      <c r="C2633" s="10"/>
      <c r="D2633" s="10"/>
    </row>
    <row r="2634" spans="1:4" ht="12.75">
      <c r="A2634" s="10"/>
      <c r="B2634" s="10"/>
      <c r="C2634" s="10"/>
      <c r="D2634" s="10"/>
    </row>
    <row r="2635" spans="1:4" ht="12.75">
      <c r="A2635" s="10"/>
      <c r="B2635" s="10"/>
      <c r="C2635" s="10"/>
      <c r="D2635" s="10"/>
    </row>
    <row r="2636" spans="1:4" ht="12.75">
      <c r="A2636" s="10"/>
      <c r="B2636" s="10"/>
      <c r="C2636" s="10"/>
      <c r="D2636" s="10"/>
    </row>
    <row r="2637" spans="1:4" ht="12.75">
      <c r="A2637" s="10"/>
      <c r="B2637" s="10"/>
      <c r="C2637" s="10"/>
      <c r="D2637" s="10"/>
    </row>
    <row r="2638" spans="1:4" ht="12.75">
      <c r="A2638" s="10"/>
      <c r="B2638" s="10"/>
      <c r="C2638" s="10"/>
      <c r="D2638" s="10"/>
    </row>
    <row r="2639" spans="1:4" ht="12.75">
      <c r="A2639" s="10"/>
      <c r="B2639" s="10"/>
      <c r="C2639" s="10"/>
      <c r="D2639" s="10"/>
    </row>
    <row r="2640" spans="1:4" ht="12.75">
      <c r="A2640" s="10"/>
      <c r="B2640" s="10"/>
      <c r="C2640" s="10"/>
      <c r="D2640" s="10"/>
    </row>
    <row r="2641" spans="1:4" ht="12.75">
      <c r="A2641" s="10"/>
      <c r="B2641" s="10"/>
      <c r="C2641" s="10"/>
      <c r="D2641" s="10"/>
    </row>
    <row r="2642" spans="1:4" ht="12.75">
      <c r="A2642" s="10"/>
      <c r="B2642" s="10"/>
      <c r="C2642" s="10"/>
      <c r="D2642" s="10"/>
    </row>
    <row r="2643" spans="1:4" ht="12.75">
      <c r="A2643" s="10"/>
      <c r="B2643" s="10"/>
      <c r="C2643" s="10"/>
      <c r="D2643" s="10"/>
    </row>
    <row r="2644" spans="1:4" ht="12.75">
      <c r="A2644" s="10"/>
      <c r="B2644" s="10"/>
      <c r="C2644" s="10"/>
      <c r="D2644" s="10"/>
    </row>
    <row r="2645" spans="1:4" ht="12.75">
      <c r="A2645" s="10"/>
      <c r="B2645" s="10"/>
      <c r="C2645" s="10"/>
      <c r="D2645" s="10"/>
    </row>
    <row r="2646" spans="1:4" ht="12.75">
      <c r="A2646" s="10"/>
      <c r="B2646" s="10"/>
      <c r="C2646" s="10"/>
      <c r="D2646" s="10"/>
    </row>
    <row r="2647" spans="1:4" ht="12.75">
      <c r="A2647" s="10"/>
      <c r="B2647" s="10"/>
      <c r="C2647" s="10"/>
      <c r="D2647" s="10"/>
    </row>
    <row r="2648" spans="1:4" ht="12.75">
      <c r="A2648" s="10"/>
      <c r="B2648" s="10"/>
      <c r="C2648" s="10"/>
      <c r="D2648" s="10"/>
    </row>
    <row r="2649" spans="1:4" ht="12.75">
      <c r="A2649" s="10"/>
      <c r="B2649" s="10"/>
      <c r="C2649" s="10"/>
      <c r="D2649" s="10"/>
    </row>
    <row r="2650" spans="1:4" ht="12.75">
      <c r="A2650" s="10"/>
      <c r="B2650" s="10"/>
      <c r="C2650" s="10"/>
      <c r="D2650" s="10"/>
    </row>
    <row r="2651" spans="1:4" ht="12.75">
      <c r="A2651" s="10"/>
      <c r="B2651" s="10"/>
      <c r="C2651" s="10"/>
      <c r="D2651" s="10"/>
    </row>
    <row r="2652" spans="1:4" ht="12.75">
      <c r="A2652" s="10"/>
      <c r="B2652" s="10"/>
      <c r="C2652" s="10"/>
      <c r="D2652" s="10"/>
    </row>
    <row r="2653" spans="1:4" ht="12.75">
      <c r="A2653" s="10"/>
      <c r="B2653" s="10"/>
      <c r="C2653" s="10"/>
      <c r="D2653" s="10"/>
    </row>
    <row r="2654" spans="1:4" ht="12.75">
      <c r="A2654" s="10"/>
      <c r="B2654" s="10"/>
      <c r="C2654" s="10"/>
      <c r="D2654" s="10"/>
    </row>
    <row r="2655" spans="1:4" ht="12.75">
      <c r="A2655" s="10"/>
      <c r="B2655" s="10"/>
      <c r="C2655" s="10"/>
      <c r="D2655" s="10"/>
    </row>
    <row r="2656" spans="1:4" ht="12.75">
      <c r="A2656" s="10"/>
      <c r="B2656" s="10"/>
      <c r="C2656" s="10"/>
      <c r="D2656" s="10"/>
    </row>
    <row r="2657" spans="1:4" ht="12.75">
      <c r="A2657" s="10"/>
      <c r="B2657" s="10"/>
      <c r="C2657" s="10"/>
      <c r="D2657" s="10"/>
    </row>
    <row r="2658" spans="1:4" ht="12.75">
      <c r="A2658" s="10"/>
      <c r="B2658" s="10"/>
      <c r="C2658" s="10"/>
      <c r="D2658" s="10"/>
    </row>
    <row r="2659" spans="1:4" ht="12.75">
      <c r="A2659" s="10"/>
      <c r="B2659" s="10"/>
      <c r="C2659" s="10"/>
      <c r="D2659" s="10"/>
    </row>
    <row r="2660" spans="1:4" ht="12.75">
      <c r="A2660" s="10"/>
      <c r="B2660" s="10"/>
      <c r="C2660" s="10"/>
      <c r="D2660" s="10"/>
    </row>
    <row r="2661" spans="1:4" ht="12.75">
      <c r="A2661" s="10"/>
      <c r="B2661" s="10"/>
      <c r="C2661" s="10"/>
      <c r="D2661" s="10"/>
    </row>
    <row r="2662" spans="1:4" ht="12.75">
      <c r="A2662" s="10"/>
      <c r="B2662" s="10"/>
      <c r="C2662" s="10"/>
      <c r="D2662" s="10"/>
    </row>
    <row r="2663" spans="1:4" ht="12.75">
      <c r="A2663" s="10"/>
      <c r="B2663" s="10"/>
      <c r="C2663" s="10"/>
      <c r="D2663" s="10"/>
    </row>
    <row r="2664" spans="1:4" ht="12.75">
      <c r="A2664" s="10"/>
      <c r="B2664" s="10"/>
      <c r="C2664" s="10"/>
      <c r="D2664" s="10"/>
    </row>
    <row r="2665" spans="1:4" ht="12.75">
      <c r="A2665" s="10"/>
      <c r="B2665" s="10"/>
      <c r="C2665" s="10"/>
      <c r="D2665" s="10"/>
    </row>
    <row r="2666" spans="1:4" ht="12.75">
      <c r="A2666" s="10"/>
      <c r="B2666" s="10"/>
      <c r="C2666" s="10"/>
      <c r="D2666" s="10"/>
    </row>
    <row r="2667" spans="1:4" ht="12.75">
      <c r="A2667" s="10"/>
      <c r="B2667" s="10"/>
      <c r="C2667" s="10"/>
      <c r="D2667" s="10"/>
    </row>
    <row r="2668" spans="1:4" ht="12.75">
      <c r="A2668" s="10"/>
      <c r="B2668" s="10"/>
      <c r="C2668" s="10"/>
      <c r="D2668" s="10"/>
    </row>
    <row r="2669" spans="1:4" ht="12.75">
      <c r="A2669" s="10"/>
      <c r="B2669" s="10"/>
      <c r="C2669" s="10"/>
      <c r="D2669" s="10"/>
    </row>
    <row r="2670" spans="1:4" ht="12.75">
      <c r="A2670" s="10"/>
      <c r="B2670" s="10"/>
      <c r="C2670" s="10"/>
      <c r="D2670" s="10"/>
    </row>
    <row r="2671" spans="1:4" ht="12.75">
      <c r="A2671" s="10"/>
      <c r="B2671" s="10"/>
      <c r="C2671" s="10"/>
      <c r="D2671" s="10"/>
    </row>
    <row r="2672" spans="1:4" ht="12.75">
      <c r="A2672" s="10"/>
      <c r="B2672" s="10"/>
      <c r="C2672" s="10"/>
      <c r="D2672" s="10"/>
    </row>
    <row r="2673" spans="1:4" ht="12.75">
      <c r="A2673" s="10"/>
      <c r="B2673" s="10"/>
      <c r="C2673" s="10"/>
      <c r="D2673" s="10"/>
    </row>
    <row r="2674" spans="1:4" ht="12.75">
      <c r="A2674" s="10"/>
      <c r="B2674" s="10"/>
      <c r="C2674" s="10"/>
      <c r="D2674" s="10"/>
    </row>
    <row r="2675" spans="1:4" ht="12.75">
      <c r="A2675" s="10"/>
      <c r="B2675" s="10"/>
      <c r="C2675" s="10"/>
      <c r="D2675" s="10"/>
    </row>
    <row r="2676" spans="1:4" ht="12.75">
      <c r="A2676" s="10"/>
      <c r="B2676" s="10"/>
      <c r="C2676" s="10"/>
      <c r="D2676" s="10"/>
    </row>
    <row r="2677" spans="1:4" ht="12.75">
      <c r="A2677" s="10"/>
      <c r="B2677" s="10"/>
      <c r="C2677" s="10"/>
      <c r="D2677" s="10"/>
    </row>
    <row r="2678" spans="1:4" ht="12.75">
      <c r="A2678" s="10"/>
      <c r="B2678" s="10"/>
      <c r="C2678" s="10"/>
      <c r="D2678" s="10"/>
    </row>
    <row r="2679" spans="1:4" ht="12.75">
      <c r="A2679" s="10"/>
      <c r="B2679" s="10"/>
      <c r="C2679" s="10"/>
      <c r="D2679" s="10"/>
    </row>
    <row r="2680" spans="1:4" ht="12.75">
      <c r="A2680" s="10"/>
      <c r="B2680" s="10"/>
      <c r="C2680" s="10"/>
      <c r="D2680" s="10"/>
    </row>
    <row r="2681" spans="1:4" ht="12.75">
      <c r="A2681" s="10"/>
      <c r="B2681" s="10"/>
      <c r="C2681" s="10"/>
      <c r="D2681" s="10"/>
    </row>
    <row r="2682" spans="1:4" ht="12.75">
      <c r="A2682" s="10"/>
      <c r="B2682" s="10"/>
      <c r="C2682" s="10"/>
      <c r="D2682" s="10"/>
    </row>
    <row r="2683" spans="1:4" ht="12.75">
      <c r="A2683" s="10"/>
      <c r="B2683" s="10"/>
      <c r="C2683" s="10"/>
      <c r="D2683" s="10"/>
    </row>
    <row r="2684" spans="1:4" ht="12.75">
      <c r="A2684" s="10"/>
      <c r="B2684" s="10"/>
      <c r="C2684" s="10"/>
      <c r="D2684" s="10"/>
    </row>
    <row r="2685" spans="1:4" ht="12.75">
      <c r="A2685" s="10"/>
      <c r="B2685" s="10"/>
      <c r="C2685" s="10"/>
      <c r="D2685" s="10"/>
    </row>
    <row r="2686" spans="1:4" ht="12.75">
      <c r="A2686" s="10"/>
      <c r="B2686" s="10"/>
      <c r="C2686" s="10"/>
      <c r="D2686" s="10"/>
    </row>
    <row r="2687" spans="1:4" ht="12.75">
      <c r="A2687" s="10"/>
      <c r="B2687" s="10"/>
      <c r="C2687" s="10"/>
      <c r="D2687" s="10"/>
    </row>
    <row r="2688" spans="1:4" ht="12.75">
      <c r="A2688" s="10"/>
      <c r="B2688" s="10"/>
      <c r="C2688" s="10"/>
      <c r="D2688" s="10"/>
    </row>
    <row r="2689" spans="1:4" ht="12.75">
      <c r="A2689" s="10"/>
      <c r="B2689" s="10"/>
      <c r="C2689" s="10"/>
      <c r="D2689" s="10"/>
    </row>
    <row r="2690" spans="1:4" ht="12.75">
      <c r="A2690" s="10"/>
      <c r="B2690" s="10"/>
      <c r="C2690" s="10"/>
      <c r="D2690" s="10"/>
    </row>
    <row r="2691" spans="1:4" ht="12.75">
      <c r="A2691" s="10"/>
      <c r="B2691" s="10"/>
      <c r="C2691" s="10"/>
      <c r="D2691" s="10"/>
    </row>
    <row r="2692" spans="1:4" ht="12.75">
      <c r="A2692" s="10"/>
      <c r="B2692" s="10"/>
      <c r="C2692" s="10"/>
      <c r="D2692" s="10"/>
    </row>
    <row r="2693" spans="1:4" ht="12.75">
      <c r="A2693" s="10"/>
      <c r="B2693" s="10"/>
      <c r="C2693" s="10"/>
      <c r="D2693" s="10"/>
    </row>
    <row r="2694" spans="1:4" ht="12.75">
      <c r="A2694" s="10"/>
      <c r="B2694" s="10"/>
      <c r="C2694" s="10"/>
      <c r="D2694" s="10"/>
    </row>
    <row r="2695" spans="1:4" ht="12.75">
      <c r="A2695" s="10"/>
      <c r="B2695" s="10"/>
      <c r="C2695" s="10"/>
      <c r="D2695" s="10"/>
    </row>
    <row r="2696" spans="1:4" ht="12.75">
      <c r="A2696" s="10"/>
      <c r="B2696" s="10"/>
      <c r="C2696" s="10"/>
      <c r="D2696" s="10"/>
    </row>
    <row r="2697" spans="1:4" ht="12.75">
      <c r="A2697" s="10"/>
      <c r="B2697" s="10"/>
      <c r="C2697" s="10"/>
      <c r="D2697" s="10"/>
    </row>
    <row r="2698" spans="1:4" ht="12.75">
      <c r="A2698" s="10"/>
      <c r="B2698" s="10"/>
      <c r="C2698" s="10"/>
      <c r="D2698" s="10"/>
    </row>
    <row r="2699" spans="1:4" ht="12.75">
      <c r="A2699" s="10"/>
      <c r="B2699" s="10"/>
      <c r="C2699" s="10"/>
      <c r="D2699" s="10"/>
    </row>
    <row r="2700" spans="1:4" ht="12.75">
      <c r="A2700" s="10"/>
      <c r="B2700" s="10"/>
      <c r="C2700" s="10"/>
      <c r="D2700" s="10"/>
    </row>
    <row r="2701" spans="1:4" ht="12.75">
      <c r="A2701" s="10"/>
      <c r="B2701" s="10"/>
      <c r="C2701" s="10"/>
      <c r="D2701" s="10"/>
    </row>
    <row r="2702" spans="1:4" ht="12.75">
      <c r="A2702" s="10"/>
      <c r="B2702" s="10"/>
      <c r="C2702" s="10"/>
      <c r="D2702" s="10"/>
    </row>
    <row r="2703" spans="1:4" ht="12.75">
      <c r="A2703" s="10"/>
      <c r="B2703" s="10"/>
      <c r="C2703" s="10"/>
      <c r="D2703" s="10"/>
    </row>
    <row r="2704" spans="1:4" ht="12.75">
      <c r="A2704" s="10"/>
      <c r="B2704" s="10"/>
      <c r="C2704" s="10"/>
      <c r="D2704" s="10"/>
    </row>
    <row r="2705" spans="1:4" ht="12.75">
      <c r="A2705" s="10"/>
      <c r="B2705" s="10"/>
      <c r="C2705" s="10"/>
      <c r="D2705" s="10"/>
    </row>
    <row r="2706" spans="1:4" ht="12.75">
      <c r="A2706" s="10"/>
      <c r="B2706" s="10"/>
      <c r="C2706" s="10"/>
      <c r="D2706" s="10"/>
    </row>
    <row r="2707" spans="1:4" ht="12.75">
      <c r="A2707" s="10"/>
      <c r="B2707" s="10"/>
      <c r="C2707" s="10"/>
      <c r="D2707" s="10"/>
    </row>
    <row r="2708" spans="1:4" ht="12.75">
      <c r="A2708" s="10"/>
      <c r="B2708" s="10"/>
      <c r="C2708" s="10"/>
      <c r="D2708" s="10"/>
    </row>
    <row r="2709" spans="1:4" ht="12.75">
      <c r="A2709" s="10"/>
      <c r="B2709" s="10"/>
      <c r="C2709" s="10"/>
      <c r="D2709" s="10"/>
    </row>
    <row r="2710" spans="1:4" ht="12.75">
      <c r="A2710" s="10"/>
      <c r="B2710" s="10"/>
      <c r="C2710" s="10"/>
      <c r="D2710" s="10"/>
    </row>
    <row r="2711" spans="1:4" ht="12.75">
      <c r="A2711" s="10"/>
      <c r="B2711" s="10"/>
      <c r="C2711" s="10"/>
      <c r="D2711" s="10"/>
    </row>
    <row r="2712" spans="1:4" ht="12.75">
      <c r="A2712" s="10"/>
      <c r="B2712" s="10"/>
      <c r="C2712" s="10"/>
      <c r="D2712" s="10"/>
    </row>
    <row r="2713" spans="1:4" ht="12.75">
      <c r="A2713" s="10"/>
      <c r="B2713" s="10"/>
      <c r="C2713" s="10"/>
      <c r="D2713" s="10"/>
    </row>
    <row r="2714" spans="1:4" ht="12.75">
      <c r="A2714" s="10"/>
      <c r="B2714" s="10"/>
      <c r="C2714" s="10"/>
      <c r="D2714" s="10"/>
    </row>
    <row r="2715" spans="1:4" ht="12.75">
      <c r="A2715" s="10"/>
      <c r="B2715" s="10"/>
      <c r="C2715" s="10"/>
      <c r="D2715" s="10"/>
    </row>
    <row r="2716" spans="1:4" ht="12.75">
      <c r="A2716" s="10"/>
      <c r="B2716" s="10"/>
      <c r="C2716" s="10"/>
      <c r="D2716" s="10"/>
    </row>
    <row r="2717" spans="1:4" ht="12.75">
      <c r="A2717" s="10"/>
      <c r="B2717" s="10"/>
      <c r="C2717" s="10"/>
      <c r="D2717" s="10"/>
    </row>
    <row r="2718" spans="1:4" ht="12.75">
      <c r="A2718" s="10"/>
      <c r="B2718" s="10"/>
      <c r="C2718" s="10"/>
      <c r="D2718" s="10"/>
    </row>
    <row r="2719" spans="1:4" ht="12.75">
      <c r="A2719" s="10"/>
      <c r="B2719" s="10"/>
      <c r="C2719" s="10"/>
      <c r="D2719" s="10"/>
    </row>
    <row r="2720" spans="1:4" ht="12.75">
      <c r="A2720" s="10"/>
      <c r="B2720" s="10"/>
      <c r="C2720" s="10"/>
      <c r="D2720" s="10"/>
    </row>
    <row r="2721" spans="1:4" ht="12.75">
      <c r="A2721" s="10"/>
      <c r="B2721" s="10"/>
      <c r="C2721" s="10"/>
      <c r="D2721" s="10"/>
    </row>
    <row r="2722" spans="1:4" ht="12.75">
      <c r="A2722" s="10"/>
      <c r="B2722" s="10"/>
      <c r="C2722" s="10"/>
      <c r="D2722" s="10"/>
    </row>
    <row r="2723" spans="1:4" ht="12.75">
      <c r="A2723" s="10"/>
      <c r="B2723" s="10"/>
      <c r="C2723" s="10"/>
      <c r="D2723" s="10"/>
    </row>
    <row r="2724" spans="1:4" ht="12.75">
      <c r="A2724" s="10"/>
      <c r="B2724" s="10"/>
      <c r="C2724" s="10"/>
      <c r="D2724" s="10"/>
    </row>
    <row r="2725" spans="1:4" ht="12.75">
      <c r="A2725" s="10"/>
      <c r="B2725" s="10"/>
      <c r="C2725" s="10"/>
      <c r="D2725" s="10"/>
    </row>
    <row r="2726" spans="1:4" ht="12.75">
      <c r="A2726" s="10"/>
      <c r="B2726" s="10"/>
      <c r="C2726" s="10"/>
      <c r="D2726" s="10"/>
    </row>
    <row r="2727" spans="1:4" ht="12.75">
      <c r="A2727" s="10"/>
      <c r="B2727" s="10"/>
      <c r="C2727" s="10"/>
      <c r="D2727" s="10"/>
    </row>
    <row r="2728" spans="1:4" ht="12.75">
      <c r="A2728" s="10"/>
      <c r="B2728" s="10"/>
      <c r="C2728" s="10"/>
      <c r="D2728" s="10"/>
    </row>
    <row r="2729" spans="1:4" ht="12.75">
      <c r="A2729" s="10"/>
      <c r="B2729" s="10"/>
      <c r="C2729" s="10"/>
      <c r="D2729" s="10"/>
    </row>
    <row r="2730" spans="1:4" ht="12.75">
      <c r="A2730" s="10"/>
      <c r="B2730" s="10"/>
      <c r="C2730" s="10"/>
      <c r="D2730" s="10"/>
    </row>
    <row r="2731" spans="1:4" ht="12.75">
      <c r="A2731" s="10"/>
      <c r="B2731" s="10"/>
      <c r="C2731" s="10"/>
      <c r="D2731" s="10"/>
    </row>
    <row r="2732" spans="1:4" ht="12.75">
      <c r="A2732" s="10"/>
      <c r="B2732" s="10"/>
      <c r="C2732" s="10"/>
      <c r="D2732" s="10"/>
    </row>
    <row r="2733" spans="1:4" ht="12.75">
      <c r="A2733" s="10"/>
      <c r="B2733" s="10"/>
      <c r="C2733" s="10"/>
      <c r="D2733" s="10"/>
    </row>
    <row r="2734" spans="1:4" ht="12.75">
      <c r="A2734" s="10"/>
      <c r="B2734" s="10"/>
      <c r="C2734" s="10"/>
      <c r="D2734" s="10"/>
    </row>
    <row r="2735" spans="1:4" ht="12.75">
      <c r="A2735" s="10"/>
      <c r="B2735" s="10"/>
      <c r="C2735" s="10"/>
      <c r="D2735" s="10"/>
    </row>
    <row r="2736" spans="1:4" ht="12.75">
      <c r="A2736" s="10"/>
      <c r="B2736" s="10"/>
      <c r="C2736" s="10"/>
      <c r="D2736" s="10"/>
    </row>
    <row r="2737" spans="1:4" ht="12.75">
      <c r="A2737" s="10"/>
      <c r="B2737" s="10"/>
      <c r="C2737" s="10"/>
      <c r="D2737" s="10"/>
    </row>
    <row r="2738" spans="1:4" ht="12.75">
      <c r="A2738" s="10"/>
      <c r="B2738" s="10"/>
      <c r="C2738" s="10"/>
      <c r="D2738" s="10"/>
    </row>
    <row r="2739" spans="1:4" ht="12.75">
      <c r="A2739" s="10"/>
      <c r="B2739" s="10"/>
      <c r="C2739" s="10"/>
      <c r="D2739" s="10"/>
    </row>
    <row r="2740" spans="1:4" ht="12.75">
      <c r="A2740" s="10"/>
      <c r="B2740" s="10"/>
      <c r="C2740" s="10"/>
      <c r="D2740" s="10"/>
    </row>
    <row r="2741" spans="1:4" ht="12.75">
      <c r="A2741" s="10"/>
      <c r="B2741" s="10"/>
      <c r="C2741" s="10"/>
      <c r="D2741" s="10"/>
    </row>
    <row r="2742" spans="1:4" ht="12.75">
      <c r="A2742" s="10"/>
      <c r="B2742" s="10"/>
      <c r="C2742" s="10"/>
      <c r="D2742" s="10"/>
    </row>
    <row r="2743" spans="1:4" ht="12.75">
      <c r="A2743" s="10"/>
      <c r="B2743" s="10"/>
      <c r="C2743" s="10"/>
      <c r="D2743" s="10"/>
    </row>
    <row r="2744" spans="1:4" ht="12.75">
      <c r="A2744" s="10"/>
      <c r="B2744" s="10"/>
      <c r="C2744" s="10"/>
      <c r="D2744" s="10"/>
    </row>
    <row r="2745" spans="1:4" ht="12.75">
      <c r="A2745" s="10"/>
      <c r="B2745" s="10"/>
      <c r="C2745" s="10"/>
      <c r="D2745" s="10"/>
    </row>
    <row r="2746" spans="1:4" ht="12.75">
      <c r="A2746" s="10"/>
      <c r="B2746" s="10"/>
      <c r="C2746" s="10"/>
      <c r="D2746" s="10"/>
    </row>
    <row r="2747" spans="1:4" ht="12.75">
      <c r="A2747" s="10"/>
      <c r="B2747" s="10"/>
      <c r="C2747" s="10"/>
      <c r="D2747" s="10"/>
    </row>
    <row r="2748" spans="1:4" ht="12.75">
      <c r="A2748" s="10"/>
      <c r="B2748" s="10"/>
      <c r="C2748" s="10"/>
      <c r="D2748" s="10"/>
    </row>
    <row r="2749" spans="1:4" ht="12.75">
      <c r="A2749" s="10"/>
      <c r="B2749" s="10"/>
      <c r="C2749" s="10"/>
      <c r="D2749" s="10"/>
    </row>
    <row r="2750" spans="1:4" ht="12.75">
      <c r="A2750" s="10"/>
      <c r="B2750" s="10"/>
      <c r="C2750" s="10"/>
      <c r="D2750" s="10"/>
    </row>
    <row r="2751" spans="1:4" ht="12.75">
      <c r="A2751" s="10"/>
      <c r="B2751" s="10"/>
      <c r="C2751" s="10"/>
      <c r="D2751" s="10"/>
    </row>
    <row r="2752" spans="1:4" ht="12.75">
      <c r="A2752" s="10"/>
      <c r="B2752" s="10"/>
      <c r="C2752" s="10"/>
      <c r="D2752" s="10"/>
    </row>
    <row r="2753" spans="1:4" ht="12.75">
      <c r="A2753" s="10"/>
      <c r="B2753" s="10"/>
      <c r="C2753" s="10"/>
      <c r="D2753" s="10"/>
    </row>
    <row r="2754" spans="1:4" ht="12.75">
      <c r="A2754" s="10"/>
      <c r="B2754" s="10"/>
      <c r="C2754" s="10"/>
      <c r="D2754" s="10"/>
    </row>
    <row r="2755" spans="1:4" ht="12.75">
      <c r="A2755" s="10"/>
      <c r="B2755" s="10"/>
      <c r="C2755" s="10"/>
      <c r="D2755" s="10"/>
    </row>
    <row r="2756" spans="1:4" ht="12.75">
      <c r="A2756" s="10"/>
      <c r="B2756" s="10"/>
      <c r="C2756" s="10"/>
      <c r="D2756" s="10"/>
    </row>
    <row r="2757" spans="1:4" ht="12.75">
      <c r="A2757" s="10"/>
      <c r="B2757" s="10"/>
      <c r="C2757" s="10"/>
      <c r="D2757" s="10"/>
    </row>
    <row r="2758" spans="1:4" ht="12.75">
      <c r="A2758" s="10"/>
      <c r="B2758" s="10"/>
      <c r="C2758" s="10"/>
      <c r="D2758" s="10"/>
    </row>
    <row r="2759" spans="1:4" ht="12.75">
      <c r="A2759" s="10"/>
      <c r="B2759" s="10"/>
      <c r="C2759" s="10"/>
      <c r="D2759" s="10"/>
    </row>
    <row r="2760" spans="1:4" ht="12.75">
      <c r="A2760" s="10"/>
      <c r="B2760" s="10"/>
      <c r="C2760" s="10"/>
      <c r="D2760" s="10"/>
    </row>
    <row r="2761" spans="1:4" ht="12.75">
      <c r="A2761" s="10"/>
      <c r="B2761" s="10"/>
      <c r="C2761" s="10"/>
      <c r="D2761" s="10"/>
    </row>
    <row r="2762" spans="1:4" ht="12.75">
      <c r="A2762" s="10"/>
      <c r="B2762" s="10"/>
      <c r="C2762" s="10"/>
      <c r="D2762" s="10"/>
    </row>
    <row r="2763" spans="1:4" ht="12.75">
      <c r="A2763" s="10"/>
      <c r="B2763" s="10"/>
      <c r="C2763" s="10"/>
      <c r="D2763" s="10"/>
    </row>
    <row r="2764" spans="1:4" ht="12.75">
      <c r="A2764" s="10"/>
      <c r="B2764" s="10"/>
      <c r="C2764" s="10"/>
      <c r="D2764" s="10"/>
    </row>
    <row r="2765" spans="1:4" ht="12.75">
      <c r="A2765" s="10"/>
      <c r="B2765" s="10"/>
      <c r="C2765" s="10"/>
      <c r="D2765" s="10"/>
    </row>
    <row r="2766" spans="1:4" ht="12.75">
      <c r="A2766" s="10"/>
      <c r="B2766" s="10"/>
      <c r="C2766" s="10"/>
      <c r="D2766" s="10"/>
    </row>
    <row r="2767" spans="1:4" ht="12.75">
      <c r="A2767" s="10"/>
      <c r="B2767" s="10"/>
      <c r="C2767" s="10"/>
      <c r="D2767" s="10"/>
    </row>
    <row r="2768" spans="1:4" ht="12.75">
      <c r="A2768" s="10"/>
      <c r="B2768" s="10"/>
      <c r="C2768" s="10"/>
      <c r="D2768" s="10"/>
    </row>
    <row r="2769" spans="1:4" ht="12.75">
      <c r="A2769" s="10"/>
      <c r="B2769" s="10"/>
      <c r="C2769" s="10"/>
      <c r="D2769" s="10"/>
    </row>
    <row r="2770" spans="1:4" ht="12.75">
      <c r="A2770" s="10"/>
      <c r="B2770" s="10"/>
      <c r="C2770" s="10"/>
      <c r="D2770" s="10"/>
    </row>
    <row r="2771" spans="1:4" ht="12.75">
      <c r="A2771" s="10"/>
      <c r="B2771" s="10"/>
      <c r="C2771" s="10"/>
      <c r="D2771" s="10"/>
    </row>
    <row r="2772" spans="1:4" ht="12.75">
      <c r="A2772" s="10"/>
      <c r="B2772" s="10"/>
      <c r="C2772" s="10"/>
      <c r="D2772" s="10"/>
    </row>
    <row r="2773" spans="1:4" ht="12.75">
      <c r="A2773" s="10"/>
      <c r="B2773" s="10"/>
      <c r="C2773" s="10"/>
      <c r="D2773" s="10"/>
    </row>
    <row r="2774" spans="1:4" ht="12.75">
      <c r="A2774" s="10"/>
      <c r="B2774" s="10"/>
      <c r="C2774" s="10"/>
      <c r="D2774" s="10"/>
    </row>
    <row r="2775" spans="1:4" ht="12.75">
      <c r="A2775" s="10"/>
      <c r="B2775" s="10"/>
      <c r="C2775" s="10"/>
      <c r="D2775" s="10"/>
    </row>
    <row r="2776" spans="1:4" ht="12.75">
      <c r="A2776" s="10"/>
      <c r="B2776" s="10"/>
      <c r="C2776" s="10"/>
      <c r="D2776" s="10"/>
    </row>
    <row r="2777" spans="1:4" ht="12.75">
      <c r="A2777" s="10"/>
      <c r="B2777" s="10"/>
      <c r="C2777" s="10"/>
      <c r="D2777" s="10"/>
    </row>
    <row r="2778" spans="1:4" ht="12.75">
      <c r="A2778" s="10"/>
      <c r="B2778" s="10"/>
      <c r="C2778" s="10"/>
      <c r="D2778" s="10"/>
    </row>
    <row r="2779" spans="1:4" ht="12.75">
      <c r="A2779" s="10"/>
      <c r="B2779" s="10"/>
      <c r="C2779" s="10"/>
      <c r="D2779" s="10"/>
    </row>
    <row r="2780" spans="1:4" ht="12.75">
      <c r="A2780" s="10"/>
      <c r="B2780" s="10"/>
      <c r="C2780" s="10"/>
      <c r="D2780" s="10"/>
    </row>
    <row r="2781" spans="1:4" ht="12.75">
      <c r="A2781" s="10"/>
      <c r="B2781" s="10"/>
      <c r="C2781" s="10"/>
      <c r="D2781" s="10"/>
    </row>
    <row r="2782" spans="1:4" ht="12.75">
      <c r="A2782" s="10"/>
      <c r="B2782" s="10"/>
      <c r="C2782" s="10"/>
      <c r="D2782" s="10"/>
    </row>
    <row r="2783" spans="1:4" ht="12.75">
      <c r="A2783" s="10"/>
      <c r="B2783" s="10"/>
      <c r="C2783" s="10"/>
      <c r="D2783" s="10"/>
    </row>
    <row r="2784" spans="1:4" ht="12.75">
      <c r="A2784" s="10"/>
      <c r="B2784" s="10"/>
      <c r="C2784" s="10"/>
      <c r="D2784" s="10"/>
    </row>
    <row r="2785" spans="1:4" ht="12.75">
      <c r="A2785" s="10"/>
      <c r="B2785" s="10"/>
      <c r="C2785" s="10"/>
      <c r="D2785" s="10"/>
    </row>
    <row r="2786" spans="1:4" ht="12.75">
      <c r="A2786" s="10"/>
      <c r="B2786" s="10"/>
      <c r="C2786" s="10"/>
      <c r="D2786" s="10"/>
    </row>
    <row r="2787" spans="1:4" ht="12.75">
      <c r="A2787" s="10"/>
      <c r="B2787" s="10"/>
      <c r="C2787" s="10"/>
      <c r="D2787" s="10"/>
    </row>
    <row r="2788" spans="1:4" ht="12.75">
      <c r="A2788" s="10"/>
      <c r="B2788" s="10"/>
      <c r="C2788" s="10"/>
      <c r="D2788" s="10"/>
    </row>
    <row r="2789" spans="1:4" ht="12.75">
      <c r="A2789" s="10"/>
      <c r="B2789" s="10"/>
      <c r="C2789" s="10"/>
      <c r="D2789" s="10"/>
    </row>
    <row r="2790" spans="1:4" ht="12.75">
      <c r="A2790" s="10"/>
      <c r="B2790" s="10"/>
      <c r="C2790" s="10"/>
      <c r="D2790" s="10"/>
    </row>
    <row r="2791" spans="1:4" ht="12.75">
      <c r="A2791" s="10"/>
      <c r="B2791" s="10"/>
      <c r="C2791" s="10"/>
      <c r="D2791" s="10"/>
    </row>
    <row r="2792" spans="1:4" ht="12.75">
      <c r="A2792" s="10"/>
      <c r="B2792" s="10"/>
      <c r="C2792" s="10"/>
      <c r="D2792" s="10"/>
    </row>
    <row r="2793" spans="1:4" ht="12.75">
      <c r="A2793" s="10"/>
      <c r="B2793" s="10"/>
      <c r="C2793" s="10"/>
      <c r="D2793" s="10"/>
    </row>
    <row r="2794" spans="1:4" ht="12.75">
      <c r="A2794" s="10"/>
      <c r="B2794" s="10"/>
      <c r="C2794" s="10"/>
      <c r="D2794" s="10"/>
    </row>
    <row r="2795" spans="1:4" ht="12.75">
      <c r="A2795" s="10"/>
      <c r="B2795" s="10"/>
      <c r="C2795" s="10"/>
      <c r="D2795" s="10"/>
    </row>
    <row r="2796" spans="1:4" ht="12.75">
      <c r="A2796" s="10"/>
      <c r="B2796" s="10"/>
      <c r="C2796" s="10"/>
      <c r="D2796" s="10"/>
    </row>
    <row r="2797" spans="1:4" ht="12.75">
      <c r="A2797" s="10"/>
      <c r="B2797" s="10"/>
      <c r="C2797" s="10"/>
      <c r="D2797" s="10"/>
    </row>
    <row r="2798" spans="1:4" ht="12.75">
      <c r="A2798" s="10"/>
      <c r="B2798" s="10"/>
      <c r="C2798" s="10"/>
      <c r="D2798" s="10"/>
    </row>
    <row r="2799" spans="1:4" ht="12.75">
      <c r="A2799" s="10"/>
      <c r="B2799" s="10"/>
      <c r="C2799" s="10"/>
      <c r="D2799" s="10"/>
    </row>
    <row r="2800" spans="1:4" ht="12.75">
      <c r="A2800" s="10"/>
      <c r="B2800" s="10"/>
      <c r="C2800" s="10"/>
      <c r="D2800" s="10"/>
    </row>
    <row r="2801" spans="1:4" ht="12.75">
      <c r="A2801" s="10"/>
      <c r="B2801" s="10"/>
      <c r="C2801" s="10"/>
      <c r="D2801" s="10"/>
    </row>
    <row r="2802" spans="1:4" ht="12.75">
      <c r="A2802" s="10"/>
      <c r="B2802" s="10"/>
      <c r="C2802" s="10"/>
      <c r="D2802" s="10"/>
    </row>
    <row r="2803" spans="1:4" ht="12.75">
      <c r="A2803" s="10"/>
      <c r="B2803" s="10"/>
      <c r="C2803" s="10"/>
      <c r="D2803" s="10"/>
    </row>
    <row r="2804" spans="1:4" ht="12.75">
      <c r="A2804" s="10"/>
      <c r="B2804" s="10"/>
      <c r="C2804" s="10"/>
      <c r="D2804" s="10"/>
    </row>
    <row r="2805" spans="1:4" ht="12.75">
      <c r="A2805" s="10"/>
      <c r="B2805" s="10"/>
      <c r="C2805" s="10"/>
      <c r="D2805" s="10"/>
    </row>
    <row r="2806" spans="1:4" ht="12.75">
      <c r="A2806" s="10"/>
      <c r="B2806" s="10"/>
      <c r="C2806" s="10"/>
      <c r="D2806" s="10"/>
    </row>
    <row r="2807" spans="1:4" ht="12.75">
      <c r="A2807" s="10"/>
      <c r="B2807" s="10"/>
      <c r="C2807" s="10"/>
      <c r="D2807" s="10"/>
    </row>
    <row r="2808" spans="1:4" ht="12.75">
      <c r="A2808" s="10"/>
      <c r="B2808" s="10"/>
      <c r="C2808" s="10"/>
      <c r="D2808" s="10"/>
    </row>
    <row r="2809" spans="1:4" ht="12.75">
      <c r="A2809" s="10"/>
      <c r="B2809" s="10"/>
      <c r="C2809" s="10"/>
      <c r="D2809" s="10"/>
    </row>
    <row r="2810" spans="1:4" ht="12.75">
      <c r="A2810" s="10"/>
      <c r="B2810" s="10"/>
      <c r="C2810" s="10"/>
      <c r="D2810" s="10"/>
    </row>
    <row r="2811" spans="1:4" ht="12.75">
      <c r="A2811" s="10"/>
      <c r="B2811" s="10"/>
      <c r="C2811" s="10"/>
      <c r="D2811" s="10"/>
    </row>
    <row r="2812" spans="1:4" ht="12.75">
      <c r="A2812" s="10"/>
      <c r="B2812" s="10"/>
      <c r="C2812" s="10"/>
      <c r="D2812" s="10"/>
    </row>
    <row r="2813" spans="1:4" ht="12.75">
      <c r="A2813" s="10"/>
      <c r="B2813" s="10"/>
      <c r="C2813" s="10"/>
      <c r="D2813" s="10"/>
    </row>
    <row r="2814" spans="1:4" ht="12.75">
      <c r="A2814" s="10"/>
      <c r="B2814" s="10"/>
      <c r="C2814" s="10"/>
      <c r="D2814" s="10"/>
    </row>
    <row r="2815" spans="1:4" ht="12.75">
      <c r="A2815" s="10"/>
      <c r="B2815" s="10"/>
      <c r="C2815" s="10"/>
      <c r="D2815" s="10"/>
    </row>
    <row r="2816" spans="1:4" ht="12.75">
      <c r="A2816" s="10"/>
      <c r="B2816" s="10"/>
      <c r="C2816" s="10"/>
      <c r="D2816" s="10"/>
    </row>
    <row r="2817" spans="1:4" ht="12.75">
      <c r="A2817" s="10"/>
      <c r="B2817" s="10"/>
      <c r="C2817" s="10"/>
      <c r="D2817" s="10"/>
    </row>
    <row r="2818" spans="1:4" ht="12.75">
      <c r="A2818" s="10"/>
      <c r="B2818" s="10"/>
      <c r="C2818" s="10"/>
      <c r="D2818" s="10"/>
    </row>
    <row r="2819" spans="1:4" ht="12.75">
      <c r="A2819" s="10"/>
      <c r="B2819" s="10"/>
      <c r="C2819" s="10"/>
      <c r="D2819" s="10"/>
    </row>
    <row r="2820" spans="1:4" ht="12.75">
      <c r="A2820" s="10"/>
      <c r="B2820" s="10"/>
      <c r="C2820" s="10"/>
      <c r="D2820" s="10"/>
    </row>
    <row r="2821" spans="1:4" ht="12.75">
      <c r="A2821" s="10"/>
      <c r="B2821" s="10"/>
      <c r="C2821" s="10"/>
      <c r="D2821" s="10"/>
    </row>
    <row r="2822" spans="1:4" ht="12.75">
      <c r="A2822" s="10"/>
      <c r="B2822" s="10"/>
      <c r="C2822" s="10"/>
      <c r="D2822" s="10"/>
    </row>
    <row r="2823" spans="1:4" ht="12.75">
      <c r="A2823" s="10"/>
      <c r="B2823" s="10"/>
      <c r="C2823" s="10"/>
      <c r="D2823" s="10"/>
    </row>
    <row r="2824" spans="1:4" ht="12.75">
      <c r="A2824" s="10"/>
      <c r="B2824" s="10"/>
      <c r="C2824" s="10"/>
      <c r="D2824" s="10"/>
    </row>
    <row r="2825" spans="1:4" ht="12.75">
      <c r="A2825" s="10"/>
      <c r="B2825" s="10"/>
      <c r="C2825" s="10"/>
      <c r="D2825" s="10"/>
    </row>
    <row r="2826" spans="1:4" ht="12.75">
      <c r="A2826" s="10"/>
      <c r="B2826" s="10"/>
      <c r="C2826" s="10"/>
      <c r="D2826" s="10"/>
    </row>
    <row r="2827" spans="1:4" ht="12.75">
      <c r="A2827" s="10"/>
      <c r="B2827" s="10"/>
      <c r="C2827" s="10"/>
      <c r="D2827" s="10"/>
    </row>
    <row r="2828" spans="1:4" ht="12.75">
      <c r="A2828" s="10"/>
      <c r="B2828" s="10"/>
      <c r="C2828" s="10"/>
      <c r="D2828" s="10"/>
    </row>
    <row r="2829" spans="1:4" ht="12.75">
      <c r="A2829" s="10"/>
      <c r="B2829" s="10"/>
      <c r="C2829" s="10"/>
      <c r="D2829" s="10"/>
    </row>
    <row r="2830" spans="1:4" ht="12.75">
      <c r="A2830" s="10"/>
      <c r="B2830" s="10"/>
      <c r="C2830" s="10"/>
      <c r="D2830" s="10"/>
    </row>
    <row r="2831" spans="1:4" ht="12.75">
      <c r="A2831" s="10"/>
      <c r="B2831" s="10"/>
      <c r="C2831" s="10"/>
      <c r="D2831" s="10"/>
    </row>
    <row r="2832" spans="1:4" ht="12.75">
      <c r="A2832" s="10"/>
      <c r="B2832" s="10"/>
      <c r="C2832" s="10"/>
      <c r="D2832" s="10"/>
    </row>
    <row r="2833" spans="1:4" ht="12.75">
      <c r="A2833" s="10"/>
      <c r="B2833" s="10"/>
      <c r="C2833" s="10"/>
      <c r="D2833" s="10"/>
    </row>
    <row r="2834" spans="1:4" ht="12.75">
      <c r="A2834" s="10"/>
      <c r="B2834" s="10"/>
      <c r="C2834" s="10"/>
      <c r="D2834" s="10"/>
    </row>
    <row r="2835" spans="1:4" ht="12.75">
      <c r="A2835" s="10"/>
      <c r="B2835" s="10"/>
      <c r="C2835" s="10"/>
      <c r="D2835" s="10"/>
    </row>
    <row r="2836" spans="1:4" ht="12.75">
      <c r="A2836" s="10"/>
      <c r="B2836" s="10"/>
      <c r="C2836" s="10"/>
      <c r="D2836" s="10"/>
    </row>
    <row r="2837" spans="1:4" ht="12.75">
      <c r="A2837" s="10"/>
      <c r="B2837" s="10"/>
      <c r="C2837" s="10"/>
      <c r="D2837" s="10"/>
    </row>
    <row r="2838" spans="1:4" ht="12.75">
      <c r="A2838" s="10"/>
      <c r="B2838" s="10"/>
      <c r="C2838" s="10"/>
      <c r="D2838" s="10"/>
    </row>
    <row r="2839" spans="1:4" ht="12.75">
      <c r="A2839" s="10"/>
      <c r="B2839" s="10"/>
      <c r="C2839" s="10"/>
      <c r="D2839" s="10"/>
    </row>
    <row r="2840" spans="1:4" ht="12.75">
      <c r="A2840" s="10"/>
      <c r="B2840" s="10"/>
      <c r="C2840" s="10"/>
      <c r="D2840" s="10"/>
    </row>
    <row r="2841" spans="1:4" ht="12.75">
      <c r="A2841" s="10"/>
      <c r="B2841" s="10"/>
      <c r="C2841" s="10"/>
      <c r="D2841" s="10"/>
    </row>
    <row r="2842" spans="1:4" ht="12.75">
      <c r="A2842" s="10"/>
      <c r="B2842" s="10"/>
      <c r="C2842" s="10"/>
      <c r="D2842" s="10"/>
    </row>
    <row r="2843" spans="1:4" ht="12.75">
      <c r="A2843" s="10"/>
      <c r="B2843" s="10"/>
      <c r="C2843" s="10"/>
      <c r="D2843" s="10"/>
    </row>
    <row r="2844" spans="1:4" ht="12.75">
      <c r="A2844" s="10"/>
      <c r="B2844" s="10"/>
      <c r="C2844" s="10"/>
      <c r="D2844" s="10"/>
    </row>
    <row r="2845" spans="1:4" ht="12.75">
      <c r="A2845" s="10"/>
      <c r="B2845" s="10"/>
      <c r="C2845" s="10"/>
      <c r="D2845" s="10"/>
    </row>
    <row r="2846" spans="1:4" ht="12.75">
      <c r="A2846" s="10"/>
      <c r="B2846" s="10"/>
      <c r="C2846" s="10"/>
      <c r="D2846" s="10"/>
    </row>
    <row r="2847" spans="1:4" ht="12.75">
      <c r="A2847" s="10"/>
      <c r="B2847" s="10"/>
      <c r="C2847" s="10"/>
      <c r="D2847" s="10"/>
    </row>
    <row r="2848" spans="1:4" ht="12.75">
      <c r="A2848" s="10"/>
      <c r="B2848" s="10"/>
      <c r="C2848" s="10"/>
      <c r="D2848" s="10"/>
    </row>
    <row r="2849" spans="1:4" ht="12.75">
      <c r="A2849" s="10"/>
      <c r="B2849" s="10"/>
      <c r="C2849" s="10"/>
      <c r="D2849" s="10"/>
    </row>
    <row r="2850" spans="1:4" ht="12.75">
      <c r="A2850" s="10"/>
      <c r="B2850" s="10"/>
      <c r="C2850" s="10"/>
      <c r="D2850" s="10"/>
    </row>
    <row r="2851" spans="1:4" ht="12.75">
      <c r="A2851" s="10"/>
      <c r="B2851" s="10"/>
      <c r="C2851" s="10"/>
      <c r="D2851" s="10"/>
    </row>
    <row r="2852" spans="1:4" ht="12.75">
      <c r="A2852" s="10"/>
      <c r="B2852" s="10"/>
      <c r="C2852" s="10"/>
      <c r="D2852" s="10"/>
    </row>
    <row r="2853" spans="1:4" ht="12.75">
      <c r="A2853" s="10"/>
      <c r="B2853" s="10"/>
      <c r="C2853" s="10"/>
      <c r="D2853" s="10"/>
    </row>
    <row r="2854" spans="1:4" ht="12.75">
      <c r="A2854" s="10"/>
      <c r="B2854" s="10"/>
      <c r="C2854" s="10"/>
      <c r="D2854" s="10"/>
    </row>
    <row r="2855" spans="1:4" ht="12.75">
      <c r="A2855" s="10"/>
      <c r="B2855" s="10"/>
      <c r="C2855" s="10"/>
      <c r="D2855" s="10"/>
    </row>
    <row r="2856" spans="1:4" ht="12.75">
      <c r="A2856" s="10"/>
      <c r="B2856" s="10"/>
      <c r="C2856" s="10"/>
      <c r="D2856" s="10"/>
    </row>
    <row r="2857" spans="1:4" ht="12.75">
      <c r="A2857" s="10"/>
      <c r="B2857" s="10"/>
      <c r="C2857" s="10"/>
      <c r="D2857" s="10"/>
    </row>
    <row r="2858" spans="1:4" ht="12.75">
      <c r="A2858" s="10"/>
      <c r="B2858" s="10"/>
      <c r="C2858" s="10"/>
      <c r="D2858" s="10"/>
    </row>
    <row r="2859" spans="1:4" ht="12.75">
      <c r="A2859" s="10"/>
      <c r="B2859" s="10"/>
      <c r="C2859" s="10"/>
      <c r="D2859" s="10"/>
    </row>
    <row r="2860" spans="1:4" ht="12.75">
      <c r="A2860" s="10"/>
      <c r="B2860" s="10"/>
      <c r="C2860" s="10"/>
      <c r="D2860" s="10"/>
    </row>
    <row r="2861" spans="1:4" ht="12.75">
      <c r="A2861" s="10"/>
      <c r="B2861" s="10"/>
      <c r="C2861" s="10"/>
      <c r="D2861" s="10"/>
    </row>
    <row r="2862" spans="1:4" ht="12.75">
      <c r="A2862" s="10"/>
      <c r="B2862" s="10"/>
      <c r="C2862" s="10"/>
      <c r="D2862" s="10"/>
    </row>
    <row r="2863" spans="1:4" ht="12.75">
      <c r="A2863" s="10"/>
      <c r="B2863" s="10"/>
      <c r="C2863" s="10"/>
      <c r="D2863" s="10"/>
    </row>
    <row r="2864" spans="1:4" ht="12.75">
      <c r="A2864" s="10"/>
      <c r="B2864" s="10"/>
      <c r="C2864" s="10"/>
      <c r="D2864" s="10"/>
    </row>
    <row r="2865" spans="1:4" ht="12.75">
      <c r="A2865" s="10"/>
      <c r="B2865" s="10"/>
      <c r="C2865" s="10"/>
      <c r="D2865" s="10"/>
    </row>
    <row r="2866" spans="1:4" ht="12.75">
      <c r="A2866" s="10"/>
      <c r="B2866" s="10"/>
      <c r="C2866" s="10"/>
      <c r="D2866" s="10"/>
    </row>
    <row r="2867" spans="1:4" ht="12.75">
      <c r="A2867" s="10"/>
      <c r="B2867" s="10"/>
      <c r="C2867" s="10"/>
      <c r="D2867" s="10"/>
    </row>
    <row r="2868" spans="1:4" ht="12.75">
      <c r="A2868" s="10"/>
      <c r="B2868" s="10"/>
      <c r="C2868" s="10"/>
      <c r="D2868" s="10"/>
    </row>
    <row r="2869" spans="1:4" ht="12.75">
      <c r="A2869" s="10"/>
      <c r="B2869" s="10"/>
      <c r="C2869" s="10"/>
      <c r="D2869" s="10"/>
    </row>
    <row r="2870" spans="1:4" ht="12.75">
      <c r="A2870" s="10"/>
      <c r="B2870" s="10"/>
      <c r="C2870" s="10"/>
      <c r="D2870" s="10"/>
    </row>
    <row r="2871" spans="1:4" ht="12.75">
      <c r="A2871" s="10"/>
      <c r="B2871" s="10"/>
      <c r="C2871" s="10"/>
      <c r="D2871" s="10"/>
    </row>
    <row r="2872" spans="1:4" ht="12.75">
      <c r="A2872" s="10"/>
      <c r="B2872" s="10"/>
      <c r="C2872" s="10"/>
      <c r="D2872" s="10"/>
    </row>
    <row r="2873" spans="1:4" ht="12.75">
      <c r="A2873" s="10"/>
      <c r="B2873" s="10"/>
      <c r="C2873" s="10"/>
      <c r="D2873" s="10"/>
    </row>
    <row r="2874" spans="1:4" ht="12.75">
      <c r="A2874" s="10"/>
      <c r="B2874" s="10"/>
      <c r="C2874" s="10"/>
      <c r="D2874" s="10"/>
    </row>
    <row r="2875" spans="1:4" ht="12.75">
      <c r="A2875" s="10"/>
      <c r="B2875" s="10"/>
      <c r="C2875" s="10"/>
      <c r="D2875" s="10"/>
    </row>
    <row r="2876" spans="1:4" ht="12.75">
      <c r="A2876" s="10"/>
      <c r="B2876" s="10"/>
      <c r="C2876" s="10"/>
      <c r="D2876" s="10"/>
    </row>
    <row r="2877" spans="1:4" ht="12.75">
      <c r="A2877" s="10"/>
      <c r="B2877" s="10"/>
      <c r="C2877" s="10"/>
      <c r="D2877" s="10"/>
    </row>
    <row r="2878" spans="1:4" ht="12.75">
      <c r="A2878" s="10"/>
      <c r="B2878" s="10"/>
      <c r="C2878" s="10"/>
      <c r="D2878" s="10"/>
    </row>
    <row r="2879" spans="1:4" ht="12.75">
      <c r="A2879" s="10"/>
      <c r="B2879" s="10"/>
      <c r="C2879" s="10"/>
      <c r="D2879" s="10"/>
    </row>
    <row r="2880" spans="1:4" ht="12.75">
      <c r="A2880" s="10"/>
      <c r="B2880" s="10"/>
      <c r="C2880" s="10"/>
      <c r="D2880" s="10"/>
    </row>
    <row r="2881" spans="1:4" ht="12.75">
      <c r="A2881" s="10"/>
      <c r="B2881" s="10"/>
      <c r="C2881" s="10"/>
      <c r="D2881" s="10"/>
    </row>
    <row r="2882" spans="1:4" ht="12.75">
      <c r="A2882" s="10"/>
      <c r="B2882" s="10"/>
      <c r="C2882" s="10"/>
      <c r="D2882" s="10"/>
    </row>
    <row r="2883" spans="1:4" ht="12.75">
      <c r="A2883" s="10"/>
      <c r="B2883" s="10"/>
      <c r="C2883" s="10"/>
      <c r="D2883" s="10"/>
    </row>
    <row r="2884" spans="1:4" ht="12.75">
      <c r="A2884" s="10"/>
      <c r="B2884" s="10"/>
      <c r="C2884" s="10"/>
      <c r="D2884" s="10"/>
    </row>
    <row r="2885" spans="1:4" ht="12.75">
      <c r="A2885" s="10"/>
      <c r="B2885" s="10"/>
      <c r="C2885" s="10"/>
      <c r="D2885" s="10"/>
    </row>
    <row r="2886" spans="1:4" ht="12.75">
      <c r="A2886" s="10"/>
      <c r="B2886" s="10"/>
      <c r="C2886" s="10"/>
      <c r="D2886" s="10"/>
    </row>
    <row r="2887" spans="1:4" ht="12.75">
      <c r="A2887" s="10"/>
      <c r="B2887" s="10"/>
      <c r="C2887" s="10"/>
      <c r="D2887" s="10"/>
    </row>
    <row r="2888" spans="1:4" ht="12.75">
      <c r="A2888" s="10"/>
      <c r="B2888" s="10"/>
      <c r="C2888" s="10"/>
      <c r="D2888" s="10"/>
    </row>
    <row r="2889" spans="1:4" ht="12.75">
      <c r="A2889" s="10"/>
      <c r="B2889" s="10"/>
      <c r="C2889" s="10"/>
      <c r="D2889" s="10"/>
    </row>
    <row r="2890" spans="1:4" ht="12.75">
      <c r="A2890" s="10"/>
      <c r="B2890" s="10"/>
      <c r="C2890" s="10"/>
      <c r="D2890" s="10"/>
    </row>
    <row r="2891" spans="1:4" ht="12.75">
      <c r="A2891" s="10"/>
      <c r="B2891" s="10"/>
      <c r="C2891" s="10"/>
      <c r="D2891" s="10"/>
    </row>
    <row r="2892" spans="1:4" ht="12.75">
      <c r="A2892" s="10"/>
      <c r="B2892" s="10"/>
      <c r="C2892" s="10"/>
      <c r="D2892" s="10"/>
    </row>
    <row r="2893" spans="1:4" ht="12.75">
      <c r="A2893" s="10"/>
      <c r="B2893" s="10"/>
      <c r="C2893" s="10"/>
      <c r="D2893" s="10"/>
    </row>
    <row r="2894" spans="1:4" ht="12.75">
      <c r="A2894" s="10"/>
      <c r="B2894" s="10"/>
      <c r="C2894" s="10"/>
      <c r="D2894" s="10"/>
    </row>
    <row r="2895" spans="1:4" ht="12.75">
      <c r="A2895" s="10"/>
      <c r="B2895" s="10"/>
      <c r="C2895" s="10"/>
      <c r="D2895" s="10"/>
    </row>
    <row r="2896" spans="1:4" ht="12.75">
      <c r="A2896" s="10"/>
      <c r="B2896" s="10"/>
      <c r="C2896" s="10"/>
      <c r="D2896" s="10"/>
    </row>
    <row r="2897" spans="1:4" ht="12.75">
      <c r="A2897" s="10"/>
      <c r="B2897" s="10"/>
      <c r="C2897" s="10"/>
      <c r="D2897" s="10"/>
    </row>
    <row r="2898" spans="1:4" ht="12.75">
      <c r="A2898" s="10"/>
      <c r="B2898" s="10"/>
      <c r="C2898" s="10"/>
      <c r="D2898" s="10"/>
    </row>
    <row r="2899" spans="1:4" ht="12.75">
      <c r="A2899" s="10"/>
      <c r="B2899" s="10"/>
      <c r="C2899" s="10"/>
      <c r="D2899" s="10"/>
    </row>
    <row r="2900" spans="1:4" ht="12.75">
      <c r="A2900" s="10"/>
      <c r="B2900" s="10"/>
      <c r="C2900" s="10"/>
      <c r="D2900" s="10"/>
    </row>
    <row r="2901" spans="1:4" ht="12.75">
      <c r="A2901" s="10"/>
      <c r="B2901" s="10"/>
      <c r="C2901" s="10"/>
      <c r="D2901" s="10"/>
    </row>
    <row r="2902" spans="1:4" ht="12.75">
      <c r="A2902" s="10"/>
      <c r="B2902" s="10"/>
      <c r="C2902" s="10"/>
      <c r="D2902" s="10"/>
    </row>
    <row r="2903" spans="1:4" ht="12.75">
      <c r="A2903" s="10"/>
      <c r="B2903" s="10"/>
      <c r="C2903" s="10"/>
      <c r="D2903" s="10"/>
    </row>
    <row r="2904" spans="1:4" ht="12.75">
      <c r="A2904" s="10"/>
      <c r="B2904" s="10"/>
      <c r="C2904" s="10"/>
      <c r="D2904" s="10"/>
    </row>
    <row r="2905" spans="1:4" ht="12.75">
      <c r="A2905" s="10"/>
      <c r="B2905" s="10"/>
      <c r="C2905" s="10"/>
      <c r="D2905" s="10"/>
    </row>
    <row r="2906" spans="1:4" ht="12.75">
      <c r="A2906" s="10"/>
      <c r="B2906" s="10"/>
      <c r="C2906" s="10"/>
      <c r="D2906" s="10"/>
    </row>
    <row r="2907" spans="1:4" ht="12.75">
      <c r="A2907" s="10"/>
      <c r="B2907" s="10"/>
      <c r="C2907" s="10"/>
      <c r="D2907" s="10"/>
    </row>
    <row r="2908" spans="1:4" ht="12.75">
      <c r="A2908" s="10"/>
      <c r="B2908" s="10"/>
      <c r="C2908" s="10"/>
      <c r="D2908" s="10"/>
    </row>
    <row r="2909" spans="1:4" ht="12.75">
      <c r="A2909" s="10"/>
      <c r="B2909" s="10"/>
      <c r="C2909" s="10"/>
      <c r="D2909" s="10"/>
    </row>
    <row r="2910" spans="1:4" ht="12.75">
      <c r="A2910" s="10"/>
      <c r="B2910" s="10"/>
      <c r="C2910" s="10"/>
      <c r="D2910" s="10"/>
    </row>
    <row r="2911" spans="1:4" ht="12.75">
      <c r="A2911" s="10"/>
      <c r="B2911" s="10"/>
      <c r="C2911" s="10"/>
      <c r="D2911" s="10"/>
    </row>
    <row r="2912" spans="1:4" ht="12.75">
      <c r="A2912" s="10"/>
      <c r="B2912" s="10"/>
      <c r="C2912" s="10"/>
      <c r="D2912" s="10"/>
    </row>
    <row r="2913" spans="1:4" ht="12.75">
      <c r="A2913" s="10"/>
      <c r="B2913" s="10"/>
      <c r="C2913" s="10"/>
      <c r="D2913" s="10"/>
    </row>
    <row r="2914" spans="1:4" ht="12.75">
      <c r="A2914" s="10"/>
      <c r="B2914" s="10"/>
      <c r="C2914" s="10"/>
      <c r="D2914" s="10"/>
    </row>
    <row r="2915" spans="1:4" ht="12.75">
      <c r="A2915" s="10"/>
      <c r="B2915" s="10"/>
      <c r="C2915" s="10"/>
      <c r="D2915" s="10"/>
    </row>
    <row r="2916" spans="1:4" ht="12.75">
      <c r="A2916" s="10"/>
      <c r="B2916" s="10"/>
      <c r="C2916" s="10"/>
      <c r="D2916" s="10"/>
    </row>
    <row r="2917" spans="1:4" ht="12.75">
      <c r="A2917" s="10"/>
      <c r="B2917" s="10"/>
      <c r="C2917" s="10"/>
      <c r="D2917" s="10"/>
    </row>
    <row r="2918" spans="1:4" ht="12.75">
      <c r="A2918" s="10"/>
      <c r="B2918" s="10"/>
      <c r="C2918" s="10"/>
      <c r="D2918" s="10"/>
    </row>
    <row r="2919" spans="1:4" ht="12.75">
      <c r="A2919" s="10"/>
      <c r="B2919" s="10"/>
      <c r="C2919" s="10"/>
      <c r="D2919" s="10"/>
    </row>
    <row r="2920" spans="1:4" ht="12.75">
      <c r="A2920" s="10"/>
      <c r="B2920" s="10"/>
      <c r="C2920" s="10"/>
      <c r="D2920" s="10"/>
    </row>
    <row r="2921" spans="1:4" ht="12.75">
      <c r="A2921" s="10"/>
      <c r="B2921" s="10"/>
      <c r="C2921" s="10"/>
      <c r="D2921" s="10"/>
    </row>
    <row r="2922" spans="1:4" ht="12.75">
      <c r="A2922" s="10"/>
      <c r="B2922" s="10"/>
      <c r="C2922" s="10"/>
      <c r="D2922" s="10"/>
    </row>
    <row r="2923" spans="1:4" ht="12.75">
      <c r="A2923" s="10"/>
      <c r="B2923" s="10"/>
      <c r="C2923" s="10"/>
      <c r="D2923" s="10"/>
    </row>
    <row r="2924" spans="1:4" ht="12.75">
      <c r="A2924" s="10"/>
      <c r="B2924" s="10"/>
      <c r="C2924" s="10"/>
      <c r="D2924" s="10"/>
    </row>
    <row r="2925" spans="1:4" ht="12.75">
      <c r="A2925" s="10"/>
      <c r="B2925" s="10"/>
      <c r="C2925" s="10"/>
      <c r="D2925" s="10"/>
    </row>
    <row r="2926" spans="1:4" ht="12.75">
      <c r="A2926" s="10"/>
      <c r="B2926" s="10"/>
      <c r="C2926" s="10"/>
      <c r="D2926" s="10"/>
    </row>
    <row r="2927" spans="1:4" ht="12.75">
      <c r="A2927" s="10"/>
      <c r="B2927" s="10"/>
      <c r="C2927" s="10"/>
      <c r="D2927" s="10"/>
    </row>
    <row r="2928" spans="1:4" ht="12.75">
      <c r="A2928" s="10"/>
      <c r="B2928" s="10"/>
      <c r="C2928" s="10"/>
      <c r="D2928" s="10"/>
    </row>
    <row r="2929" spans="1:4" ht="12.75">
      <c r="A2929" s="10"/>
      <c r="B2929" s="10"/>
      <c r="C2929" s="10"/>
      <c r="D2929" s="10"/>
    </row>
    <row r="2930" spans="1:4" ht="12.75">
      <c r="A2930" s="10"/>
      <c r="B2930" s="10"/>
      <c r="C2930" s="10"/>
      <c r="D2930" s="10"/>
    </row>
    <row r="2931" spans="1:4" ht="12.75">
      <c r="A2931" s="10"/>
      <c r="B2931" s="10"/>
      <c r="C2931" s="10"/>
      <c r="D2931" s="10"/>
    </row>
    <row r="2932" spans="1:4" ht="12.75">
      <c r="A2932" s="10"/>
      <c r="B2932" s="10"/>
      <c r="C2932" s="10"/>
      <c r="D2932" s="10"/>
    </row>
    <row r="2933" spans="1:4" ht="12.75">
      <c r="A2933" s="10"/>
      <c r="B2933" s="10"/>
      <c r="C2933" s="10"/>
      <c r="D2933" s="10"/>
    </row>
    <row r="2934" spans="1:4" ht="12.75">
      <c r="A2934" s="10"/>
      <c r="B2934" s="10"/>
      <c r="C2934" s="10"/>
      <c r="D2934" s="10"/>
    </row>
    <row r="2935" spans="1:4" ht="12.75">
      <c r="A2935" s="10"/>
      <c r="B2935" s="10"/>
      <c r="C2935" s="10"/>
      <c r="D2935" s="10"/>
    </row>
    <row r="2936" spans="1:4" ht="12.75">
      <c r="A2936" s="10"/>
      <c r="B2936" s="10"/>
      <c r="C2936" s="10"/>
      <c r="D2936" s="10"/>
    </row>
    <row r="2937" spans="1:4" ht="12.75">
      <c r="A2937" s="10"/>
      <c r="B2937" s="10"/>
      <c r="C2937" s="10"/>
      <c r="D2937" s="10"/>
    </row>
    <row r="2938" spans="1:4" ht="12.75">
      <c r="A2938" s="10"/>
      <c r="B2938" s="10"/>
      <c r="C2938" s="10"/>
      <c r="D2938" s="10"/>
    </row>
    <row r="2939" spans="1:4" ht="12.75">
      <c r="A2939" s="10"/>
      <c r="B2939" s="10"/>
      <c r="C2939" s="10"/>
      <c r="D2939" s="10"/>
    </row>
    <row r="2940" spans="1:4" ht="12.75">
      <c r="A2940" s="10"/>
      <c r="B2940" s="10"/>
      <c r="C2940" s="10"/>
      <c r="D2940" s="10"/>
    </row>
    <row r="2941" spans="1:4" ht="12.75">
      <c r="A2941" s="10"/>
      <c r="B2941" s="10"/>
      <c r="C2941" s="10"/>
      <c r="D2941" s="10"/>
    </row>
    <row r="2942" spans="1:4" ht="12.75">
      <c r="A2942" s="10"/>
      <c r="B2942" s="10"/>
      <c r="C2942" s="10"/>
      <c r="D2942" s="10"/>
    </row>
    <row r="2943" spans="1:4" ht="12.75">
      <c r="A2943" s="10"/>
      <c r="B2943" s="10"/>
      <c r="C2943" s="10"/>
      <c r="D2943" s="10"/>
    </row>
    <row r="2944" spans="1:4" ht="12.75">
      <c r="A2944" s="10"/>
      <c r="B2944" s="10"/>
      <c r="C2944" s="10"/>
      <c r="D2944" s="10"/>
    </row>
    <row r="2945" spans="1:4" ht="12.75">
      <c r="A2945" s="10"/>
      <c r="B2945" s="10"/>
      <c r="C2945" s="10"/>
      <c r="D2945" s="10"/>
    </row>
    <row r="2946" spans="1:4" ht="12.75">
      <c r="A2946" s="10"/>
      <c r="B2946" s="10"/>
      <c r="C2946" s="10"/>
      <c r="D2946" s="10"/>
    </row>
    <row r="2947" spans="1:4" ht="12.75">
      <c r="A2947" s="10"/>
      <c r="B2947" s="10"/>
      <c r="C2947" s="10"/>
      <c r="D2947" s="10"/>
    </row>
    <row r="2948" spans="1:4" ht="12.75">
      <c r="A2948" s="10"/>
      <c r="B2948" s="10"/>
      <c r="C2948" s="10"/>
      <c r="D2948" s="10"/>
    </row>
    <row r="2949" spans="1:4" ht="12.75">
      <c r="A2949" s="10"/>
      <c r="B2949" s="10"/>
      <c r="C2949" s="10"/>
      <c r="D2949" s="10"/>
    </row>
    <row r="2950" spans="1:4" ht="12.75">
      <c r="A2950" s="10"/>
      <c r="B2950" s="10"/>
      <c r="C2950" s="10"/>
      <c r="D2950" s="10"/>
    </row>
    <row r="2951" spans="1:4" ht="12.75">
      <c r="A2951" s="10"/>
      <c r="B2951" s="10"/>
      <c r="C2951" s="10"/>
      <c r="D2951" s="10"/>
    </row>
    <row r="2952" spans="1:4" ht="12.75">
      <c r="A2952" s="10"/>
      <c r="B2952" s="10"/>
      <c r="C2952" s="10"/>
      <c r="D2952" s="10"/>
    </row>
    <row r="2953" spans="1:4" ht="12.75">
      <c r="A2953" s="10"/>
      <c r="B2953" s="10"/>
      <c r="C2953" s="10"/>
      <c r="D2953" s="10"/>
    </row>
    <row r="2954" spans="1:4" ht="12.75">
      <c r="A2954" s="10"/>
      <c r="B2954" s="10"/>
      <c r="C2954" s="10"/>
      <c r="D2954" s="10"/>
    </row>
    <row r="2955" spans="1:4" ht="12.75">
      <c r="A2955" s="10"/>
      <c r="B2955" s="10"/>
      <c r="C2955" s="10"/>
      <c r="D2955" s="10"/>
    </row>
    <row r="2956" spans="1:4" ht="12.75">
      <c r="A2956" s="10"/>
      <c r="B2956" s="10"/>
      <c r="C2956" s="10"/>
      <c r="D2956" s="10"/>
    </row>
    <row r="2957" spans="1:4" ht="12.75">
      <c r="A2957" s="10"/>
      <c r="B2957" s="10"/>
      <c r="C2957" s="10"/>
      <c r="D2957" s="10"/>
    </row>
    <row r="2958" spans="1:4" ht="12.75">
      <c r="A2958" s="10"/>
      <c r="B2958" s="10"/>
      <c r="C2958" s="10"/>
      <c r="D2958" s="10"/>
    </row>
    <row r="2959" spans="1:4" ht="12.75">
      <c r="A2959" s="10"/>
      <c r="B2959" s="10"/>
      <c r="C2959" s="10"/>
      <c r="D2959" s="10"/>
    </row>
    <row r="2960" spans="1:4" ht="12.75">
      <c r="A2960" s="10"/>
      <c r="B2960" s="10"/>
      <c r="C2960" s="10"/>
      <c r="D2960" s="10"/>
    </row>
    <row r="2961" spans="1:4" ht="12.75">
      <c r="A2961" s="10"/>
      <c r="B2961" s="10"/>
      <c r="C2961" s="10"/>
      <c r="D2961" s="10"/>
    </row>
    <row r="2962" spans="1:4" ht="12.75">
      <c r="A2962" s="10"/>
      <c r="B2962" s="10"/>
      <c r="C2962" s="10"/>
      <c r="D2962" s="10"/>
    </row>
    <row r="2963" spans="1:4" ht="12.75">
      <c r="A2963" s="10"/>
      <c r="B2963" s="10"/>
      <c r="C2963" s="10"/>
      <c r="D2963" s="10"/>
    </row>
    <row r="2964" spans="1:4" ht="12.75">
      <c r="A2964" s="10"/>
      <c r="B2964" s="10"/>
      <c r="C2964" s="10"/>
      <c r="D2964" s="10"/>
    </row>
    <row r="2965" spans="1:4" ht="12.75">
      <c r="A2965" s="10"/>
      <c r="B2965" s="10"/>
      <c r="C2965" s="10"/>
      <c r="D2965" s="10"/>
    </row>
    <row r="2966" spans="1:4" ht="12.75">
      <c r="A2966" s="10"/>
      <c r="B2966" s="10"/>
      <c r="C2966" s="10"/>
      <c r="D2966" s="10"/>
    </row>
    <row r="2967" spans="1:4" ht="12.75">
      <c r="A2967" s="10"/>
      <c r="B2967" s="10"/>
      <c r="C2967" s="10"/>
      <c r="D2967" s="10"/>
    </row>
    <row r="2968" spans="1:4" ht="12.75">
      <c r="A2968" s="10"/>
      <c r="B2968" s="10"/>
      <c r="C2968" s="10"/>
      <c r="D2968" s="10"/>
    </row>
    <row r="2969" spans="1:4" ht="12.75">
      <c r="A2969" s="10"/>
      <c r="B2969" s="10"/>
      <c r="C2969" s="10"/>
      <c r="D2969" s="10"/>
    </row>
    <row r="2970" spans="1:4" ht="12.75">
      <c r="A2970" s="10"/>
      <c r="B2970" s="10"/>
      <c r="C2970" s="10"/>
      <c r="D2970" s="10"/>
    </row>
    <row r="2971" spans="1:4" ht="12.75">
      <c r="A2971" s="10"/>
      <c r="B2971" s="10"/>
      <c r="C2971" s="10"/>
      <c r="D2971" s="10"/>
    </row>
    <row r="2972" spans="1:4" ht="12.75">
      <c r="A2972" s="10"/>
      <c r="B2972" s="10"/>
      <c r="C2972" s="10"/>
      <c r="D2972" s="10"/>
    </row>
    <row r="2973" spans="1:4" ht="12.75">
      <c r="A2973" s="10"/>
      <c r="B2973" s="10"/>
      <c r="C2973" s="10"/>
      <c r="D2973" s="10"/>
    </row>
    <row r="2974" spans="1:4" ht="12.75">
      <c r="A2974" s="10"/>
      <c r="B2974" s="10"/>
      <c r="C2974" s="10"/>
      <c r="D2974" s="10"/>
    </row>
    <row r="2975" spans="1:4" ht="12.75">
      <c r="A2975" s="10"/>
      <c r="B2975" s="10"/>
      <c r="C2975" s="10"/>
      <c r="D2975" s="10"/>
    </row>
    <row r="2976" spans="1:4" ht="12.75">
      <c r="A2976" s="10"/>
      <c r="B2976" s="10"/>
      <c r="C2976" s="10"/>
      <c r="D2976" s="10"/>
    </row>
    <row r="2977" spans="1:4" ht="12.75">
      <c r="A2977" s="10"/>
      <c r="B2977" s="10"/>
      <c r="C2977" s="10"/>
      <c r="D2977" s="10"/>
    </row>
    <row r="2978" spans="1:4" ht="12.75">
      <c r="A2978" s="10"/>
      <c r="B2978" s="10"/>
      <c r="C2978" s="10"/>
      <c r="D2978" s="10"/>
    </row>
    <row r="2979" spans="1:4" ht="12.75">
      <c r="A2979" s="10"/>
      <c r="B2979" s="10"/>
      <c r="C2979" s="10"/>
      <c r="D2979" s="10"/>
    </row>
    <row r="2980" spans="1:4" ht="12.75">
      <c r="A2980" s="10"/>
      <c r="B2980" s="10"/>
      <c r="C2980" s="10"/>
      <c r="D2980" s="10"/>
    </row>
    <row r="2981" spans="1:4" ht="12.75">
      <c r="A2981" s="10"/>
      <c r="B2981" s="10"/>
      <c r="C2981" s="10"/>
      <c r="D2981" s="10"/>
    </row>
    <row r="2982" spans="1:4" ht="12.75">
      <c r="A2982" s="10"/>
      <c r="B2982" s="10"/>
      <c r="C2982" s="10"/>
      <c r="D2982" s="10"/>
    </row>
    <row r="2983" spans="1:4" ht="12.75">
      <c r="A2983" s="10"/>
      <c r="B2983" s="10"/>
      <c r="C2983" s="10"/>
      <c r="D2983" s="10"/>
    </row>
    <row r="2984" spans="1:4" ht="12.75">
      <c r="A2984" s="10"/>
      <c r="B2984" s="10"/>
      <c r="C2984" s="10"/>
      <c r="D2984" s="10"/>
    </row>
    <row r="2985" spans="1:4" ht="12.75">
      <c r="A2985" s="10"/>
      <c r="B2985" s="10"/>
      <c r="C2985" s="10"/>
      <c r="D2985" s="10"/>
    </row>
    <row r="2986" spans="1:4" ht="12.75">
      <c r="A2986" s="10"/>
      <c r="B2986" s="10"/>
      <c r="C2986" s="10"/>
      <c r="D2986" s="10"/>
    </row>
    <row r="2987" spans="1:4" ht="12.75">
      <c r="A2987" s="10"/>
      <c r="B2987" s="10"/>
      <c r="C2987" s="10"/>
      <c r="D2987" s="10"/>
    </row>
    <row r="2988" spans="1:4" ht="12.75">
      <c r="A2988" s="10"/>
      <c r="B2988" s="10"/>
      <c r="C2988" s="10"/>
      <c r="D2988" s="10"/>
    </row>
    <row r="2989" spans="1:4" ht="12.75">
      <c r="A2989" s="10"/>
      <c r="B2989" s="10"/>
      <c r="C2989" s="10"/>
      <c r="D2989" s="10"/>
    </row>
    <row r="2990" spans="1:4" ht="12.75">
      <c r="A2990" s="10"/>
      <c r="B2990" s="10"/>
      <c r="C2990" s="10"/>
      <c r="D2990" s="10"/>
    </row>
    <row r="2991" spans="1:4" ht="12.75">
      <c r="A2991" s="10"/>
      <c r="B2991" s="10"/>
      <c r="C2991" s="10"/>
      <c r="D2991" s="10"/>
    </row>
    <row r="2992" spans="1:4" ht="12.75">
      <c r="A2992" s="10"/>
      <c r="B2992" s="10"/>
      <c r="C2992" s="10"/>
      <c r="D2992" s="10"/>
    </row>
    <row r="2993" spans="1:4" ht="12.75">
      <c r="A2993" s="10"/>
      <c r="B2993" s="10"/>
      <c r="C2993" s="10"/>
      <c r="D2993" s="10"/>
    </row>
    <row r="2994" spans="1:4" ht="12.75">
      <c r="A2994" s="10"/>
      <c r="B2994" s="10"/>
      <c r="C2994" s="10"/>
      <c r="D2994" s="10"/>
    </row>
    <row r="2995" spans="1:4" ht="12.75">
      <c r="A2995" s="10"/>
      <c r="B2995" s="10"/>
      <c r="C2995" s="10"/>
      <c r="D2995" s="10"/>
    </row>
    <row r="2996" spans="1:4" ht="12.75">
      <c r="A2996" s="10"/>
      <c r="B2996" s="10"/>
      <c r="C2996" s="10"/>
      <c r="D2996" s="10"/>
    </row>
    <row r="2997" spans="1:4" ht="12.75">
      <c r="A2997" s="10"/>
      <c r="B2997" s="10"/>
      <c r="C2997" s="10"/>
      <c r="D2997" s="10"/>
    </row>
    <row r="2998" spans="1:4" ht="12.75">
      <c r="A2998" s="10"/>
      <c r="B2998" s="10"/>
      <c r="C2998" s="10"/>
      <c r="D2998" s="10"/>
    </row>
    <row r="2999" spans="1:4" ht="12.75">
      <c r="A2999" s="10"/>
      <c r="B2999" s="10"/>
      <c r="C2999" s="10"/>
      <c r="D2999" s="10"/>
    </row>
    <row r="3000" spans="1:4" ht="12.75">
      <c r="A3000" s="10"/>
      <c r="B3000" s="10"/>
      <c r="C3000" s="10"/>
      <c r="D3000" s="10"/>
    </row>
    <row r="3001" spans="1:4" ht="12.75">
      <c r="A3001" s="10"/>
      <c r="B3001" s="10"/>
      <c r="C3001" s="10"/>
      <c r="D3001" s="10"/>
    </row>
    <row r="3002" spans="1:4" ht="12.75">
      <c r="A3002" s="10"/>
      <c r="B3002" s="10"/>
      <c r="C3002" s="10"/>
      <c r="D3002" s="10"/>
    </row>
    <row r="3003" spans="1:4" ht="12.75">
      <c r="A3003" s="10"/>
      <c r="B3003" s="10"/>
      <c r="C3003" s="10"/>
      <c r="D3003" s="10"/>
    </row>
    <row r="3004" spans="1:4" ht="12.75">
      <c r="A3004" s="10"/>
      <c r="B3004" s="10"/>
      <c r="C3004" s="10"/>
      <c r="D3004" s="10"/>
    </row>
    <row r="3005" spans="1:4" ht="12.75">
      <c r="A3005" s="10"/>
      <c r="B3005" s="10"/>
      <c r="C3005" s="10"/>
      <c r="D3005" s="10"/>
    </row>
    <row r="3006" spans="1:4" ht="12.75">
      <c r="A3006" s="10"/>
      <c r="B3006" s="10"/>
      <c r="C3006" s="10"/>
      <c r="D3006" s="10"/>
    </row>
    <row r="3007" spans="1:4" ht="12.75">
      <c r="A3007" s="10"/>
      <c r="B3007" s="10"/>
      <c r="C3007" s="10"/>
      <c r="D3007" s="10"/>
    </row>
    <row r="3008" spans="1:4" ht="12.75">
      <c r="A3008" s="10"/>
      <c r="B3008" s="10"/>
      <c r="C3008" s="10"/>
      <c r="D3008" s="10"/>
    </row>
    <row r="3009" spans="1:4" ht="12.75">
      <c r="A3009" s="10"/>
      <c r="B3009" s="10"/>
      <c r="C3009" s="10"/>
      <c r="D3009" s="10"/>
    </row>
    <row r="3010" spans="1:4" ht="12.75">
      <c r="A3010" s="10"/>
      <c r="B3010" s="10"/>
      <c r="C3010" s="10"/>
      <c r="D3010" s="10"/>
    </row>
    <row r="3011" spans="1:4" ht="12.75">
      <c r="A3011" s="10"/>
      <c r="B3011" s="10"/>
      <c r="C3011" s="10"/>
      <c r="D3011" s="10"/>
    </row>
    <row r="3012" spans="1:4" ht="12.75">
      <c r="A3012" s="10"/>
      <c r="B3012" s="10"/>
      <c r="C3012" s="10"/>
      <c r="D3012" s="10"/>
    </row>
    <row r="3013" spans="1:4" ht="12.75">
      <c r="A3013" s="10"/>
      <c r="B3013" s="10"/>
      <c r="C3013" s="10"/>
      <c r="D3013" s="10"/>
    </row>
    <row r="3014" spans="1:4" ht="12.75">
      <c r="A3014" s="10"/>
      <c r="B3014" s="10"/>
      <c r="C3014" s="10"/>
      <c r="D3014" s="10"/>
    </row>
    <row r="3015" spans="1:4" ht="12.75">
      <c r="A3015" s="10"/>
      <c r="B3015" s="10"/>
      <c r="C3015" s="10"/>
      <c r="D3015" s="10"/>
    </row>
    <row r="3016" spans="1:4" ht="12.75">
      <c r="A3016" s="10"/>
      <c r="B3016" s="10"/>
      <c r="C3016" s="10"/>
      <c r="D3016" s="10"/>
    </row>
    <row r="3017" spans="1:4" ht="12.75">
      <c r="A3017" s="10"/>
      <c r="B3017" s="10"/>
      <c r="C3017" s="10"/>
      <c r="D3017" s="10"/>
    </row>
    <row r="3018" spans="1:4" ht="12.75">
      <c r="A3018" s="10"/>
      <c r="B3018" s="10"/>
      <c r="C3018" s="10"/>
      <c r="D3018" s="10"/>
    </row>
    <row r="3019" spans="1:4" ht="12.75">
      <c r="A3019" s="10"/>
      <c r="B3019" s="10"/>
      <c r="C3019" s="10"/>
      <c r="D3019" s="10"/>
    </row>
    <row r="3020" spans="1:4" ht="12.75">
      <c r="A3020" s="10"/>
      <c r="B3020" s="10"/>
      <c r="C3020" s="10"/>
      <c r="D3020" s="10"/>
    </row>
    <row r="3021" spans="1:4" ht="12.75">
      <c r="A3021" s="10"/>
      <c r="B3021" s="10"/>
      <c r="C3021" s="10"/>
      <c r="D3021" s="10"/>
    </row>
    <row r="3022" spans="1:4" ht="12.75">
      <c r="A3022" s="10"/>
      <c r="B3022" s="10"/>
      <c r="C3022" s="10"/>
      <c r="D3022" s="10"/>
    </row>
    <row r="3023" spans="1:4" ht="12.75">
      <c r="A3023" s="10"/>
      <c r="B3023" s="10"/>
      <c r="C3023" s="10"/>
      <c r="D3023" s="10"/>
    </row>
    <row r="3024" spans="1:4" ht="12.75">
      <c r="A3024" s="10"/>
      <c r="B3024" s="10"/>
      <c r="C3024" s="10"/>
      <c r="D3024" s="10"/>
    </row>
    <row r="3025" spans="1:4" ht="12.75">
      <c r="A3025" s="10"/>
      <c r="B3025" s="10"/>
      <c r="C3025" s="10"/>
      <c r="D3025" s="10"/>
    </row>
    <row r="3026" spans="1:4" ht="12.75">
      <c r="A3026" s="10"/>
      <c r="B3026" s="10"/>
      <c r="C3026" s="10"/>
      <c r="D3026" s="10"/>
    </row>
    <row r="3027" spans="1:4" ht="12.75">
      <c r="A3027" s="10"/>
      <c r="B3027" s="10"/>
      <c r="C3027" s="10"/>
      <c r="D3027" s="10"/>
    </row>
    <row r="3028" spans="1:4" ht="12.75">
      <c r="A3028" s="10"/>
      <c r="B3028" s="10"/>
      <c r="C3028" s="10"/>
      <c r="D3028" s="10"/>
    </row>
    <row r="3029" spans="1:4" ht="12.75">
      <c r="A3029" s="10"/>
      <c r="B3029" s="10"/>
      <c r="C3029" s="10"/>
      <c r="D3029" s="10"/>
    </row>
    <row r="3030" spans="1:4" ht="12.75">
      <c r="A3030" s="10"/>
      <c r="B3030" s="10"/>
      <c r="C3030" s="10"/>
      <c r="D3030" s="10"/>
    </row>
    <row r="3031" spans="1:4" ht="12.75">
      <c r="A3031" s="10"/>
      <c r="B3031" s="10"/>
      <c r="C3031" s="10"/>
      <c r="D3031" s="10"/>
    </row>
    <row r="3032" spans="1:4" ht="12.75">
      <c r="A3032" s="10"/>
      <c r="B3032" s="10"/>
      <c r="C3032" s="10"/>
      <c r="D3032" s="10"/>
    </row>
    <row r="3033" spans="1:4" ht="12.75">
      <c r="A3033" s="10"/>
      <c r="B3033" s="10"/>
      <c r="C3033" s="10"/>
      <c r="D3033" s="10"/>
    </row>
    <row r="3034" spans="1:4" ht="12.75">
      <c r="A3034" s="10"/>
      <c r="B3034" s="10"/>
      <c r="C3034" s="10"/>
      <c r="D3034" s="10"/>
    </row>
    <row r="3035" spans="1:4" ht="12.75">
      <c r="A3035" s="10"/>
      <c r="B3035" s="10"/>
      <c r="C3035" s="10"/>
      <c r="D3035" s="10"/>
    </row>
    <row r="3036" spans="1:4" ht="12.75">
      <c r="A3036" s="10"/>
      <c r="B3036" s="10"/>
      <c r="C3036" s="10"/>
      <c r="D3036" s="10"/>
    </row>
    <row r="3037" spans="1:4" ht="12.75">
      <c r="A3037" s="10"/>
      <c r="B3037" s="10"/>
      <c r="C3037" s="10"/>
      <c r="D3037" s="10"/>
    </row>
    <row r="3038" spans="1:4" ht="12.75">
      <c r="A3038" s="10"/>
      <c r="B3038" s="10"/>
      <c r="C3038" s="10"/>
      <c r="D3038" s="10"/>
    </row>
    <row r="3039" spans="1:4" ht="12.75">
      <c r="A3039" s="10"/>
      <c r="B3039" s="10"/>
      <c r="C3039" s="10"/>
      <c r="D3039" s="10"/>
    </row>
    <row r="3040" spans="1:4" ht="12.75">
      <c r="A3040" s="10"/>
      <c r="B3040" s="10"/>
      <c r="C3040" s="10"/>
      <c r="D3040" s="10"/>
    </row>
    <row r="3041" spans="1:4" ht="12.75">
      <c r="A3041" s="10"/>
      <c r="B3041" s="10"/>
      <c r="C3041" s="10"/>
      <c r="D3041" s="10"/>
    </row>
    <row r="3042" spans="1:4" ht="12.75">
      <c r="A3042" s="10"/>
      <c r="B3042" s="10"/>
      <c r="C3042" s="10"/>
      <c r="D3042" s="10"/>
    </row>
    <row r="3043" spans="1:4" ht="12.75">
      <c r="A3043" s="10"/>
      <c r="B3043" s="10"/>
      <c r="C3043" s="10"/>
      <c r="D3043" s="10"/>
    </row>
    <row r="3044" spans="1:4" ht="12.75">
      <c r="A3044" s="10"/>
      <c r="B3044" s="10"/>
      <c r="C3044" s="10"/>
      <c r="D3044" s="10"/>
    </row>
    <row r="3045" spans="1:4" ht="12.75">
      <c r="A3045" s="10"/>
      <c r="B3045" s="10"/>
      <c r="C3045" s="10"/>
      <c r="D3045" s="10"/>
    </row>
    <row r="3046" spans="1:4" ht="12.75">
      <c r="A3046" s="10"/>
      <c r="B3046" s="10"/>
      <c r="C3046" s="10"/>
      <c r="D3046" s="10"/>
    </row>
    <row r="3047" spans="1:4" ht="12.75">
      <c r="A3047" s="10"/>
      <c r="B3047" s="10"/>
      <c r="C3047" s="10"/>
      <c r="D3047" s="10"/>
    </row>
    <row r="3048" spans="1:4" ht="12.75">
      <c r="A3048" s="10"/>
      <c r="B3048" s="10"/>
      <c r="C3048" s="10"/>
      <c r="D3048" s="10"/>
    </row>
    <row r="3049" spans="1:4" ht="12.75">
      <c r="A3049" s="10"/>
      <c r="B3049" s="10"/>
      <c r="C3049" s="10"/>
      <c r="D3049" s="10"/>
    </row>
    <row r="3050" spans="1:4" ht="12.75">
      <c r="A3050" s="10"/>
      <c r="B3050" s="10"/>
      <c r="C3050" s="10"/>
      <c r="D3050" s="10"/>
    </row>
    <row r="3051" spans="1:4" ht="12.75">
      <c r="A3051" s="10"/>
      <c r="B3051" s="10"/>
      <c r="C3051" s="10"/>
      <c r="D3051" s="10"/>
    </row>
    <row r="3052" spans="1:4" ht="12.75">
      <c r="A3052" s="10"/>
      <c r="B3052" s="10"/>
      <c r="C3052" s="10"/>
      <c r="D3052" s="10"/>
    </row>
    <row r="3053" spans="1:4" ht="12.75">
      <c r="A3053" s="10"/>
      <c r="B3053" s="10"/>
      <c r="C3053" s="10"/>
      <c r="D3053" s="10"/>
    </row>
    <row r="3054" spans="1:4" ht="12.75">
      <c r="A3054" s="10"/>
      <c r="B3054" s="10"/>
      <c r="C3054" s="10"/>
      <c r="D3054" s="10"/>
    </row>
    <row r="3055" spans="1:4" ht="12.75">
      <c r="A3055" s="10"/>
      <c r="B3055" s="10"/>
      <c r="C3055" s="10"/>
      <c r="D3055" s="10"/>
    </row>
    <row r="3056" spans="1:4" ht="12.75">
      <c r="A3056" s="10"/>
      <c r="B3056" s="10"/>
      <c r="C3056" s="10"/>
      <c r="D3056" s="10"/>
    </row>
    <row r="3057" spans="1:4" ht="12.75">
      <c r="A3057" s="10"/>
      <c r="B3057" s="10"/>
      <c r="C3057" s="10"/>
      <c r="D3057" s="10"/>
    </row>
    <row r="3058" spans="1:4" ht="12.75">
      <c r="A3058" s="10"/>
      <c r="B3058" s="10"/>
      <c r="C3058" s="10"/>
      <c r="D3058" s="10"/>
    </row>
    <row r="3059" spans="1:4" ht="12.75">
      <c r="A3059" s="10"/>
      <c r="B3059" s="10"/>
      <c r="C3059" s="10"/>
      <c r="D3059" s="10"/>
    </row>
    <row r="3060" spans="1:4" ht="12.75">
      <c r="A3060" s="10"/>
      <c r="B3060" s="10"/>
      <c r="C3060" s="10"/>
      <c r="D3060" s="10"/>
    </row>
    <row r="3061" spans="1:4" ht="12.75">
      <c r="A3061" s="10"/>
      <c r="B3061" s="10"/>
      <c r="C3061" s="10"/>
      <c r="D3061" s="10"/>
    </row>
    <row r="3062" spans="1:4" ht="12.75">
      <c r="A3062" s="10"/>
      <c r="B3062" s="10"/>
      <c r="C3062" s="10"/>
      <c r="D3062" s="10"/>
    </row>
    <row r="3063" spans="1:4" ht="12.75">
      <c r="A3063" s="10"/>
      <c r="B3063" s="10"/>
      <c r="C3063" s="10"/>
      <c r="D3063" s="10"/>
    </row>
    <row r="3064" spans="1:4" ht="12.75">
      <c r="A3064" s="10"/>
      <c r="B3064" s="10"/>
      <c r="C3064" s="10"/>
      <c r="D3064" s="10"/>
    </row>
    <row r="3065" spans="1:4" ht="12.75">
      <c r="A3065" s="10"/>
      <c r="B3065" s="10"/>
      <c r="C3065" s="10"/>
      <c r="D3065" s="10"/>
    </row>
    <row r="3066" spans="1:4" ht="12.75">
      <c r="A3066" s="10"/>
      <c r="B3066" s="10"/>
      <c r="C3066" s="10"/>
      <c r="D3066" s="10"/>
    </row>
    <row r="3067" spans="1:4" ht="12.75">
      <c r="A3067" s="10"/>
      <c r="B3067" s="10"/>
      <c r="C3067" s="10"/>
      <c r="D3067" s="10"/>
    </row>
    <row r="3068" spans="1:4" ht="12.75">
      <c r="A3068" s="10"/>
      <c r="B3068" s="10"/>
      <c r="C3068" s="10"/>
      <c r="D3068" s="10"/>
    </row>
    <row r="3069" spans="1:4" ht="12.75">
      <c r="A3069" s="10"/>
      <c r="B3069" s="10"/>
      <c r="C3069" s="10"/>
      <c r="D3069" s="10"/>
    </row>
    <row r="3070" spans="1:4" ht="12.75">
      <c r="A3070" s="10"/>
      <c r="B3070" s="10"/>
      <c r="C3070" s="10"/>
      <c r="D3070" s="10"/>
    </row>
    <row r="3071" spans="1:4" ht="12.75">
      <c r="A3071" s="10"/>
      <c r="B3071" s="10"/>
      <c r="C3071" s="10"/>
      <c r="D3071" s="10"/>
    </row>
    <row r="3072" spans="1:4" ht="12.75">
      <c r="A3072" s="10"/>
      <c r="B3072" s="10"/>
      <c r="C3072" s="10"/>
      <c r="D3072" s="10"/>
    </row>
    <row r="3073" spans="1:4" ht="12.75">
      <c r="A3073" s="10"/>
      <c r="B3073" s="10"/>
      <c r="C3073" s="10"/>
      <c r="D3073" s="10"/>
    </row>
    <row r="3074" spans="1:4" ht="12.75">
      <c r="A3074" s="10"/>
      <c r="B3074" s="10"/>
      <c r="C3074" s="10"/>
      <c r="D3074" s="10"/>
    </row>
    <row r="3075" spans="1:4" ht="12.75">
      <c r="A3075" s="10"/>
      <c r="B3075" s="10"/>
      <c r="C3075" s="10"/>
      <c r="D3075" s="10"/>
    </row>
    <row r="3076" spans="1:4" ht="12.75">
      <c r="A3076" s="10"/>
      <c r="B3076" s="10"/>
      <c r="C3076" s="10"/>
      <c r="D3076" s="10"/>
    </row>
    <row r="3077" spans="1:4" ht="12.75">
      <c r="A3077" s="10"/>
      <c r="B3077" s="10"/>
      <c r="C3077" s="10"/>
      <c r="D3077" s="10"/>
    </row>
    <row r="3078" spans="1:4" ht="12.75">
      <c r="A3078" s="10"/>
      <c r="B3078" s="10"/>
      <c r="C3078" s="10"/>
      <c r="D3078" s="10"/>
    </row>
    <row r="3079" spans="1:4" ht="12.75">
      <c r="A3079" s="10"/>
      <c r="B3079" s="10"/>
      <c r="C3079" s="10"/>
      <c r="D3079" s="10"/>
    </row>
    <row r="3080" spans="1:4" ht="12.75">
      <c r="A3080" s="10"/>
      <c r="B3080" s="10"/>
      <c r="C3080" s="10"/>
      <c r="D3080" s="10"/>
    </row>
    <row r="3081" spans="1:4" ht="12.75">
      <c r="A3081" s="10"/>
      <c r="B3081" s="10"/>
      <c r="C3081" s="10"/>
      <c r="D3081" s="10"/>
    </row>
    <row r="3082" spans="1:4" ht="12.75">
      <c r="A3082" s="10"/>
      <c r="B3082" s="10"/>
      <c r="C3082" s="10"/>
      <c r="D3082" s="10"/>
    </row>
    <row r="3083" spans="1:4" ht="12.75">
      <c r="A3083" s="10"/>
      <c r="B3083" s="10"/>
      <c r="C3083" s="10"/>
      <c r="D3083" s="10"/>
    </row>
    <row r="3084" spans="1:4" ht="12.75">
      <c r="A3084" s="10"/>
      <c r="B3084" s="10"/>
      <c r="C3084" s="10"/>
      <c r="D3084" s="10"/>
    </row>
    <row r="3085" spans="1:4" ht="12.75">
      <c r="A3085" s="10"/>
      <c r="B3085" s="10"/>
      <c r="C3085" s="10"/>
      <c r="D3085" s="10"/>
    </row>
    <row r="3086" spans="1:4" ht="12.75">
      <c r="A3086" s="10"/>
      <c r="B3086" s="10"/>
      <c r="C3086" s="10"/>
      <c r="D3086" s="10"/>
    </row>
    <row r="3087" spans="1:4" ht="12.75">
      <c r="A3087" s="10"/>
      <c r="B3087" s="10"/>
      <c r="C3087" s="10"/>
      <c r="D3087" s="10"/>
    </row>
    <row r="3088" spans="1:4" ht="12.75">
      <c r="A3088" s="10"/>
      <c r="B3088" s="10"/>
      <c r="C3088" s="10"/>
      <c r="D3088" s="10"/>
    </row>
    <row r="3089" spans="1:4" ht="12.75">
      <c r="A3089" s="10"/>
      <c r="B3089" s="10"/>
      <c r="C3089" s="10"/>
      <c r="D3089" s="10"/>
    </row>
    <row r="3090" spans="1:4" ht="12.75">
      <c r="A3090" s="10"/>
      <c r="B3090" s="10"/>
      <c r="C3090" s="10"/>
      <c r="D3090" s="10"/>
    </row>
    <row r="3091" spans="1:4" ht="12.75">
      <c r="A3091" s="10"/>
      <c r="B3091" s="10"/>
      <c r="C3091" s="10"/>
      <c r="D3091" s="10"/>
    </row>
    <row r="3092" spans="1:4" ht="12.75">
      <c r="A3092" s="10"/>
      <c r="B3092" s="10"/>
      <c r="C3092" s="10"/>
      <c r="D3092" s="10"/>
    </row>
    <row r="3093" spans="1:4" ht="12.75">
      <c r="A3093" s="10"/>
      <c r="B3093" s="10"/>
      <c r="C3093" s="10"/>
      <c r="D3093" s="10"/>
    </row>
    <row r="3094" spans="1:4" ht="12.75">
      <c r="A3094" s="10"/>
      <c r="B3094" s="10"/>
      <c r="C3094" s="10"/>
      <c r="D3094" s="10"/>
    </row>
    <row r="3095" spans="1:4" ht="12.75">
      <c r="A3095" s="10"/>
      <c r="B3095" s="10"/>
      <c r="C3095" s="10"/>
      <c r="D3095" s="10"/>
    </row>
    <row r="3096" spans="1:4" ht="12.75">
      <c r="A3096" s="10"/>
      <c r="B3096" s="10"/>
      <c r="C3096" s="10"/>
      <c r="D3096" s="10"/>
    </row>
    <row r="3097" spans="1:4" ht="12.75">
      <c r="A3097" s="10"/>
      <c r="B3097" s="10"/>
      <c r="C3097" s="10"/>
      <c r="D3097" s="10"/>
    </row>
    <row r="3098" spans="1:4" ht="12.75">
      <c r="A3098" s="10"/>
      <c r="B3098" s="10"/>
      <c r="C3098" s="10"/>
      <c r="D3098" s="10"/>
    </row>
    <row r="3099" spans="1:4" ht="12.75">
      <c r="A3099" s="10"/>
      <c r="B3099" s="10"/>
      <c r="C3099" s="10"/>
      <c r="D3099" s="10"/>
    </row>
    <row r="3100" spans="1:4" ht="12.75">
      <c r="A3100" s="10"/>
      <c r="B3100" s="10"/>
      <c r="C3100" s="10"/>
      <c r="D3100" s="10"/>
    </row>
    <row r="3101" spans="1:4" ht="12.75">
      <c r="A3101" s="10"/>
      <c r="B3101" s="10"/>
      <c r="C3101" s="10"/>
      <c r="D3101" s="10"/>
    </row>
    <row r="3102" spans="1:4" ht="12.75">
      <c r="A3102" s="10"/>
      <c r="B3102" s="10"/>
      <c r="C3102" s="10"/>
      <c r="D3102" s="10"/>
    </row>
    <row r="3103" spans="1:4" ht="12.75">
      <c r="A3103" s="10"/>
      <c r="B3103" s="10"/>
      <c r="C3103" s="10"/>
      <c r="D3103" s="10"/>
    </row>
    <row r="3104" spans="1:4" ht="12.75">
      <c r="A3104" s="10"/>
      <c r="B3104" s="10"/>
      <c r="C3104" s="10"/>
      <c r="D3104" s="10"/>
    </row>
    <row r="3105" spans="1:4" ht="12.75">
      <c r="A3105" s="10"/>
      <c r="B3105" s="10"/>
      <c r="C3105" s="10"/>
      <c r="D3105" s="10"/>
    </row>
    <row r="3106" spans="1:4" ht="12.75">
      <c r="A3106" s="10"/>
      <c r="B3106" s="10"/>
      <c r="C3106" s="10"/>
      <c r="D3106" s="10"/>
    </row>
    <row r="3107" spans="1:4" ht="12.75">
      <c r="A3107" s="10"/>
      <c r="B3107" s="10"/>
      <c r="C3107" s="10"/>
      <c r="D3107" s="10"/>
    </row>
    <row r="3108" spans="1:4" ht="12.75">
      <c r="A3108" s="10"/>
      <c r="B3108" s="10"/>
      <c r="C3108" s="10"/>
      <c r="D3108" s="10"/>
    </row>
    <row r="3109" spans="1:4" ht="12.75">
      <c r="A3109" s="10"/>
      <c r="B3109" s="10"/>
      <c r="C3109" s="10"/>
      <c r="D3109" s="10"/>
    </row>
    <row r="3110" spans="1:4" ht="12.75">
      <c r="A3110" s="10"/>
      <c r="B3110" s="10"/>
      <c r="C3110" s="10"/>
      <c r="D3110" s="10"/>
    </row>
    <row r="3111" spans="1:4" ht="12.75">
      <c r="A3111" s="10"/>
      <c r="B3111" s="10"/>
      <c r="C3111" s="10"/>
      <c r="D3111" s="10"/>
    </row>
    <row r="3112" spans="1:4" ht="12.75">
      <c r="A3112" s="10"/>
      <c r="B3112" s="10"/>
      <c r="C3112" s="10"/>
      <c r="D3112" s="10"/>
    </row>
    <row r="3113" spans="1:4" ht="12.75">
      <c r="A3113" s="10"/>
      <c r="B3113" s="10"/>
      <c r="C3113" s="10"/>
      <c r="D3113" s="10"/>
    </row>
    <row r="3114" spans="1:4" ht="12.75">
      <c r="A3114" s="10"/>
      <c r="B3114" s="10"/>
      <c r="C3114" s="10"/>
      <c r="D3114" s="10"/>
    </row>
    <row r="3115" spans="1:4" ht="12.75">
      <c r="A3115" s="10"/>
      <c r="B3115" s="10"/>
      <c r="C3115" s="10"/>
      <c r="D3115" s="10"/>
    </row>
    <row r="3116" spans="1:4" ht="12.75">
      <c r="A3116" s="10"/>
      <c r="B3116" s="10"/>
      <c r="C3116" s="10"/>
      <c r="D3116" s="10"/>
    </row>
    <row r="3117" spans="1:4" ht="12.75">
      <c r="A3117" s="10"/>
      <c r="B3117" s="10"/>
      <c r="C3117" s="10"/>
      <c r="D3117" s="10"/>
    </row>
    <row r="3118" spans="1:4" ht="12.75">
      <c r="A3118" s="10"/>
      <c r="B3118" s="10"/>
      <c r="C3118" s="10"/>
      <c r="D3118" s="10"/>
    </row>
    <row r="3119" spans="1:4" ht="12.75">
      <c r="A3119" s="10"/>
      <c r="B3119" s="10"/>
      <c r="C3119" s="10"/>
      <c r="D3119" s="10"/>
    </row>
    <row r="3120" spans="1:4" ht="12.75">
      <c r="A3120" s="10"/>
      <c r="B3120" s="10"/>
      <c r="C3120" s="10"/>
      <c r="D3120" s="10"/>
    </row>
    <row r="3121" spans="1:4" ht="12.75">
      <c r="A3121" s="10"/>
      <c r="B3121" s="10"/>
      <c r="C3121" s="10"/>
      <c r="D3121" s="10"/>
    </row>
    <row r="3122" spans="1:4" ht="12.75">
      <c r="A3122" s="10"/>
      <c r="B3122" s="10"/>
      <c r="C3122" s="10"/>
      <c r="D3122" s="10"/>
    </row>
    <row r="3123" spans="1:4" ht="12.75">
      <c r="A3123" s="10"/>
      <c r="B3123" s="10"/>
      <c r="C3123" s="10"/>
      <c r="D3123" s="10"/>
    </row>
    <row r="3124" spans="1:4" ht="12.75">
      <c r="A3124" s="10"/>
      <c r="B3124" s="10"/>
      <c r="C3124" s="10"/>
      <c r="D3124" s="10"/>
    </row>
    <row r="3125" spans="1:4" ht="12.75">
      <c r="A3125" s="10"/>
      <c r="B3125" s="10"/>
      <c r="C3125" s="10"/>
      <c r="D3125" s="10"/>
    </row>
    <row r="3126" spans="1:4" ht="12.75">
      <c r="A3126" s="10"/>
      <c r="B3126" s="10"/>
      <c r="C3126" s="10"/>
      <c r="D3126" s="10"/>
    </row>
    <row r="3127" spans="1:4" ht="12.75">
      <c r="A3127" s="10"/>
      <c r="B3127" s="10"/>
      <c r="C3127" s="10"/>
      <c r="D3127" s="10"/>
    </row>
    <row r="3128" spans="1:4" ht="12.75">
      <c r="A3128" s="10"/>
      <c r="B3128" s="10"/>
      <c r="C3128" s="10"/>
      <c r="D3128" s="10"/>
    </row>
    <row r="3129" spans="1:4" ht="12.75">
      <c r="A3129" s="10"/>
      <c r="B3129" s="10"/>
      <c r="C3129" s="10"/>
      <c r="D3129" s="10"/>
    </row>
    <row r="3130" spans="1:4" ht="12.75">
      <c r="A3130" s="10"/>
      <c r="B3130" s="10"/>
      <c r="C3130" s="10"/>
      <c r="D3130" s="10"/>
    </row>
    <row r="3131" spans="1:4" ht="12.75">
      <c r="A3131" s="10"/>
      <c r="B3131" s="10"/>
      <c r="C3131" s="10"/>
      <c r="D3131" s="10"/>
    </row>
    <row r="3132" spans="1:4" ht="12.75">
      <c r="A3132" s="10"/>
      <c r="B3132" s="10"/>
      <c r="C3132" s="10"/>
      <c r="D3132" s="10"/>
    </row>
    <row r="3133" spans="1:4" ht="12.75">
      <c r="A3133" s="10"/>
      <c r="B3133" s="10"/>
      <c r="C3133" s="10"/>
      <c r="D3133" s="10"/>
    </row>
    <row r="3134" spans="1:4" ht="12.75">
      <c r="A3134" s="10"/>
      <c r="B3134" s="10"/>
      <c r="C3134" s="10"/>
      <c r="D3134" s="10"/>
    </row>
    <row r="3135" spans="1:4" ht="12.75">
      <c r="A3135" s="10"/>
      <c r="B3135" s="10"/>
      <c r="C3135" s="10"/>
      <c r="D3135" s="10"/>
    </row>
    <row r="3136" spans="1:4" ht="12.75">
      <c r="A3136" s="10"/>
      <c r="B3136" s="10"/>
      <c r="C3136" s="10"/>
      <c r="D3136" s="10"/>
    </row>
    <row r="3137" spans="1:4" ht="12.75">
      <c r="A3137" s="10"/>
      <c r="B3137" s="10"/>
      <c r="C3137" s="10"/>
      <c r="D3137" s="10"/>
    </row>
    <row r="3138" spans="1:4" ht="12.75">
      <c r="A3138" s="10"/>
      <c r="B3138" s="10"/>
      <c r="C3138" s="10"/>
      <c r="D3138" s="10"/>
    </row>
    <row r="3139" spans="1:4" ht="12.75">
      <c r="A3139" s="10"/>
      <c r="B3139" s="10"/>
      <c r="C3139" s="10"/>
      <c r="D3139" s="10"/>
    </row>
    <row r="3140" spans="1:4" ht="12.75">
      <c r="A3140" s="10"/>
      <c r="B3140" s="10"/>
      <c r="C3140" s="10"/>
      <c r="D3140" s="10"/>
    </row>
    <row r="3141" spans="1:4" ht="12.75">
      <c r="A3141" s="10"/>
      <c r="B3141" s="10"/>
      <c r="C3141" s="10"/>
      <c r="D3141" s="10"/>
    </row>
    <row r="3142" spans="1:4" ht="12.75">
      <c r="A3142" s="10"/>
      <c r="B3142" s="10"/>
      <c r="C3142" s="10"/>
      <c r="D3142" s="10"/>
    </row>
    <row r="3143" spans="1:4" ht="12.75">
      <c r="A3143" s="10"/>
      <c r="B3143" s="10"/>
      <c r="C3143" s="10"/>
      <c r="D3143" s="10"/>
    </row>
    <row r="3144" spans="1:4" ht="12.75">
      <c r="A3144" s="10"/>
      <c r="B3144" s="10"/>
      <c r="C3144" s="10"/>
      <c r="D3144" s="10"/>
    </row>
    <row r="3145" spans="1:4" ht="12.75">
      <c r="A3145" s="10"/>
      <c r="B3145" s="10"/>
      <c r="C3145" s="10"/>
      <c r="D3145" s="10"/>
    </row>
    <row r="3146" spans="1:4" ht="12.75">
      <c r="A3146" s="10"/>
      <c r="B3146" s="10"/>
      <c r="C3146" s="10"/>
      <c r="D3146" s="10"/>
    </row>
    <row r="3147" spans="1:4" ht="12.75">
      <c r="A3147" s="10"/>
      <c r="B3147" s="10"/>
      <c r="C3147" s="10"/>
      <c r="D3147" s="10"/>
    </row>
    <row r="3148" spans="1:4" ht="12.75">
      <c r="A3148" s="10"/>
      <c r="B3148" s="10"/>
      <c r="C3148" s="10"/>
      <c r="D3148" s="10"/>
    </row>
    <row r="3149" spans="1:4" ht="12.75">
      <c r="A3149" s="10"/>
      <c r="B3149" s="10"/>
      <c r="C3149" s="10"/>
      <c r="D3149" s="10"/>
    </row>
    <row r="3150" spans="1:4" ht="12.75">
      <c r="A3150" s="10"/>
      <c r="B3150" s="10"/>
      <c r="C3150" s="10"/>
      <c r="D3150" s="10"/>
    </row>
    <row r="3151" spans="1:4" ht="12.75">
      <c r="A3151" s="10"/>
      <c r="B3151" s="10"/>
      <c r="C3151" s="10"/>
      <c r="D3151" s="10"/>
    </row>
    <row r="3152" spans="1:4" ht="12.75">
      <c r="A3152" s="10"/>
      <c r="B3152" s="10"/>
      <c r="C3152" s="10"/>
      <c r="D3152" s="10"/>
    </row>
    <row r="3153" spans="1:4" ht="12.75">
      <c r="A3153" s="10"/>
      <c r="B3153" s="10"/>
      <c r="C3153" s="10"/>
      <c r="D3153" s="10"/>
    </row>
    <row r="3154" spans="1:4" ht="12.75">
      <c r="A3154" s="10"/>
      <c r="B3154" s="10"/>
      <c r="C3154" s="10"/>
      <c r="D3154" s="10"/>
    </row>
    <row r="3155" spans="1:4" ht="12.75">
      <c r="A3155" s="10"/>
      <c r="B3155" s="10"/>
      <c r="C3155" s="10"/>
      <c r="D3155" s="10"/>
    </row>
    <row r="3156" spans="1:4" ht="12.75">
      <c r="A3156" s="10"/>
      <c r="B3156" s="10"/>
      <c r="C3156" s="10"/>
      <c r="D3156" s="10"/>
    </row>
    <row r="3157" spans="1:4" ht="12.75">
      <c r="A3157" s="10"/>
      <c r="B3157" s="10"/>
      <c r="C3157" s="10"/>
      <c r="D3157" s="10"/>
    </row>
    <row r="3158" spans="1:4" ht="12.75">
      <c r="A3158" s="10"/>
      <c r="B3158" s="10"/>
      <c r="C3158" s="10"/>
      <c r="D3158" s="10"/>
    </row>
    <row r="3159" spans="1:4" ht="12.75">
      <c r="A3159" s="10"/>
      <c r="B3159" s="10"/>
      <c r="C3159" s="10"/>
      <c r="D3159" s="10"/>
    </row>
    <row r="3160" spans="1:4" ht="12.75">
      <c r="A3160" s="10"/>
      <c r="B3160" s="10"/>
      <c r="C3160" s="10"/>
      <c r="D3160" s="10"/>
    </row>
    <row r="3161" spans="1:4" ht="12.75">
      <c r="A3161" s="10"/>
      <c r="B3161" s="10"/>
      <c r="C3161" s="10"/>
      <c r="D3161" s="10"/>
    </row>
    <row r="3162" spans="1:4" ht="12.75">
      <c r="A3162" s="10"/>
      <c r="B3162" s="10"/>
      <c r="C3162" s="10"/>
      <c r="D3162" s="10"/>
    </row>
    <row r="3163" spans="1:4" ht="12.75">
      <c r="A3163" s="10"/>
      <c r="B3163" s="10"/>
      <c r="C3163" s="10"/>
      <c r="D3163" s="10"/>
    </row>
    <row r="3164" spans="1:4" ht="12.75">
      <c r="A3164" s="10"/>
      <c r="B3164" s="10"/>
      <c r="C3164" s="10"/>
      <c r="D3164" s="10"/>
    </row>
    <row r="3165" spans="1:4" ht="12.75">
      <c r="A3165" s="10"/>
      <c r="B3165" s="10"/>
      <c r="C3165" s="10"/>
      <c r="D3165" s="10"/>
    </row>
    <row r="3166" spans="1:4" ht="12.75">
      <c r="A3166" s="10"/>
      <c r="B3166" s="10"/>
      <c r="C3166" s="10"/>
      <c r="D3166" s="10"/>
    </row>
    <row r="3167" spans="1:4" ht="12.75">
      <c r="A3167" s="10"/>
      <c r="B3167" s="10"/>
      <c r="C3167" s="10"/>
      <c r="D3167" s="10"/>
    </row>
    <row r="3168" spans="1:4" ht="12.75">
      <c r="A3168" s="10"/>
      <c r="B3168" s="10"/>
      <c r="C3168" s="10"/>
      <c r="D3168" s="10"/>
    </row>
    <row r="3169" spans="1:4" ht="12.75">
      <c r="A3169" s="10"/>
      <c r="B3169" s="10"/>
      <c r="C3169" s="10"/>
      <c r="D3169" s="10"/>
    </row>
    <row r="3170" spans="1:4" ht="12.75">
      <c r="A3170" s="10"/>
      <c r="B3170" s="10"/>
      <c r="C3170" s="10"/>
      <c r="D3170" s="10"/>
    </row>
    <row r="3171" spans="1:4" ht="12.75">
      <c r="A3171" s="10"/>
      <c r="B3171" s="10"/>
      <c r="C3171" s="10"/>
      <c r="D3171" s="10"/>
    </row>
    <row r="3172" spans="1:4" ht="12.75">
      <c r="A3172" s="10"/>
      <c r="B3172" s="10"/>
      <c r="C3172" s="10"/>
      <c r="D3172" s="10"/>
    </row>
    <row r="3173" spans="1:4" ht="12.75">
      <c r="A3173" s="10"/>
      <c r="B3173" s="10"/>
      <c r="C3173" s="10"/>
      <c r="D3173" s="10"/>
    </row>
    <row r="3174" spans="1:4" ht="12.75">
      <c r="A3174" s="10"/>
      <c r="B3174" s="10"/>
      <c r="C3174" s="10"/>
      <c r="D3174" s="10"/>
    </row>
    <row r="3175" spans="1:4" ht="12.75">
      <c r="A3175" s="10"/>
      <c r="B3175" s="10"/>
      <c r="C3175" s="10"/>
      <c r="D3175" s="10"/>
    </row>
    <row r="3176" spans="1:4" ht="12.75">
      <c r="A3176" s="10"/>
      <c r="B3176" s="10"/>
      <c r="C3176" s="10"/>
      <c r="D3176" s="10"/>
    </row>
    <row r="3177" spans="1:4" ht="12.75">
      <c r="A3177" s="10"/>
      <c r="B3177" s="10"/>
      <c r="C3177" s="10"/>
      <c r="D3177" s="10"/>
    </row>
    <row r="3178" spans="1:4" ht="12.75">
      <c r="A3178" s="10"/>
      <c r="B3178" s="10"/>
      <c r="C3178" s="10"/>
      <c r="D3178" s="10"/>
    </row>
    <row r="3179" spans="1:4" ht="12.75">
      <c r="A3179" s="10"/>
      <c r="B3179" s="10"/>
      <c r="C3179" s="10"/>
      <c r="D3179" s="10"/>
    </row>
    <row r="3180" spans="1:4" ht="12.75">
      <c r="A3180" s="10"/>
      <c r="B3180" s="10"/>
      <c r="C3180" s="10"/>
      <c r="D3180" s="10"/>
    </row>
    <row r="3181" spans="1:4" ht="12.75">
      <c r="A3181" s="10"/>
      <c r="B3181" s="10"/>
      <c r="C3181" s="10"/>
      <c r="D3181" s="10"/>
    </row>
    <row r="3182" spans="1:4" ht="12.75">
      <c r="A3182" s="10"/>
      <c r="B3182" s="10"/>
      <c r="C3182" s="10"/>
      <c r="D3182" s="10"/>
    </row>
    <row r="3183" spans="1:4" ht="12.75">
      <c r="A3183" s="10"/>
      <c r="B3183" s="10"/>
      <c r="C3183" s="10"/>
      <c r="D3183" s="10"/>
    </row>
    <row r="3184" spans="1:4" ht="12.75">
      <c r="A3184" s="10"/>
      <c r="B3184" s="10"/>
      <c r="C3184" s="10"/>
      <c r="D3184" s="10"/>
    </row>
    <row r="3185" spans="1:4" ht="12.75">
      <c r="A3185" s="10"/>
      <c r="B3185" s="10"/>
      <c r="C3185" s="10"/>
      <c r="D3185" s="10"/>
    </row>
    <row r="3186" spans="1:4" ht="12.75">
      <c r="A3186" s="10"/>
      <c r="B3186" s="10"/>
      <c r="C3186" s="10"/>
      <c r="D3186" s="10"/>
    </row>
    <row r="3187" spans="1:4" ht="12.75">
      <c r="A3187" s="10"/>
      <c r="B3187" s="10"/>
      <c r="C3187" s="10"/>
      <c r="D3187" s="10"/>
    </row>
    <row r="3188" spans="1:4" ht="12.75">
      <c r="A3188" s="10"/>
      <c r="B3188" s="10"/>
      <c r="C3188" s="10"/>
      <c r="D3188" s="10"/>
    </row>
    <row r="3189" spans="1:4" ht="12.75">
      <c r="A3189" s="10"/>
      <c r="B3189" s="10"/>
      <c r="C3189" s="10"/>
      <c r="D3189" s="10"/>
    </row>
    <row r="3190" spans="1:4" ht="12.75">
      <c r="A3190" s="10"/>
      <c r="B3190" s="10"/>
      <c r="C3190" s="10"/>
      <c r="D3190" s="10"/>
    </row>
    <row r="3191" spans="1:4" ht="12.75">
      <c r="A3191" s="10"/>
      <c r="B3191" s="10"/>
      <c r="C3191" s="10"/>
      <c r="D3191" s="10"/>
    </row>
    <row r="3192" spans="1:4" ht="12.75">
      <c r="A3192" s="10"/>
      <c r="B3192" s="10"/>
      <c r="C3192" s="10"/>
      <c r="D3192" s="10"/>
    </row>
    <row r="3193" spans="1:4" ht="12.75">
      <c r="A3193" s="10"/>
      <c r="B3193" s="10"/>
      <c r="C3193" s="10"/>
      <c r="D3193" s="10"/>
    </row>
    <row r="3194" spans="1:4" ht="12.75">
      <c r="A3194" s="10"/>
      <c r="B3194" s="10"/>
      <c r="C3194" s="10"/>
      <c r="D3194" s="10"/>
    </row>
    <row r="3195" spans="1:4" ht="12.75">
      <c r="A3195" s="10"/>
      <c r="B3195" s="10"/>
      <c r="C3195" s="10"/>
      <c r="D3195" s="10"/>
    </row>
    <row r="3196" spans="1:4" ht="12.75">
      <c r="A3196" s="10"/>
      <c r="B3196" s="10"/>
      <c r="C3196" s="10"/>
      <c r="D3196" s="10"/>
    </row>
    <row r="3197" spans="1:4" ht="12.75">
      <c r="A3197" s="10"/>
      <c r="B3197" s="10"/>
      <c r="C3197" s="10"/>
      <c r="D3197" s="10"/>
    </row>
    <row r="3198" spans="1:4" ht="12.75">
      <c r="A3198" s="10"/>
      <c r="B3198" s="10"/>
      <c r="C3198" s="10"/>
      <c r="D3198" s="10"/>
    </row>
    <row r="3199" spans="1:4" ht="12.75">
      <c r="A3199" s="10"/>
      <c r="B3199" s="10"/>
      <c r="C3199" s="10"/>
      <c r="D3199" s="10"/>
    </row>
    <row r="3200" spans="1:4" ht="12.75">
      <c r="A3200" s="10"/>
      <c r="B3200" s="10"/>
      <c r="C3200" s="10"/>
      <c r="D3200" s="10"/>
    </row>
    <row r="3201" spans="1:4" ht="12.75">
      <c r="A3201" s="10"/>
      <c r="B3201" s="10"/>
      <c r="C3201" s="10"/>
      <c r="D3201" s="10"/>
    </row>
    <row r="3202" spans="1:4" ht="12.75">
      <c r="A3202" s="10"/>
      <c r="B3202" s="10"/>
      <c r="C3202" s="10"/>
      <c r="D3202" s="10"/>
    </row>
    <row r="3203" spans="1:4" ht="12.75">
      <c r="A3203" s="10"/>
      <c r="B3203" s="10"/>
      <c r="C3203" s="10"/>
      <c r="D3203" s="10"/>
    </row>
    <row r="3204" spans="1:4" ht="12.75">
      <c r="A3204" s="10"/>
      <c r="B3204" s="10"/>
      <c r="C3204" s="10"/>
      <c r="D3204" s="10"/>
    </row>
    <row r="3205" spans="1:4" ht="12.75">
      <c r="A3205" s="10"/>
      <c r="B3205" s="10"/>
      <c r="C3205" s="10"/>
      <c r="D3205" s="10"/>
    </row>
    <row r="3206" spans="1:4" ht="12.75">
      <c r="A3206" s="10"/>
      <c r="B3206" s="10"/>
      <c r="C3206" s="10"/>
      <c r="D3206" s="10"/>
    </row>
    <row r="3207" spans="1:4" ht="12.75">
      <c r="A3207" s="10"/>
      <c r="B3207" s="10"/>
      <c r="C3207" s="10"/>
      <c r="D3207" s="10"/>
    </row>
    <row r="3208" spans="1:4" ht="12.75">
      <c r="A3208" s="10"/>
      <c r="B3208" s="10"/>
      <c r="C3208" s="10"/>
      <c r="D3208" s="10"/>
    </row>
    <row r="3209" spans="1:4" ht="12.75">
      <c r="A3209" s="10"/>
      <c r="B3209" s="10"/>
      <c r="C3209" s="10"/>
      <c r="D3209" s="10"/>
    </row>
    <row r="3210" spans="1:4" ht="12.75">
      <c r="A3210" s="10"/>
      <c r="B3210" s="10"/>
      <c r="C3210" s="10"/>
      <c r="D3210" s="10"/>
    </row>
    <row r="3211" spans="1:4" ht="12.75">
      <c r="A3211" s="10"/>
      <c r="B3211" s="10"/>
      <c r="C3211" s="10"/>
      <c r="D3211" s="10"/>
    </row>
    <row r="3212" spans="1:4" ht="12.75">
      <c r="A3212" s="10"/>
      <c r="B3212" s="10"/>
      <c r="C3212" s="10"/>
      <c r="D3212" s="10"/>
    </row>
    <row r="3213" spans="1:4" ht="12.75">
      <c r="A3213" s="10"/>
      <c r="B3213" s="10"/>
      <c r="C3213" s="10"/>
      <c r="D3213" s="10"/>
    </row>
    <row r="3214" spans="1:4" ht="12.75">
      <c r="A3214" s="10"/>
      <c r="B3214" s="10"/>
      <c r="C3214" s="10"/>
      <c r="D3214" s="10"/>
    </row>
    <row r="3215" spans="1:4" ht="12.75">
      <c r="A3215" s="10"/>
      <c r="B3215" s="10"/>
      <c r="C3215" s="10"/>
      <c r="D3215" s="10"/>
    </row>
    <row r="3216" spans="1:4" ht="12.75">
      <c r="A3216" s="10"/>
      <c r="B3216" s="10"/>
      <c r="C3216" s="10"/>
      <c r="D3216" s="10"/>
    </row>
    <row r="3217" spans="1:4" ht="12.75">
      <c r="A3217" s="10"/>
      <c r="B3217" s="10"/>
      <c r="C3217" s="10"/>
      <c r="D3217" s="10"/>
    </row>
    <row r="3218" spans="1:4" ht="12.75">
      <c r="A3218" s="10"/>
      <c r="B3218" s="10"/>
      <c r="C3218" s="10"/>
      <c r="D3218" s="10"/>
    </row>
    <row r="3219" spans="1:4" ht="12.75">
      <c r="A3219" s="10"/>
      <c r="B3219" s="10"/>
      <c r="C3219" s="10"/>
      <c r="D3219" s="10"/>
    </row>
    <row r="3220" spans="1:4" ht="12.75">
      <c r="A3220" s="10"/>
      <c r="B3220" s="10"/>
      <c r="C3220" s="10"/>
      <c r="D3220" s="10"/>
    </row>
    <row r="3221" spans="1:4" ht="12.75">
      <c r="A3221" s="10"/>
      <c r="B3221" s="10"/>
      <c r="C3221" s="10"/>
      <c r="D3221" s="10"/>
    </row>
    <row r="3222" spans="1:4" ht="12.75">
      <c r="A3222" s="10"/>
      <c r="B3222" s="10"/>
      <c r="C3222" s="10"/>
      <c r="D3222" s="10"/>
    </row>
    <row r="3223" spans="1:4" ht="12.75">
      <c r="A3223" s="10"/>
      <c r="B3223" s="10"/>
      <c r="C3223" s="10"/>
      <c r="D3223" s="10"/>
    </row>
    <row r="3224" spans="1:4" ht="12.75">
      <c r="A3224" s="10"/>
      <c r="B3224" s="10"/>
      <c r="C3224" s="10"/>
      <c r="D3224" s="10"/>
    </row>
    <row r="3225" spans="1:4" ht="12.75">
      <c r="A3225" s="10"/>
      <c r="B3225" s="10"/>
      <c r="C3225" s="10"/>
      <c r="D3225" s="10"/>
    </row>
    <row r="3226" spans="1:4" ht="12.75">
      <c r="A3226" s="10"/>
      <c r="B3226" s="10"/>
      <c r="C3226" s="10"/>
      <c r="D3226" s="10"/>
    </row>
    <row r="3227" spans="1:4" ht="12.75">
      <c r="A3227" s="10"/>
      <c r="B3227" s="10"/>
      <c r="C3227" s="10"/>
      <c r="D3227" s="10"/>
    </row>
    <row r="3228" spans="1:4" ht="12.75">
      <c r="A3228" s="10"/>
      <c r="B3228" s="10"/>
      <c r="C3228" s="10"/>
      <c r="D3228" s="10"/>
    </row>
    <row r="3229" spans="1:4" ht="12.75">
      <c r="A3229" s="10"/>
      <c r="B3229" s="10"/>
      <c r="C3229" s="10"/>
      <c r="D3229" s="10"/>
    </row>
    <row r="3230" spans="1:4" ht="12.75">
      <c r="A3230" s="10"/>
      <c r="B3230" s="10"/>
      <c r="C3230" s="10"/>
      <c r="D3230" s="10"/>
    </row>
    <row r="3231" spans="1:4" ht="12.75">
      <c r="A3231" s="10"/>
      <c r="B3231" s="10"/>
      <c r="C3231" s="10"/>
      <c r="D3231" s="10"/>
    </row>
    <row r="3232" spans="1:4" ht="12.75">
      <c r="A3232" s="10"/>
      <c r="B3232" s="10"/>
      <c r="C3232" s="10"/>
      <c r="D3232" s="10"/>
    </row>
    <row r="3233" spans="1:4" ht="12.75">
      <c r="A3233" s="10"/>
      <c r="B3233" s="10"/>
      <c r="C3233" s="10"/>
      <c r="D3233" s="10"/>
    </row>
    <row r="3234" spans="1:4" ht="12.75">
      <c r="A3234" s="10"/>
      <c r="B3234" s="10"/>
      <c r="C3234" s="10"/>
      <c r="D3234" s="10"/>
    </row>
    <row r="3235" spans="1:4" ht="12.75">
      <c r="A3235" s="10"/>
      <c r="B3235" s="10"/>
      <c r="C3235" s="10"/>
      <c r="D3235" s="10"/>
    </row>
    <row r="3236" spans="1:4" ht="12.75">
      <c r="A3236" s="10"/>
      <c r="B3236" s="10"/>
      <c r="C3236" s="10"/>
      <c r="D3236" s="10"/>
    </row>
    <row r="3237" spans="1:4" ht="12.75">
      <c r="A3237" s="10"/>
      <c r="B3237" s="10"/>
      <c r="C3237" s="10"/>
      <c r="D3237" s="10"/>
    </row>
    <row r="3238" spans="1:4" ht="12.75">
      <c r="A3238" s="10"/>
      <c r="B3238" s="10"/>
      <c r="C3238" s="10"/>
      <c r="D3238" s="10"/>
    </row>
    <row r="3239" spans="1:4" ht="12.75">
      <c r="A3239" s="10"/>
      <c r="B3239" s="10"/>
      <c r="C3239" s="10"/>
      <c r="D3239" s="10"/>
    </row>
    <row r="3240" spans="1:4" ht="12.75">
      <c r="A3240" s="10"/>
      <c r="B3240" s="10"/>
      <c r="C3240" s="10"/>
      <c r="D3240" s="10"/>
    </row>
    <row r="3241" spans="1:4" ht="12.75">
      <c r="A3241" s="10"/>
      <c r="B3241" s="10"/>
      <c r="C3241" s="10"/>
      <c r="D3241" s="10"/>
    </row>
    <row r="3242" spans="1:4" ht="12.75">
      <c r="A3242" s="10"/>
      <c r="B3242" s="10"/>
      <c r="C3242" s="10"/>
      <c r="D3242" s="10"/>
    </row>
    <row r="3243" spans="1:4" ht="12.75">
      <c r="A3243" s="10"/>
      <c r="B3243" s="10"/>
      <c r="C3243" s="10"/>
      <c r="D3243" s="10"/>
    </row>
    <row r="3244" spans="1:4" ht="12.75">
      <c r="A3244" s="10"/>
      <c r="B3244" s="10"/>
      <c r="C3244" s="10"/>
      <c r="D3244" s="10"/>
    </row>
    <row r="3245" spans="1:4" ht="12.75">
      <c r="A3245" s="10"/>
      <c r="B3245" s="10"/>
      <c r="C3245" s="10"/>
      <c r="D3245" s="10"/>
    </row>
    <row r="3246" spans="1:4" ht="12.75">
      <c r="A3246" s="10"/>
      <c r="B3246" s="10"/>
      <c r="C3246" s="10"/>
      <c r="D3246" s="10"/>
    </row>
    <row r="3247" spans="1:4" ht="12.75">
      <c r="A3247" s="10"/>
      <c r="B3247" s="10"/>
      <c r="C3247" s="10"/>
      <c r="D3247" s="10"/>
    </row>
    <row r="3248" spans="1:4" ht="12.75">
      <c r="A3248" s="10"/>
      <c r="B3248" s="10"/>
      <c r="C3248" s="10"/>
      <c r="D3248" s="10"/>
    </row>
    <row r="3249" spans="1:4" ht="12.75">
      <c r="A3249" s="10"/>
      <c r="B3249" s="10"/>
      <c r="C3249" s="10"/>
      <c r="D3249" s="10"/>
    </row>
    <row r="3250" spans="1:4" ht="12.75">
      <c r="A3250" s="10"/>
      <c r="B3250" s="10"/>
      <c r="C3250" s="10"/>
      <c r="D3250" s="10"/>
    </row>
    <row r="3251" spans="1:4" ht="12.75">
      <c r="A3251" s="10"/>
      <c r="B3251" s="10"/>
      <c r="C3251" s="10"/>
      <c r="D3251" s="10"/>
    </row>
    <row r="3252" spans="1:4" ht="12.75">
      <c r="A3252" s="10"/>
      <c r="B3252" s="10"/>
      <c r="C3252" s="10"/>
      <c r="D3252" s="10"/>
    </row>
    <row r="3253" spans="1:4" ht="12.75">
      <c r="A3253" s="10"/>
      <c r="B3253" s="10"/>
      <c r="C3253" s="10"/>
      <c r="D3253" s="10"/>
    </row>
    <row r="3254" spans="1:4" ht="12.75">
      <c r="A3254" s="10"/>
      <c r="B3254" s="10"/>
      <c r="C3254" s="10"/>
      <c r="D3254" s="10"/>
    </row>
    <row r="3255" spans="1:4" ht="12.75">
      <c r="A3255" s="10"/>
      <c r="B3255" s="10"/>
      <c r="C3255" s="10"/>
      <c r="D3255" s="10"/>
    </row>
    <row r="3256" spans="1:4" ht="12.75">
      <c r="A3256" s="10"/>
      <c r="B3256" s="10"/>
      <c r="C3256" s="10"/>
      <c r="D3256" s="10"/>
    </row>
    <row r="3257" spans="1:4" ht="12.75">
      <c r="A3257" s="10"/>
      <c r="B3257" s="10"/>
      <c r="C3257" s="10"/>
      <c r="D3257" s="10"/>
    </row>
    <row r="3258" spans="1:4" ht="12.75">
      <c r="A3258" s="10"/>
      <c r="B3258" s="10"/>
      <c r="C3258" s="10"/>
      <c r="D3258" s="10"/>
    </row>
    <row r="3259" spans="1:4" ht="12.75">
      <c r="A3259" s="10"/>
      <c r="B3259" s="10"/>
      <c r="C3259" s="10"/>
      <c r="D3259" s="10"/>
    </row>
    <row r="3260" spans="1:4" ht="12.75">
      <c r="A3260" s="10"/>
      <c r="B3260" s="10"/>
      <c r="C3260" s="10"/>
      <c r="D3260" s="10"/>
    </row>
    <row r="3261" spans="1:4" ht="12.75">
      <c r="A3261" s="10"/>
      <c r="B3261" s="10"/>
      <c r="C3261" s="10"/>
      <c r="D3261" s="10"/>
    </row>
    <row r="3262" spans="1:4" ht="12.75">
      <c r="A3262" s="10"/>
      <c r="B3262" s="10"/>
      <c r="C3262" s="10"/>
      <c r="D3262" s="10"/>
    </row>
    <row r="3263" spans="1:4" ht="12.75">
      <c r="A3263" s="10"/>
      <c r="B3263" s="10"/>
      <c r="C3263" s="10"/>
      <c r="D3263" s="10"/>
    </row>
    <row r="3264" spans="1:4" ht="12.75">
      <c r="A3264" s="10"/>
      <c r="B3264" s="10"/>
      <c r="C3264" s="10"/>
      <c r="D3264" s="10"/>
    </row>
    <row r="3265" spans="1:4" ht="12.75">
      <c r="A3265" s="10"/>
      <c r="B3265" s="10"/>
      <c r="C3265" s="10"/>
      <c r="D3265" s="10"/>
    </row>
    <row r="3266" spans="1:4" ht="12.75">
      <c r="A3266" s="10"/>
      <c r="B3266" s="10"/>
      <c r="C3266" s="10"/>
      <c r="D3266" s="10"/>
    </row>
    <row r="3267" spans="1:4" ht="12.75">
      <c r="A3267" s="10"/>
      <c r="B3267" s="10"/>
      <c r="C3267" s="10"/>
      <c r="D3267" s="10"/>
    </row>
    <row r="3268" spans="1:4" ht="12.75">
      <c r="A3268" s="10"/>
      <c r="B3268" s="10"/>
      <c r="C3268" s="10"/>
      <c r="D3268" s="10"/>
    </row>
    <row r="3269" spans="1:4" ht="12.75">
      <c r="A3269" s="10"/>
      <c r="B3269" s="10"/>
      <c r="C3269" s="10"/>
      <c r="D3269" s="10"/>
    </row>
    <row r="3270" spans="1:4" ht="12.75">
      <c r="A3270" s="10"/>
      <c r="B3270" s="10"/>
      <c r="C3270" s="10"/>
      <c r="D3270" s="10"/>
    </row>
    <row r="3271" spans="1:4" ht="12.75">
      <c r="A3271" s="10"/>
      <c r="B3271" s="10"/>
      <c r="C3271" s="10"/>
      <c r="D3271" s="10"/>
    </row>
    <row r="3272" spans="1:4" ht="12.75">
      <c r="A3272" s="10"/>
      <c r="B3272" s="10"/>
      <c r="C3272" s="10"/>
      <c r="D3272" s="10"/>
    </row>
    <row r="3273" spans="1:4" ht="12.75">
      <c r="A3273" s="10"/>
      <c r="B3273" s="10"/>
      <c r="C3273" s="10"/>
      <c r="D3273" s="10"/>
    </row>
    <row r="3274" spans="1:4" ht="12.75">
      <c r="A3274" s="10"/>
      <c r="B3274" s="10"/>
      <c r="C3274" s="10"/>
      <c r="D3274" s="10"/>
    </row>
    <row r="3275" spans="1:4" ht="12.75">
      <c r="A3275" s="10"/>
      <c r="B3275" s="10"/>
      <c r="C3275" s="10"/>
      <c r="D3275" s="10"/>
    </row>
    <row r="3276" spans="1:4" ht="12.75">
      <c r="A3276" s="10"/>
      <c r="B3276" s="10"/>
      <c r="C3276" s="10"/>
      <c r="D3276" s="10"/>
    </row>
    <row r="3277" spans="1:4" ht="12.75">
      <c r="A3277" s="10"/>
      <c r="B3277" s="10"/>
      <c r="C3277" s="10"/>
      <c r="D3277" s="10"/>
    </row>
    <row r="3278" spans="1:4" ht="12.75">
      <c r="A3278" s="10"/>
      <c r="B3278" s="10"/>
      <c r="C3278" s="10"/>
      <c r="D3278" s="10"/>
    </row>
    <row r="3279" spans="1:4" ht="12.75">
      <c r="A3279" s="10"/>
      <c r="B3279" s="10"/>
      <c r="C3279" s="10"/>
      <c r="D3279" s="10"/>
    </row>
    <row r="3280" spans="1:4" ht="12.75">
      <c r="A3280" s="10"/>
      <c r="B3280" s="10"/>
      <c r="C3280" s="10"/>
      <c r="D3280" s="10"/>
    </row>
    <row r="3281" spans="1:4" ht="12.75">
      <c r="A3281" s="10"/>
      <c r="B3281" s="10"/>
      <c r="C3281" s="10"/>
      <c r="D3281" s="10"/>
    </row>
    <row r="3282" spans="1:4" ht="12.75">
      <c r="A3282" s="10"/>
      <c r="B3282" s="10"/>
      <c r="C3282" s="10"/>
      <c r="D3282" s="10"/>
    </row>
    <row r="3283" spans="1:4" ht="12.75">
      <c r="A3283" s="10"/>
      <c r="B3283" s="10"/>
      <c r="C3283" s="10"/>
      <c r="D3283" s="10"/>
    </row>
    <row r="3284" spans="1:4" ht="12.75">
      <c r="A3284" s="10"/>
      <c r="B3284" s="10"/>
      <c r="C3284" s="10"/>
      <c r="D3284" s="10"/>
    </row>
    <row r="3285" spans="1:4" ht="12.75">
      <c r="A3285" s="10"/>
      <c r="B3285" s="10"/>
      <c r="C3285" s="10"/>
      <c r="D3285" s="10"/>
    </row>
    <row r="3286" spans="1:4" ht="12.75">
      <c r="A3286" s="10"/>
      <c r="B3286" s="10"/>
      <c r="C3286" s="10"/>
      <c r="D3286" s="10"/>
    </row>
    <row r="3287" spans="1:4" ht="12.75">
      <c r="A3287" s="10"/>
      <c r="B3287" s="10"/>
      <c r="C3287" s="10"/>
      <c r="D3287" s="10"/>
    </row>
    <row r="3288" spans="1:4" ht="12.75">
      <c r="A3288" s="10"/>
      <c r="B3288" s="10"/>
      <c r="C3288" s="10"/>
      <c r="D3288" s="10"/>
    </row>
    <row r="3289" spans="1:4" ht="12.75">
      <c r="A3289" s="10"/>
      <c r="B3289" s="10"/>
      <c r="C3289" s="10"/>
      <c r="D3289" s="10"/>
    </row>
    <row r="3290" spans="1:4" ht="12.75">
      <c r="A3290" s="10"/>
      <c r="B3290" s="10"/>
      <c r="C3290" s="10"/>
      <c r="D3290" s="10"/>
    </row>
    <row r="3291" spans="1:4" ht="12.75">
      <c r="A3291" s="10"/>
      <c r="B3291" s="10"/>
      <c r="C3291" s="10"/>
      <c r="D3291" s="10"/>
    </row>
    <row r="3292" spans="1:4" ht="12.75">
      <c r="A3292" s="10"/>
      <c r="B3292" s="10"/>
      <c r="C3292" s="10"/>
      <c r="D3292" s="10"/>
    </row>
    <row r="3293" spans="1:4" ht="12.75">
      <c r="A3293" s="10"/>
      <c r="B3293" s="10"/>
      <c r="C3293" s="10"/>
      <c r="D3293" s="10"/>
    </row>
    <row r="3294" spans="1:4" ht="12.75">
      <c r="A3294" s="10"/>
      <c r="B3294" s="10"/>
      <c r="C3294" s="10"/>
      <c r="D3294" s="10"/>
    </row>
    <row r="3295" spans="1:4" ht="12.75">
      <c r="A3295" s="10"/>
      <c r="B3295" s="10"/>
      <c r="C3295" s="10"/>
      <c r="D3295" s="10"/>
    </row>
    <row r="3296" spans="1:4" ht="12.75">
      <c r="A3296" s="10"/>
      <c r="B3296" s="10"/>
      <c r="C3296" s="10"/>
      <c r="D3296" s="10"/>
    </row>
    <row r="3297" spans="1:4" ht="12.75">
      <c r="A3297" s="10"/>
      <c r="B3297" s="10"/>
      <c r="C3297" s="10"/>
      <c r="D3297" s="10"/>
    </row>
    <row r="3298" spans="1:4" ht="12.75">
      <c r="A3298" s="10"/>
      <c r="B3298" s="10"/>
      <c r="C3298" s="10"/>
      <c r="D3298" s="10"/>
    </row>
    <row r="3299" spans="1:4" ht="12.75">
      <c r="A3299" s="10"/>
      <c r="B3299" s="10"/>
      <c r="C3299" s="10"/>
      <c r="D3299" s="10"/>
    </row>
    <row r="3300" spans="1:4" ht="12.75">
      <c r="A3300" s="10"/>
      <c r="B3300" s="10"/>
      <c r="C3300" s="10"/>
      <c r="D3300" s="10"/>
    </row>
    <row r="3301" spans="1:4" ht="12.75">
      <c r="A3301" s="10"/>
      <c r="B3301" s="10"/>
      <c r="C3301" s="10"/>
      <c r="D3301" s="10"/>
    </row>
    <row r="3302" spans="1:4" ht="12.75">
      <c r="A3302" s="10"/>
      <c r="B3302" s="10"/>
      <c r="C3302" s="10"/>
      <c r="D3302" s="10"/>
    </row>
    <row r="3303" spans="1:4" ht="12.75">
      <c r="A3303" s="10"/>
      <c r="B3303" s="10"/>
      <c r="C3303" s="10"/>
      <c r="D3303" s="10"/>
    </row>
    <row r="3304" spans="1:4" ht="12.75">
      <c r="A3304" s="10"/>
      <c r="B3304" s="10"/>
      <c r="C3304" s="10"/>
      <c r="D3304" s="10"/>
    </row>
    <row r="3305" spans="1:4" ht="12.75">
      <c r="A3305" s="10"/>
      <c r="B3305" s="10"/>
      <c r="C3305" s="10"/>
      <c r="D3305" s="10"/>
    </row>
    <row r="3306" spans="1:4" ht="12.75">
      <c r="A3306" s="10"/>
      <c r="B3306" s="10"/>
      <c r="C3306" s="10"/>
      <c r="D3306" s="10"/>
    </row>
    <row r="3307" spans="1:4" ht="12.75">
      <c r="A3307" s="10"/>
      <c r="B3307" s="10"/>
      <c r="C3307" s="10"/>
      <c r="D3307" s="10"/>
    </row>
    <row r="3308" spans="1:4" ht="12.75">
      <c r="A3308" s="10"/>
      <c r="B3308" s="10"/>
      <c r="C3308" s="10"/>
      <c r="D3308" s="10"/>
    </row>
    <row r="3309" spans="1:4" ht="12.75">
      <c r="A3309" s="10"/>
      <c r="B3309" s="10"/>
      <c r="C3309" s="10"/>
      <c r="D3309" s="10"/>
    </row>
    <row r="3310" spans="1:4" ht="12.75">
      <c r="A3310" s="10"/>
      <c r="B3310" s="10"/>
      <c r="C3310" s="10"/>
      <c r="D3310" s="10"/>
    </row>
    <row r="3311" spans="1:4" ht="12.75">
      <c r="A3311" s="10"/>
      <c r="B3311" s="10"/>
      <c r="C3311" s="10"/>
      <c r="D3311" s="10"/>
    </row>
    <row r="3312" spans="1:4" ht="12.75">
      <c r="A3312" s="10"/>
      <c r="B3312" s="10"/>
      <c r="C3312" s="10"/>
      <c r="D3312" s="10"/>
    </row>
    <row r="3313" spans="1:4" ht="12.75">
      <c r="A3313" s="10"/>
      <c r="B3313" s="10"/>
      <c r="C3313" s="10"/>
      <c r="D3313" s="10"/>
    </row>
    <row r="3314" spans="1:4" ht="12.75">
      <c r="A3314" s="10"/>
      <c r="B3314" s="10"/>
      <c r="C3314" s="10"/>
      <c r="D3314" s="10"/>
    </row>
    <row r="3315" spans="1:4" ht="12.75">
      <c r="A3315" s="10"/>
      <c r="B3315" s="10"/>
      <c r="C3315" s="10"/>
      <c r="D3315" s="10"/>
    </row>
    <row r="3316" spans="1:4" ht="12.75">
      <c r="A3316" s="10"/>
      <c r="B3316" s="10"/>
      <c r="C3316" s="10"/>
      <c r="D3316" s="10"/>
    </row>
    <row r="3317" spans="1:4" ht="12.75">
      <c r="A3317" s="10"/>
      <c r="B3317" s="10"/>
      <c r="C3317" s="10"/>
      <c r="D3317" s="10"/>
    </row>
    <row r="3318" spans="1:4" ht="12.75">
      <c r="A3318" s="10"/>
      <c r="B3318" s="10"/>
      <c r="C3318" s="10"/>
      <c r="D3318" s="10"/>
    </row>
    <row r="3319" spans="1:4" ht="12.75">
      <c r="A3319" s="10"/>
      <c r="B3319" s="10"/>
      <c r="C3319" s="10"/>
      <c r="D3319" s="10"/>
    </row>
    <row r="3320" spans="1:4" ht="12.75">
      <c r="A3320" s="10"/>
      <c r="B3320" s="10"/>
      <c r="C3320" s="10"/>
      <c r="D3320" s="10"/>
    </row>
    <row r="3321" spans="1:4" ht="12.75">
      <c r="A3321" s="10"/>
      <c r="B3321" s="10"/>
      <c r="C3321" s="10"/>
      <c r="D3321" s="10"/>
    </row>
    <row r="3322" spans="1:4" ht="12.75">
      <c r="A3322" s="10"/>
      <c r="B3322" s="10"/>
      <c r="C3322" s="10"/>
      <c r="D3322" s="10"/>
    </row>
    <row r="3323" spans="1:4" ht="12.75">
      <c r="A3323" s="10"/>
      <c r="B3323" s="10"/>
      <c r="C3323" s="10"/>
      <c r="D3323" s="10"/>
    </row>
    <row r="3324" spans="1:4" ht="12.75">
      <c r="A3324" s="10"/>
      <c r="B3324" s="10"/>
      <c r="C3324" s="10"/>
      <c r="D3324" s="10"/>
    </row>
    <row r="3325" spans="1:4" ht="12.75">
      <c r="A3325" s="10"/>
      <c r="B3325" s="10"/>
      <c r="C3325" s="10"/>
      <c r="D3325" s="10"/>
    </row>
    <row r="3326" spans="1:4" ht="12.75">
      <c r="A3326" s="10"/>
      <c r="B3326" s="10"/>
      <c r="C3326" s="10"/>
      <c r="D3326" s="10"/>
    </row>
    <row r="3327" spans="1:4" ht="12.75">
      <c r="A3327" s="10"/>
      <c r="B3327" s="10"/>
      <c r="C3327" s="10"/>
      <c r="D3327" s="10"/>
    </row>
    <row r="3328" spans="1:4" ht="12.75">
      <c r="A3328" s="10"/>
      <c r="B3328" s="10"/>
      <c r="C3328" s="10"/>
      <c r="D3328" s="10"/>
    </row>
    <row r="3329" spans="1:4" ht="12.75">
      <c r="A3329" s="10"/>
      <c r="B3329" s="10"/>
      <c r="C3329" s="10"/>
      <c r="D3329" s="10"/>
    </row>
    <row r="3330" spans="1:4" ht="12.75">
      <c r="A3330" s="10"/>
      <c r="B3330" s="10"/>
      <c r="C3330" s="10"/>
      <c r="D3330" s="10"/>
    </row>
    <row r="3331" spans="1:4" ht="12.75">
      <c r="A3331" s="10"/>
      <c r="B3331" s="10"/>
      <c r="C3331" s="10"/>
      <c r="D3331" s="10"/>
    </row>
    <row r="3332" spans="1:4" ht="12.75">
      <c r="A3332" s="10"/>
      <c r="B3332" s="10"/>
      <c r="C3332" s="10"/>
      <c r="D3332" s="10"/>
    </row>
    <row r="3333" spans="1:4" ht="12.75">
      <c r="A3333" s="10"/>
      <c r="B3333" s="10"/>
      <c r="C3333" s="10"/>
      <c r="D3333" s="10"/>
    </row>
    <row r="3334" spans="1:4" ht="12.75">
      <c r="A3334" s="10"/>
      <c r="B3334" s="10"/>
      <c r="C3334" s="10"/>
      <c r="D3334" s="10"/>
    </row>
    <row r="3335" spans="1:4" ht="12.75">
      <c r="A3335" s="10"/>
      <c r="B3335" s="10"/>
      <c r="C3335" s="10"/>
      <c r="D3335" s="10"/>
    </row>
    <row r="3336" spans="1:4" ht="12.75">
      <c r="A3336" s="10"/>
      <c r="B3336" s="10"/>
      <c r="C3336" s="10"/>
      <c r="D3336" s="10"/>
    </row>
    <row r="3337" spans="1:4" ht="12.75">
      <c r="A3337" s="10"/>
      <c r="B3337" s="10"/>
      <c r="C3337" s="10"/>
      <c r="D3337" s="10"/>
    </row>
    <row r="3338" spans="1:4" ht="12.75">
      <c r="A3338" s="10"/>
      <c r="B3338" s="10"/>
      <c r="C3338" s="10"/>
      <c r="D3338" s="10"/>
    </row>
    <row r="3339" spans="1:4" ht="12.75">
      <c r="A3339" s="10"/>
      <c r="B3339" s="10"/>
      <c r="C3339" s="10"/>
      <c r="D3339" s="10"/>
    </row>
    <row r="3340" spans="1:4" ht="12.75">
      <c r="A3340" s="10"/>
      <c r="B3340" s="10"/>
      <c r="C3340" s="10"/>
      <c r="D3340" s="10"/>
    </row>
    <row r="3341" spans="1:4" ht="12.75">
      <c r="A3341" s="10"/>
      <c r="B3341" s="10"/>
      <c r="C3341" s="10"/>
      <c r="D3341" s="10"/>
    </row>
    <row r="3342" spans="1:4" ht="12.75">
      <c r="A3342" s="10"/>
      <c r="B3342" s="10"/>
      <c r="C3342" s="10"/>
      <c r="D3342" s="10"/>
    </row>
    <row r="3343" spans="1:4" ht="12.75">
      <c r="A3343" s="10"/>
      <c r="B3343" s="10"/>
      <c r="C3343" s="10"/>
      <c r="D3343" s="10"/>
    </row>
    <row r="3344" spans="1:4" ht="12.75">
      <c r="A3344" s="10"/>
      <c r="B3344" s="10"/>
      <c r="C3344" s="10"/>
      <c r="D3344" s="10"/>
    </row>
    <row r="3345" spans="1:4" ht="12.75">
      <c r="A3345" s="10"/>
      <c r="B3345" s="10"/>
      <c r="C3345" s="10"/>
      <c r="D3345" s="10"/>
    </row>
    <row r="3346" spans="1:4" ht="12.75">
      <c r="A3346" s="10"/>
      <c r="B3346" s="10"/>
      <c r="C3346" s="10"/>
      <c r="D3346" s="10"/>
    </row>
    <row r="3347" spans="1:4" ht="12.75">
      <c r="A3347" s="10"/>
      <c r="B3347" s="10"/>
      <c r="C3347" s="10"/>
      <c r="D3347" s="10"/>
    </row>
    <row r="3348" spans="1:4" ht="12.75">
      <c r="A3348" s="10"/>
      <c r="B3348" s="10"/>
      <c r="C3348" s="10"/>
      <c r="D3348" s="10"/>
    </row>
    <row r="3349" spans="1:4" ht="12.75">
      <c r="A3349" s="10"/>
      <c r="B3349" s="10"/>
      <c r="C3349" s="10"/>
      <c r="D3349" s="10"/>
    </row>
    <row r="3350" spans="1:4" ht="12.75">
      <c r="A3350" s="10"/>
      <c r="B3350" s="10"/>
      <c r="C3350" s="10"/>
      <c r="D3350" s="10"/>
    </row>
    <row r="3351" spans="1:4" ht="12.75">
      <c r="A3351" s="10"/>
      <c r="B3351" s="10"/>
      <c r="C3351" s="10"/>
      <c r="D3351" s="10"/>
    </row>
    <row r="3352" spans="1:4" ht="12.75">
      <c r="A3352" s="10"/>
      <c r="B3352" s="10"/>
      <c r="C3352" s="10"/>
      <c r="D3352" s="10"/>
    </row>
    <row r="3353" spans="1:4" ht="12.75">
      <c r="A3353" s="10"/>
      <c r="B3353" s="10"/>
      <c r="C3353" s="10"/>
      <c r="D3353" s="10"/>
    </row>
    <row r="3354" spans="1:4" ht="12.75">
      <c r="A3354" s="10"/>
      <c r="B3354" s="10"/>
      <c r="C3354" s="10"/>
      <c r="D3354" s="10"/>
    </row>
    <row r="3355" spans="1:4" ht="12.75">
      <c r="A3355" s="10"/>
      <c r="B3355" s="10"/>
      <c r="C3355" s="10"/>
      <c r="D3355" s="10"/>
    </row>
    <row r="3356" spans="1:4" ht="12.75">
      <c r="A3356" s="10"/>
      <c r="B3356" s="10"/>
      <c r="C3356" s="10"/>
      <c r="D3356" s="10"/>
    </row>
    <row r="3357" spans="1:4" ht="12.75">
      <c r="A3357" s="10"/>
      <c r="B3357" s="10"/>
      <c r="C3357" s="10"/>
      <c r="D3357" s="10"/>
    </row>
    <row r="3358" spans="1:4" ht="12.75">
      <c r="A3358" s="10"/>
      <c r="B3358" s="10"/>
      <c r="C3358" s="10"/>
      <c r="D3358" s="10"/>
    </row>
    <row r="3359" spans="1:4" ht="12.75">
      <c r="A3359" s="10"/>
      <c r="B3359" s="10"/>
      <c r="C3359" s="10"/>
      <c r="D3359" s="10"/>
    </row>
    <row r="3360" spans="1:4" ht="12.75">
      <c r="A3360" s="10"/>
      <c r="B3360" s="10"/>
      <c r="C3360" s="10"/>
      <c r="D3360" s="10"/>
    </row>
    <row r="3361" spans="1:4" ht="12.75">
      <c r="A3361" s="10"/>
      <c r="B3361" s="10"/>
      <c r="C3361" s="10"/>
      <c r="D3361" s="10"/>
    </row>
    <row r="3362" spans="1:4" ht="12.75">
      <c r="A3362" s="10"/>
      <c r="B3362" s="10"/>
      <c r="C3362" s="10"/>
      <c r="D3362" s="10"/>
    </row>
    <row r="3363" spans="1:4" ht="12.75">
      <c r="A3363" s="10"/>
      <c r="B3363" s="10"/>
      <c r="C3363" s="10"/>
      <c r="D3363" s="10"/>
    </row>
    <row r="3364" spans="1:4" ht="12.75">
      <c r="A3364" s="10"/>
      <c r="B3364" s="10"/>
      <c r="C3364" s="10"/>
      <c r="D3364" s="10"/>
    </row>
    <row r="3365" spans="1:4" ht="12.75">
      <c r="A3365" s="10"/>
      <c r="B3365" s="10"/>
      <c r="C3365" s="10"/>
      <c r="D3365" s="10"/>
    </row>
    <row r="3366" spans="1:4" ht="12.75">
      <c r="A3366" s="10"/>
      <c r="B3366" s="10"/>
      <c r="C3366" s="10"/>
      <c r="D3366" s="10"/>
    </row>
    <row r="3367" spans="1:4" ht="12.75">
      <c r="A3367" s="10"/>
      <c r="B3367" s="10"/>
      <c r="C3367" s="10"/>
      <c r="D3367" s="10"/>
    </row>
    <row r="3368" spans="1:4" ht="12.75">
      <c r="A3368" s="10"/>
      <c r="B3368" s="10"/>
      <c r="C3368" s="10"/>
      <c r="D3368" s="10"/>
    </row>
    <row r="3369" spans="1:4" ht="12.75">
      <c r="A3369" s="10"/>
      <c r="B3369" s="10"/>
      <c r="C3369" s="10"/>
      <c r="D3369" s="10"/>
    </row>
    <row r="3370" spans="1:4" ht="12.75">
      <c r="A3370" s="10"/>
      <c r="B3370" s="10"/>
      <c r="C3370" s="10"/>
      <c r="D3370" s="10"/>
    </row>
    <row r="3371" spans="1:4" ht="12.75">
      <c r="A3371" s="10"/>
      <c r="B3371" s="10"/>
      <c r="C3371" s="10"/>
      <c r="D3371" s="10"/>
    </row>
    <row r="3372" spans="1:4" ht="12.75">
      <c r="A3372" s="10"/>
      <c r="B3372" s="10"/>
      <c r="C3372" s="10"/>
      <c r="D3372" s="10"/>
    </row>
    <row r="3373" spans="1:4" ht="12.75">
      <c r="A3373" s="10"/>
      <c r="B3373" s="10"/>
      <c r="C3373" s="10"/>
      <c r="D3373" s="10"/>
    </row>
    <row r="3374" spans="1:4" ht="12.75">
      <c r="A3374" s="10"/>
      <c r="B3374" s="10"/>
      <c r="C3374" s="10"/>
      <c r="D3374" s="10"/>
    </row>
    <row r="3375" spans="1:4" ht="12.75">
      <c r="A3375" s="10"/>
      <c r="B3375" s="10"/>
      <c r="C3375" s="10"/>
      <c r="D3375" s="10"/>
    </row>
    <row r="3376" spans="1:4" ht="12.75">
      <c r="A3376" s="10"/>
      <c r="B3376" s="10"/>
      <c r="C3376" s="10"/>
      <c r="D3376" s="10"/>
    </row>
    <row r="3377" spans="1:4" ht="12.75">
      <c r="A3377" s="10"/>
      <c r="B3377" s="10"/>
      <c r="C3377" s="10"/>
      <c r="D3377" s="10"/>
    </row>
    <row r="3378" spans="1:4" ht="12.75">
      <c r="A3378" s="10"/>
      <c r="B3378" s="10"/>
      <c r="C3378" s="10"/>
      <c r="D3378" s="10"/>
    </row>
    <row r="3379" spans="1:4" ht="12.75">
      <c r="A3379" s="10"/>
      <c r="B3379" s="10"/>
      <c r="C3379" s="10"/>
      <c r="D3379" s="10"/>
    </row>
    <row r="3380" spans="1:4" ht="12.75">
      <c r="A3380" s="10"/>
      <c r="B3380" s="10"/>
      <c r="C3380" s="10"/>
      <c r="D3380" s="10"/>
    </row>
    <row r="3381" spans="1:4" ht="12.75">
      <c r="A3381" s="10"/>
      <c r="B3381" s="10"/>
      <c r="C3381" s="10"/>
      <c r="D3381" s="10"/>
    </row>
    <row r="3382" spans="1:4" ht="12.75">
      <c r="A3382" s="10"/>
      <c r="B3382" s="10"/>
      <c r="C3382" s="10"/>
      <c r="D3382" s="10"/>
    </row>
    <row r="3383" spans="1:4" ht="12.75">
      <c r="A3383" s="10"/>
      <c r="B3383" s="10"/>
      <c r="C3383" s="10"/>
      <c r="D3383" s="10"/>
    </row>
    <row r="3384" spans="1:4" ht="12.75">
      <c r="A3384" s="10"/>
      <c r="B3384" s="10"/>
      <c r="C3384" s="10"/>
      <c r="D3384" s="10"/>
    </row>
    <row r="3385" spans="1:4" ht="12.75">
      <c r="A3385" s="10"/>
      <c r="B3385" s="10"/>
      <c r="C3385" s="10"/>
      <c r="D3385" s="10"/>
    </row>
    <row r="3386" spans="1:4" ht="12.75">
      <c r="A3386" s="10"/>
      <c r="B3386" s="10"/>
      <c r="C3386" s="10"/>
      <c r="D3386" s="10"/>
    </row>
    <row r="3387" spans="1:4" ht="12.75">
      <c r="A3387" s="10"/>
      <c r="B3387" s="10"/>
      <c r="C3387" s="10"/>
      <c r="D3387" s="10"/>
    </row>
    <row r="3388" spans="1:4" ht="12.75">
      <c r="A3388" s="10"/>
      <c r="B3388" s="10"/>
      <c r="C3388" s="10"/>
      <c r="D3388" s="10"/>
    </row>
    <row r="3389" spans="1:4" ht="12.75">
      <c r="A3389" s="10"/>
      <c r="B3389" s="10"/>
      <c r="C3389" s="10"/>
      <c r="D3389" s="10"/>
    </row>
    <row r="3390" spans="1:4" ht="12.75">
      <c r="A3390" s="10"/>
      <c r="B3390" s="10"/>
      <c r="C3390" s="10"/>
      <c r="D3390" s="10"/>
    </row>
    <row r="3391" spans="1:4" ht="12.75">
      <c r="A3391" s="10"/>
      <c r="B3391" s="10"/>
      <c r="C3391" s="10"/>
      <c r="D3391" s="10"/>
    </row>
    <row r="3392" spans="1:4" ht="12.75">
      <c r="A3392" s="10"/>
      <c r="B3392" s="10"/>
      <c r="C3392" s="10"/>
      <c r="D3392" s="10"/>
    </row>
    <row r="3393" spans="1:4" ht="12.75">
      <c r="A3393" s="10"/>
      <c r="B3393" s="10"/>
      <c r="C3393" s="10"/>
      <c r="D3393" s="10"/>
    </row>
    <row r="3394" spans="1:4" ht="12.75">
      <c r="A3394" s="10"/>
      <c r="B3394" s="10"/>
      <c r="C3394" s="10"/>
      <c r="D3394" s="10"/>
    </row>
    <row r="3395" spans="1:4" ht="12.75">
      <c r="A3395" s="10"/>
      <c r="B3395" s="10"/>
      <c r="C3395" s="10"/>
      <c r="D3395" s="10"/>
    </row>
    <row r="3396" spans="1:4" ht="12.75">
      <c r="A3396" s="10"/>
      <c r="B3396" s="10"/>
      <c r="C3396" s="10"/>
      <c r="D3396" s="10"/>
    </row>
    <row r="3397" spans="1:4" ht="12.75">
      <c r="A3397" s="10"/>
      <c r="B3397" s="10"/>
      <c r="C3397" s="10"/>
      <c r="D3397" s="10"/>
    </row>
    <row r="3398" spans="1:4" ht="12.75">
      <c r="A3398" s="10"/>
      <c r="B3398" s="10"/>
      <c r="C3398" s="10"/>
      <c r="D3398" s="10"/>
    </row>
    <row r="3399" spans="1:4" ht="12.75">
      <c r="A3399" s="10"/>
      <c r="B3399" s="10"/>
      <c r="C3399" s="10"/>
      <c r="D3399" s="10"/>
    </row>
    <row r="3400" spans="1:4" ht="12.75">
      <c r="A3400" s="10"/>
      <c r="B3400" s="10"/>
      <c r="C3400" s="10"/>
      <c r="D3400" s="10"/>
    </row>
    <row r="3401" spans="1:4" ht="12.75">
      <c r="A3401" s="10"/>
      <c r="B3401" s="10"/>
      <c r="C3401" s="10"/>
      <c r="D3401" s="10"/>
    </row>
    <row r="3402" spans="1:4" ht="12.75">
      <c r="A3402" s="10"/>
      <c r="B3402" s="10"/>
      <c r="C3402" s="10"/>
      <c r="D3402" s="10"/>
    </row>
    <row r="3403" spans="1:4" ht="12.75">
      <c r="A3403" s="10"/>
      <c r="B3403" s="10"/>
      <c r="C3403" s="10"/>
      <c r="D3403" s="10"/>
    </row>
    <row r="3404" spans="1:4" ht="12.75">
      <c r="A3404" s="10"/>
      <c r="B3404" s="10"/>
      <c r="C3404" s="10"/>
      <c r="D3404" s="10"/>
    </row>
    <row r="3405" spans="1:4" ht="12.75">
      <c r="A3405" s="10"/>
      <c r="B3405" s="10"/>
      <c r="C3405" s="10"/>
      <c r="D3405" s="10"/>
    </row>
    <row r="3406" spans="1:4" ht="12.75">
      <c r="A3406" s="10"/>
      <c r="B3406" s="10"/>
      <c r="C3406" s="10"/>
      <c r="D3406" s="10"/>
    </row>
    <row r="3407" spans="1:4" ht="12.75">
      <c r="A3407" s="10"/>
      <c r="B3407" s="10"/>
      <c r="C3407" s="10"/>
      <c r="D3407" s="10"/>
    </row>
    <row r="3408" spans="1:4" ht="12.75">
      <c r="A3408" s="10"/>
      <c r="B3408" s="10"/>
      <c r="C3408" s="10"/>
      <c r="D3408" s="10"/>
    </row>
    <row r="3409" spans="1:4" ht="12.75">
      <c r="A3409" s="10"/>
      <c r="B3409" s="10"/>
      <c r="C3409" s="10"/>
      <c r="D3409" s="10"/>
    </row>
    <row r="3410" spans="1:4" ht="12.75">
      <c r="A3410" s="10"/>
      <c r="B3410" s="10"/>
      <c r="C3410" s="10"/>
      <c r="D3410" s="10"/>
    </row>
    <row r="3411" spans="1:4" ht="12.75">
      <c r="A3411" s="10"/>
      <c r="B3411" s="10"/>
      <c r="C3411" s="10"/>
      <c r="D3411" s="10"/>
    </row>
    <row r="3412" spans="1:4" ht="12.75">
      <c r="A3412" s="10"/>
      <c r="B3412" s="10"/>
      <c r="C3412" s="10"/>
      <c r="D3412" s="10"/>
    </row>
    <row r="3413" spans="1:4" ht="12.75">
      <c r="A3413" s="10"/>
      <c r="B3413" s="10"/>
      <c r="C3413" s="10"/>
      <c r="D3413" s="10"/>
    </row>
    <row r="3414" spans="1:4" ht="12.75">
      <c r="A3414" s="10"/>
      <c r="B3414" s="10"/>
      <c r="C3414" s="10"/>
      <c r="D3414" s="10"/>
    </row>
    <row r="3415" spans="1:4" ht="12.75">
      <c r="A3415" s="10"/>
      <c r="B3415" s="10"/>
      <c r="C3415" s="10"/>
      <c r="D3415" s="10"/>
    </row>
    <row r="3416" spans="1:4" ht="12.75">
      <c r="A3416" s="10"/>
      <c r="B3416" s="10"/>
      <c r="C3416" s="10"/>
      <c r="D3416" s="10"/>
    </row>
    <row r="3417" spans="1:4" ht="12.75">
      <c r="A3417" s="10"/>
      <c r="B3417" s="10"/>
      <c r="C3417" s="10"/>
      <c r="D3417" s="10"/>
    </row>
    <row r="3418" spans="1:4" ht="12.75">
      <c r="A3418" s="10"/>
      <c r="B3418" s="10"/>
      <c r="C3418" s="10"/>
      <c r="D3418" s="10"/>
    </row>
    <row r="3419" spans="1:4" ht="12.75">
      <c r="A3419" s="10"/>
      <c r="B3419" s="10"/>
      <c r="C3419" s="10"/>
      <c r="D3419" s="10"/>
    </row>
    <row r="3420" spans="1:4" ht="12.75">
      <c r="A3420" s="10"/>
      <c r="B3420" s="10"/>
      <c r="C3420" s="10"/>
      <c r="D3420" s="10"/>
    </row>
    <row r="3421" spans="1:4" ht="12.75">
      <c r="A3421" s="10"/>
      <c r="B3421" s="10"/>
      <c r="C3421" s="10"/>
      <c r="D3421" s="10"/>
    </row>
    <row r="3422" spans="1:4" ht="12.75">
      <c r="A3422" s="10"/>
      <c r="B3422" s="10"/>
      <c r="C3422" s="10"/>
      <c r="D3422" s="10"/>
    </row>
    <row r="3423" spans="1:4" ht="12.75">
      <c r="A3423" s="10"/>
      <c r="B3423" s="10"/>
      <c r="C3423" s="10"/>
      <c r="D3423" s="10"/>
    </row>
    <row r="3424" spans="1:4" ht="12.75">
      <c r="A3424" s="10"/>
      <c r="B3424" s="10"/>
      <c r="C3424" s="10"/>
      <c r="D3424" s="10"/>
    </row>
    <row r="3425" spans="1:4" ht="12.75">
      <c r="A3425" s="10"/>
      <c r="B3425" s="10"/>
      <c r="C3425" s="10"/>
      <c r="D3425" s="10"/>
    </row>
    <row r="3426" spans="1:4" ht="12.75">
      <c r="A3426" s="10"/>
      <c r="B3426" s="10"/>
      <c r="C3426" s="10"/>
      <c r="D3426" s="10"/>
    </row>
    <row r="3427" spans="1:4" ht="12.75">
      <c r="A3427" s="10"/>
      <c r="B3427" s="10"/>
      <c r="C3427" s="10"/>
      <c r="D3427" s="10"/>
    </row>
    <row r="3428" spans="1:4" ht="12.75">
      <c r="A3428" s="10"/>
      <c r="B3428" s="10"/>
      <c r="C3428" s="10"/>
      <c r="D3428" s="10"/>
    </row>
    <row r="3429" spans="1:4" ht="12.75">
      <c r="A3429" s="10"/>
      <c r="B3429" s="10"/>
      <c r="C3429" s="10"/>
      <c r="D3429" s="10"/>
    </row>
    <row r="3430" spans="1:4" ht="12.75">
      <c r="A3430" s="10"/>
      <c r="B3430" s="10"/>
      <c r="C3430" s="10"/>
      <c r="D3430" s="10"/>
    </row>
    <row r="3431" spans="1:4" ht="12.75">
      <c r="A3431" s="10"/>
      <c r="B3431" s="10"/>
      <c r="C3431" s="10"/>
      <c r="D3431" s="10"/>
    </row>
    <row r="3432" spans="1:4" ht="12.75">
      <c r="A3432" s="10"/>
      <c r="B3432" s="10"/>
      <c r="C3432" s="10"/>
      <c r="D3432" s="10"/>
    </row>
    <row r="3433" spans="1:4" ht="12.75">
      <c r="A3433" s="10"/>
      <c r="B3433" s="10"/>
      <c r="C3433" s="10"/>
      <c r="D3433" s="10"/>
    </row>
    <row r="3434" spans="1:4" ht="12.75">
      <c r="A3434" s="10"/>
      <c r="B3434" s="10"/>
      <c r="C3434" s="10"/>
      <c r="D3434" s="10"/>
    </row>
    <row r="3435" spans="1:4" ht="12.75">
      <c r="A3435" s="10"/>
      <c r="B3435" s="10"/>
      <c r="C3435" s="10"/>
      <c r="D3435" s="10"/>
    </row>
    <row r="3436" spans="1:4" ht="12.75">
      <c r="A3436" s="10"/>
      <c r="B3436" s="10"/>
      <c r="C3436" s="10"/>
      <c r="D3436" s="10"/>
    </row>
    <row r="3437" spans="1:4" ht="12.75">
      <c r="A3437" s="10"/>
      <c r="B3437" s="10"/>
      <c r="C3437" s="10"/>
      <c r="D3437" s="10"/>
    </row>
    <row r="3438" spans="1:4" ht="12.75">
      <c r="A3438" s="10"/>
      <c r="B3438" s="10"/>
      <c r="C3438" s="10"/>
      <c r="D3438" s="10"/>
    </row>
    <row r="3439" spans="1:4" ht="12.75">
      <c r="A3439" s="10"/>
      <c r="B3439" s="10"/>
      <c r="C3439" s="10"/>
      <c r="D3439" s="10"/>
    </row>
    <row r="3440" spans="1:4" ht="12.75">
      <c r="A3440" s="10"/>
      <c r="B3440" s="10"/>
      <c r="C3440" s="10"/>
      <c r="D3440" s="10"/>
    </row>
    <row r="3441" spans="1:4" ht="12.75">
      <c r="A3441" s="10"/>
      <c r="B3441" s="10"/>
      <c r="C3441" s="10"/>
      <c r="D3441" s="10"/>
    </row>
    <row r="3442" spans="1:4" ht="12.75">
      <c r="A3442" s="10"/>
      <c r="B3442" s="10"/>
      <c r="C3442" s="10"/>
      <c r="D3442" s="10"/>
    </row>
    <row r="3443" spans="1:4" ht="12.75">
      <c r="A3443" s="10"/>
      <c r="B3443" s="10"/>
      <c r="C3443" s="10"/>
      <c r="D3443" s="10"/>
    </row>
    <row r="3444" spans="1:4" ht="12.75">
      <c r="A3444" s="10"/>
      <c r="B3444" s="10"/>
      <c r="C3444" s="10"/>
      <c r="D3444" s="10"/>
    </row>
    <row r="3445" spans="1:4" ht="12.75">
      <c r="A3445" s="10"/>
      <c r="B3445" s="10"/>
      <c r="C3445" s="10"/>
      <c r="D3445" s="10"/>
    </row>
    <row r="3446" spans="1:4" ht="12.75">
      <c r="A3446" s="10"/>
      <c r="B3446" s="10"/>
      <c r="C3446" s="10"/>
      <c r="D3446" s="10"/>
    </row>
    <row r="3447" spans="1:4" ht="12.75">
      <c r="A3447" s="10"/>
      <c r="B3447" s="10"/>
      <c r="C3447" s="10"/>
      <c r="D3447" s="10"/>
    </row>
    <row r="3448" spans="1:4" ht="12.75">
      <c r="A3448" s="10"/>
      <c r="B3448" s="10"/>
      <c r="C3448" s="10"/>
      <c r="D3448" s="10"/>
    </row>
    <row r="3449" spans="1:4" ht="12.75">
      <c r="A3449" s="10"/>
      <c r="B3449" s="10"/>
      <c r="C3449" s="10"/>
      <c r="D3449" s="10"/>
    </row>
    <row r="3450" spans="1:4" ht="12.75">
      <c r="A3450" s="10"/>
      <c r="B3450" s="10"/>
      <c r="C3450" s="10"/>
      <c r="D3450" s="10"/>
    </row>
    <row r="3451" spans="1:4" ht="12.75">
      <c r="A3451" s="10"/>
      <c r="B3451" s="10"/>
      <c r="C3451" s="10"/>
      <c r="D3451" s="10"/>
    </row>
    <row r="3452" spans="1:4" ht="12.75">
      <c r="A3452" s="10"/>
      <c r="B3452" s="10"/>
      <c r="C3452" s="10"/>
      <c r="D3452" s="10"/>
    </row>
    <row r="3453" spans="1:4" ht="12.75">
      <c r="A3453" s="10"/>
      <c r="B3453" s="10"/>
      <c r="C3453" s="10"/>
      <c r="D3453" s="10"/>
    </row>
    <row r="3454" spans="1:4" ht="12.75">
      <c r="A3454" s="10"/>
      <c r="B3454" s="10"/>
      <c r="C3454" s="10"/>
      <c r="D3454" s="10"/>
    </row>
    <row r="3455" spans="1:4" ht="12.75">
      <c r="A3455" s="10"/>
      <c r="B3455" s="10"/>
      <c r="C3455" s="10"/>
      <c r="D3455" s="10"/>
    </row>
    <row r="3456" spans="1:4" ht="12.75">
      <c r="A3456" s="10"/>
      <c r="B3456" s="10"/>
      <c r="C3456" s="10"/>
      <c r="D3456" s="10"/>
    </row>
    <row r="3457" spans="1:4" ht="12.75">
      <c r="A3457" s="10"/>
      <c r="B3457" s="10"/>
      <c r="C3457" s="10"/>
      <c r="D3457" s="10"/>
    </row>
    <row r="3458" spans="1:4" ht="12.75">
      <c r="A3458" s="10"/>
      <c r="B3458" s="10"/>
      <c r="C3458" s="10"/>
      <c r="D3458" s="10"/>
    </row>
    <row r="3459" spans="1:4" ht="12.75">
      <c r="A3459" s="10"/>
      <c r="B3459" s="10"/>
      <c r="C3459" s="10"/>
      <c r="D3459" s="10"/>
    </row>
    <row r="3460" spans="1:4" ht="12.75">
      <c r="A3460" s="10"/>
      <c r="B3460" s="10"/>
      <c r="C3460" s="10"/>
      <c r="D3460" s="10"/>
    </row>
    <row r="3461" spans="1:4" ht="12.75">
      <c r="A3461" s="10"/>
      <c r="B3461" s="10"/>
      <c r="C3461" s="10"/>
      <c r="D3461" s="10"/>
    </row>
    <row r="3462" spans="1:4" ht="12.75">
      <c r="A3462" s="10"/>
      <c r="B3462" s="10"/>
      <c r="C3462" s="10"/>
      <c r="D3462" s="10"/>
    </row>
    <row r="3463" spans="1:4" ht="12.75">
      <c r="A3463" s="10"/>
      <c r="B3463" s="10"/>
      <c r="C3463" s="10"/>
      <c r="D3463" s="10"/>
    </row>
    <row r="3464" spans="1:4" ht="12.75">
      <c r="A3464" s="10"/>
      <c r="B3464" s="10"/>
      <c r="C3464" s="10"/>
      <c r="D3464" s="10"/>
    </row>
    <row r="3465" spans="1:4" ht="12.75">
      <c r="A3465" s="10"/>
      <c r="B3465" s="10"/>
      <c r="C3465" s="10"/>
      <c r="D3465" s="10"/>
    </row>
    <row r="3466" spans="1:4" ht="12.75">
      <c r="A3466" s="10"/>
      <c r="B3466" s="10"/>
      <c r="C3466" s="10"/>
      <c r="D3466" s="10"/>
    </row>
    <row r="3467" spans="1:4" ht="12.75">
      <c r="A3467" s="10"/>
      <c r="B3467" s="10"/>
      <c r="C3467" s="10"/>
      <c r="D3467" s="10"/>
    </row>
    <row r="3468" spans="1:4" ht="12.75">
      <c r="A3468" s="10"/>
      <c r="B3468" s="10"/>
      <c r="C3468" s="10"/>
      <c r="D3468" s="10"/>
    </row>
    <row r="3469" spans="1:4" ht="12.75">
      <c r="A3469" s="10"/>
      <c r="B3469" s="10"/>
      <c r="C3469" s="10"/>
      <c r="D3469" s="10"/>
    </row>
    <row r="3470" spans="1:4" ht="12.75">
      <c r="A3470" s="10"/>
      <c r="B3470" s="10"/>
      <c r="C3470" s="10"/>
      <c r="D3470" s="10"/>
    </row>
    <row r="3471" spans="1:4" ht="12.75">
      <c r="A3471" s="10"/>
      <c r="B3471" s="10"/>
      <c r="C3471" s="10"/>
      <c r="D3471" s="10"/>
    </row>
    <row r="3472" spans="1:4" ht="12.75">
      <c r="A3472" s="10"/>
      <c r="B3472" s="10"/>
      <c r="C3472" s="10"/>
      <c r="D3472" s="10"/>
    </row>
    <row r="3473" spans="1:4" ht="12.75">
      <c r="A3473" s="10"/>
      <c r="B3473" s="10"/>
      <c r="C3473" s="10"/>
      <c r="D3473" s="10"/>
    </row>
    <row r="3474" spans="1:4" ht="12.75">
      <c r="A3474" s="10"/>
      <c r="B3474" s="10"/>
      <c r="C3474" s="10"/>
      <c r="D3474" s="10"/>
    </row>
    <row r="3475" spans="1:4" ht="12.75">
      <c r="A3475" s="10"/>
      <c r="B3475" s="10"/>
      <c r="C3475" s="10"/>
      <c r="D3475" s="10"/>
    </row>
    <row r="3476" spans="1:4" ht="12.75">
      <c r="A3476" s="10"/>
      <c r="B3476" s="10"/>
      <c r="C3476" s="10"/>
      <c r="D3476" s="10"/>
    </row>
    <row r="3477" spans="1:4" ht="12.75">
      <c r="A3477" s="10"/>
      <c r="B3477" s="10"/>
      <c r="C3477" s="10"/>
      <c r="D3477" s="10"/>
    </row>
    <row r="3478" spans="1:4" ht="12.75">
      <c r="A3478" s="10"/>
      <c r="B3478" s="10"/>
      <c r="C3478" s="10"/>
      <c r="D3478" s="10"/>
    </row>
    <row r="3479" spans="1:4" ht="12.75">
      <c r="A3479" s="10"/>
      <c r="B3479" s="10"/>
      <c r="C3479" s="10"/>
      <c r="D3479" s="10"/>
    </row>
    <row r="3480" spans="1:4" ht="12.75">
      <c r="A3480" s="10"/>
      <c r="B3480" s="10"/>
      <c r="C3480" s="10"/>
      <c r="D3480" s="10"/>
    </row>
    <row r="3481" spans="1:4" ht="12.75">
      <c r="A3481" s="10"/>
      <c r="B3481" s="10"/>
      <c r="C3481" s="10"/>
      <c r="D3481" s="10"/>
    </row>
    <row r="3482" spans="1:4" ht="12.75">
      <c r="A3482" s="10"/>
      <c r="B3482" s="10"/>
      <c r="C3482" s="10"/>
      <c r="D3482" s="10"/>
    </row>
    <row r="3483" spans="1:4" ht="12.75">
      <c r="A3483" s="10"/>
      <c r="B3483" s="10"/>
      <c r="C3483" s="10"/>
      <c r="D3483" s="10"/>
    </row>
    <row r="3484" spans="1:4" ht="12.75">
      <c r="A3484" s="10"/>
      <c r="B3484" s="10"/>
      <c r="C3484" s="10"/>
      <c r="D3484" s="10"/>
    </row>
    <row r="3485" spans="1:4" ht="12.75">
      <c r="A3485" s="10"/>
      <c r="B3485" s="10"/>
      <c r="C3485" s="10"/>
      <c r="D3485" s="10"/>
    </row>
    <row r="3486" spans="1:4" ht="12.75">
      <c r="A3486" s="10"/>
      <c r="B3486" s="10"/>
      <c r="C3486" s="10"/>
      <c r="D3486" s="10"/>
    </row>
    <row r="3487" spans="1:4" ht="12.75">
      <c r="A3487" s="10"/>
      <c r="B3487" s="10"/>
      <c r="C3487" s="10"/>
      <c r="D3487" s="10"/>
    </row>
    <row r="3488" spans="1:4" ht="12.75">
      <c r="A3488" s="10"/>
      <c r="B3488" s="10"/>
      <c r="C3488" s="10"/>
      <c r="D3488" s="10"/>
    </row>
    <row r="3489" spans="1:4" ht="12.75">
      <c r="A3489" s="10"/>
      <c r="B3489" s="10"/>
      <c r="C3489" s="10"/>
      <c r="D3489" s="10"/>
    </row>
    <row r="3490" spans="1:4" ht="12.75">
      <c r="A3490" s="10"/>
      <c r="B3490" s="10"/>
      <c r="C3490" s="10"/>
      <c r="D3490" s="10"/>
    </row>
    <row r="3491" spans="1:4" ht="12.75">
      <c r="A3491" s="10"/>
      <c r="B3491" s="10"/>
      <c r="C3491" s="10"/>
      <c r="D3491" s="10"/>
    </row>
    <row r="3492" spans="1:4" ht="12.75">
      <c r="A3492" s="10"/>
      <c r="B3492" s="10"/>
      <c r="C3492" s="10"/>
      <c r="D3492" s="10"/>
    </row>
    <row r="3493" spans="1:4" ht="12.75">
      <c r="A3493" s="10"/>
      <c r="B3493" s="10"/>
      <c r="C3493" s="10"/>
      <c r="D3493" s="10"/>
    </row>
    <row r="3494" spans="1:4" ht="12.75">
      <c r="A3494" s="10"/>
      <c r="B3494" s="10"/>
      <c r="C3494" s="10"/>
      <c r="D3494" s="10"/>
    </row>
    <row r="3495" spans="1:4" ht="12.75">
      <c r="A3495" s="10"/>
      <c r="B3495" s="10"/>
      <c r="C3495" s="10"/>
      <c r="D3495" s="10"/>
    </row>
    <row r="3496" spans="1:4" ht="12.75">
      <c r="A3496" s="10"/>
      <c r="B3496" s="10"/>
      <c r="C3496" s="10"/>
      <c r="D3496" s="10"/>
    </row>
    <row r="3497" spans="1:4" ht="12.75">
      <c r="A3497" s="10"/>
      <c r="B3497" s="10"/>
      <c r="C3497" s="10"/>
      <c r="D3497" s="10"/>
    </row>
    <row r="3498" spans="1:4" ht="12.75">
      <c r="A3498" s="10"/>
      <c r="B3498" s="10"/>
      <c r="C3498" s="10"/>
      <c r="D3498" s="10"/>
    </row>
    <row r="3499" spans="1:4" ht="12.75">
      <c r="A3499" s="10"/>
      <c r="B3499" s="10"/>
      <c r="C3499" s="10"/>
      <c r="D3499" s="10"/>
    </row>
    <row r="3500" spans="1:4" ht="12.75">
      <c r="A3500" s="10"/>
      <c r="B3500" s="10"/>
      <c r="C3500" s="10"/>
      <c r="D3500" s="10"/>
    </row>
    <row r="3501" spans="1:4" ht="12.75">
      <c r="A3501" s="10"/>
      <c r="B3501" s="10"/>
      <c r="C3501" s="10"/>
      <c r="D3501" s="10"/>
    </row>
    <row r="3502" spans="1:4" ht="12.75">
      <c r="A3502" s="10"/>
      <c r="B3502" s="10"/>
      <c r="C3502" s="10"/>
      <c r="D3502" s="10"/>
    </row>
    <row r="3503" spans="1:4" ht="12.75">
      <c r="A3503" s="10"/>
      <c r="B3503" s="10"/>
      <c r="C3503" s="10"/>
      <c r="D3503" s="10"/>
    </row>
    <row r="3504" spans="1:4" ht="12.75">
      <c r="A3504" s="10"/>
      <c r="B3504" s="10"/>
      <c r="C3504" s="10"/>
      <c r="D3504" s="10"/>
    </row>
    <row r="3505" spans="1:4" ht="12.75">
      <c r="A3505" s="10"/>
      <c r="B3505" s="10"/>
      <c r="C3505" s="10"/>
      <c r="D3505" s="10"/>
    </row>
    <row r="3506" spans="1:4" ht="12.75">
      <c r="A3506" s="10"/>
      <c r="B3506" s="10"/>
      <c r="C3506" s="10"/>
      <c r="D3506" s="10"/>
    </row>
    <row r="3507" spans="1:4" ht="12.75">
      <c r="A3507" s="10"/>
      <c r="B3507" s="10"/>
      <c r="C3507" s="10"/>
      <c r="D3507" s="10"/>
    </row>
    <row r="3508" spans="1:4" ht="12.75">
      <c r="A3508" s="10"/>
      <c r="B3508" s="10"/>
      <c r="C3508" s="10"/>
      <c r="D3508" s="10"/>
    </row>
    <row r="3509" spans="1:4" ht="12.75">
      <c r="A3509" s="10"/>
      <c r="B3509" s="10"/>
      <c r="C3509" s="10"/>
      <c r="D3509" s="10"/>
    </row>
    <row r="3510" spans="1:4" ht="12.75">
      <c r="A3510" s="10"/>
      <c r="B3510" s="10"/>
      <c r="C3510" s="10"/>
      <c r="D3510" s="10"/>
    </row>
    <row r="3511" spans="1:4" ht="12.75">
      <c r="A3511" s="10"/>
      <c r="B3511" s="10"/>
      <c r="C3511" s="10"/>
      <c r="D3511" s="10"/>
    </row>
    <row r="3512" spans="1:4" ht="12.75">
      <c r="A3512" s="10"/>
      <c r="B3512" s="10"/>
      <c r="C3512" s="10"/>
      <c r="D3512" s="10"/>
    </row>
    <row r="3513" spans="1:4" ht="12.75">
      <c r="A3513" s="10"/>
      <c r="B3513" s="10"/>
      <c r="C3513" s="10"/>
      <c r="D3513" s="10"/>
    </row>
    <row r="3514" spans="1:4" ht="12.75">
      <c r="A3514" s="10"/>
      <c r="B3514" s="10"/>
      <c r="C3514" s="10"/>
      <c r="D3514" s="10"/>
    </row>
    <row r="3515" spans="1:4" ht="12.75">
      <c r="A3515" s="10"/>
      <c r="B3515" s="10"/>
      <c r="C3515" s="10"/>
      <c r="D3515" s="10"/>
    </row>
    <row r="3516" spans="1:4" ht="12.75">
      <c r="A3516" s="10"/>
      <c r="B3516" s="10"/>
      <c r="C3516" s="10"/>
      <c r="D3516" s="10"/>
    </row>
    <row r="3517" spans="1:4" ht="12.75">
      <c r="A3517" s="10"/>
      <c r="B3517" s="10"/>
      <c r="C3517" s="10"/>
      <c r="D3517" s="10"/>
    </row>
    <row r="3518" spans="1:4" ht="12.75">
      <c r="A3518" s="10"/>
      <c r="B3518" s="10"/>
      <c r="C3518" s="10"/>
      <c r="D3518" s="10"/>
    </row>
    <row r="3519" spans="1:4" ht="12.75">
      <c r="A3519" s="10"/>
      <c r="B3519" s="10"/>
      <c r="C3519" s="10"/>
      <c r="D3519" s="10"/>
    </row>
    <row r="3520" spans="1:4" ht="12.75">
      <c r="A3520" s="10"/>
      <c r="B3520" s="10"/>
      <c r="C3520" s="10"/>
      <c r="D3520" s="10"/>
    </row>
    <row r="3521" spans="1:4" ht="12.75">
      <c r="A3521" s="10"/>
      <c r="B3521" s="10"/>
      <c r="C3521" s="10"/>
      <c r="D3521" s="10"/>
    </row>
    <row r="3522" spans="1:4" ht="12.75">
      <c r="A3522" s="10"/>
      <c r="B3522" s="10"/>
      <c r="C3522" s="10"/>
      <c r="D3522" s="10"/>
    </row>
    <row r="3523" spans="1:4" ht="12.75">
      <c r="A3523" s="10"/>
      <c r="B3523" s="10"/>
      <c r="C3523" s="10"/>
      <c r="D3523" s="10"/>
    </row>
    <row r="3524" spans="1:4" ht="12.75">
      <c r="A3524" s="10"/>
      <c r="B3524" s="10"/>
      <c r="C3524" s="10"/>
      <c r="D3524" s="10"/>
    </row>
    <row r="3525" spans="1:4" ht="12.75">
      <c r="A3525" s="10"/>
      <c r="B3525" s="10"/>
      <c r="C3525" s="10"/>
      <c r="D3525" s="10"/>
    </row>
    <row r="3526" spans="1:4" ht="12.75">
      <c r="A3526" s="10"/>
      <c r="B3526" s="10"/>
      <c r="C3526" s="10"/>
      <c r="D3526" s="10"/>
    </row>
    <row r="3527" spans="1:4" ht="12.75">
      <c r="A3527" s="10"/>
      <c r="B3527" s="10"/>
      <c r="C3527" s="10"/>
      <c r="D3527" s="10"/>
    </row>
    <row r="3528" spans="1:4" ht="12.75">
      <c r="A3528" s="10"/>
      <c r="B3528" s="10"/>
      <c r="C3528" s="10"/>
      <c r="D3528" s="10"/>
    </row>
    <row r="3529" spans="1:4" ht="12.75">
      <c r="A3529" s="10"/>
      <c r="B3529" s="10"/>
      <c r="C3529" s="10"/>
      <c r="D3529" s="10"/>
    </row>
    <row r="3530" spans="1:4" ht="12.75">
      <c r="A3530" s="10"/>
      <c r="B3530" s="10"/>
      <c r="C3530" s="10"/>
      <c r="D3530" s="10"/>
    </row>
    <row r="3531" spans="1:4" ht="12.75">
      <c r="A3531" s="10"/>
      <c r="B3531" s="10"/>
      <c r="C3531" s="10"/>
      <c r="D3531" s="10"/>
    </row>
    <row r="3532" spans="1:4" ht="12.75">
      <c r="A3532" s="10"/>
      <c r="B3532" s="10"/>
      <c r="C3532" s="10"/>
      <c r="D3532" s="10"/>
    </row>
    <row r="3533" spans="1:4" ht="12.75">
      <c r="A3533" s="10"/>
      <c r="B3533" s="10"/>
      <c r="C3533" s="10"/>
      <c r="D3533" s="10"/>
    </row>
    <row r="3534" spans="1:4" ht="12.75">
      <c r="A3534" s="10"/>
      <c r="B3534" s="10"/>
      <c r="C3534" s="10"/>
      <c r="D3534" s="10"/>
    </row>
    <row r="3535" spans="1:4" ht="12.75">
      <c r="A3535" s="10"/>
      <c r="B3535" s="10"/>
      <c r="C3535" s="10"/>
      <c r="D3535" s="10"/>
    </row>
    <row r="3536" spans="1:4" ht="12.75">
      <c r="A3536" s="10"/>
      <c r="B3536" s="10"/>
      <c r="C3536" s="10"/>
      <c r="D3536" s="10"/>
    </row>
    <row r="3537" spans="1:4" ht="12.75">
      <c r="A3537" s="10"/>
      <c r="B3537" s="10"/>
      <c r="C3537" s="10"/>
      <c r="D3537" s="10"/>
    </row>
    <row r="3538" spans="1:4" ht="12.75">
      <c r="A3538" s="10"/>
      <c r="B3538" s="10"/>
      <c r="C3538" s="10"/>
      <c r="D3538" s="10"/>
    </row>
    <row r="3539" spans="1:4" ht="12.75">
      <c r="A3539" s="10"/>
      <c r="B3539" s="10"/>
      <c r="C3539" s="10"/>
      <c r="D3539" s="10"/>
    </row>
    <row r="3540" spans="1:4" ht="12.75">
      <c r="A3540" s="10"/>
      <c r="B3540" s="10"/>
      <c r="C3540" s="10"/>
      <c r="D3540" s="10"/>
    </row>
    <row r="3541" spans="1:4" ht="12.75">
      <c r="A3541" s="10"/>
      <c r="B3541" s="10"/>
      <c r="C3541" s="10"/>
      <c r="D3541" s="10"/>
    </row>
    <row r="3542" spans="1:4" ht="12.75">
      <c r="A3542" s="10"/>
      <c r="B3542" s="10"/>
      <c r="C3542" s="10"/>
      <c r="D3542" s="10"/>
    </row>
    <row r="3543" spans="1:4" ht="12.75">
      <c r="A3543" s="10"/>
      <c r="B3543" s="10"/>
      <c r="C3543" s="10"/>
      <c r="D3543" s="10"/>
    </row>
    <row r="3544" spans="1:4" ht="12.75">
      <c r="A3544" s="10"/>
      <c r="B3544" s="10"/>
      <c r="C3544" s="10"/>
      <c r="D3544" s="10"/>
    </row>
    <row r="3545" spans="1:4" ht="12.75">
      <c r="A3545" s="10"/>
      <c r="B3545" s="10"/>
      <c r="C3545" s="10"/>
      <c r="D3545" s="10"/>
    </row>
    <row r="3546" spans="1:4" ht="12.75">
      <c r="A3546" s="10"/>
      <c r="B3546" s="10"/>
      <c r="C3546" s="10"/>
      <c r="D3546" s="10"/>
    </row>
    <row r="3547" spans="1:4" ht="12.75">
      <c r="A3547" s="10"/>
      <c r="B3547" s="10"/>
      <c r="C3547" s="10"/>
      <c r="D3547" s="10"/>
    </row>
    <row r="3548" spans="1:4" ht="12.75">
      <c r="A3548" s="10"/>
      <c r="B3548" s="10"/>
      <c r="C3548" s="10"/>
      <c r="D3548" s="10"/>
    </row>
    <row r="3549" spans="1:4" ht="12.75">
      <c r="A3549" s="10"/>
      <c r="B3549" s="10"/>
      <c r="C3549" s="10"/>
      <c r="D3549" s="10"/>
    </row>
    <row r="3550" spans="1:4" ht="12.75">
      <c r="A3550" s="10"/>
      <c r="B3550" s="10"/>
      <c r="C3550" s="10"/>
      <c r="D3550" s="10"/>
    </row>
    <row r="3551" spans="1:4" ht="12.75">
      <c r="A3551" s="10"/>
      <c r="B3551" s="10"/>
      <c r="C3551" s="10"/>
      <c r="D3551" s="10"/>
    </row>
    <row r="3552" spans="1:4" ht="12.75">
      <c r="A3552" s="10"/>
      <c r="B3552" s="10"/>
      <c r="C3552" s="10"/>
      <c r="D3552" s="10"/>
    </row>
    <row r="3553" spans="1:4" ht="12.75">
      <c r="A3553" s="10"/>
      <c r="B3553" s="10"/>
      <c r="C3553" s="10"/>
      <c r="D3553" s="10"/>
    </row>
    <row r="3554" spans="1:4" ht="12.75">
      <c r="A3554" s="10"/>
      <c r="B3554" s="10"/>
      <c r="C3554" s="10"/>
      <c r="D3554" s="10"/>
    </row>
    <row r="3555" spans="1:4" ht="12.75">
      <c r="A3555" s="10"/>
      <c r="B3555" s="10"/>
      <c r="C3555" s="10"/>
      <c r="D3555" s="10"/>
    </row>
    <row r="3556" spans="1:4" ht="12.75">
      <c r="A3556" s="10"/>
      <c r="B3556" s="10"/>
      <c r="C3556" s="10"/>
      <c r="D3556" s="10"/>
    </row>
    <row r="3557" spans="1:4" ht="12.75">
      <c r="A3557" s="10"/>
      <c r="B3557" s="10"/>
      <c r="C3557" s="10"/>
      <c r="D3557" s="10"/>
    </row>
    <row r="3558" spans="1:4" ht="12.75">
      <c r="A3558" s="10"/>
      <c r="B3558" s="10"/>
      <c r="C3558" s="10"/>
      <c r="D3558" s="10"/>
    </row>
    <row r="3559" spans="1:4" ht="12.75">
      <c r="A3559" s="10"/>
      <c r="B3559" s="10"/>
      <c r="C3559" s="10"/>
      <c r="D3559" s="10"/>
    </row>
    <row r="3560" spans="1:4" ht="12.75">
      <c r="A3560" s="10"/>
      <c r="B3560" s="10"/>
      <c r="C3560" s="10"/>
      <c r="D3560" s="10"/>
    </row>
    <row r="3561" spans="1:4" ht="12.75">
      <c r="A3561" s="10"/>
      <c r="B3561" s="10"/>
      <c r="C3561" s="10"/>
      <c r="D3561" s="10"/>
    </row>
    <row r="3562" spans="1:4" ht="12.75">
      <c r="A3562" s="10"/>
      <c r="B3562" s="10"/>
      <c r="C3562" s="10"/>
      <c r="D3562" s="10"/>
    </row>
    <row r="3563" spans="1:4" ht="12.75">
      <c r="A3563" s="10"/>
      <c r="B3563" s="10"/>
      <c r="C3563" s="10"/>
      <c r="D3563" s="10"/>
    </row>
    <row r="3564" spans="1:4" ht="12.75">
      <c r="A3564" s="10"/>
      <c r="B3564" s="10"/>
      <c r="C3564" s="10"/>
      <c r="D3564" s="10"/>
    </row>
    <row r="3565" spans="1:4" ht="12.75">
      <c r="A3565" s="10"/>
      <c r="B3565" s="10"/>
      <c r="C3565" s="10"/>
      <c r="D3565" s="10"/>
    </row>
    <row r="3566" spans="1:4" ht="12.75">
      <c r="A3566" s="10"/>
      <c r="B3566" s="10"/>
      <c r="C3566" s="10"/>
      <c r="D3566" s="10"/>
    </row>
    <row r="3567" spans="1:4" ht="12.75">
      <c r="A3567" s="10"/>
      <c r="B3567" s="10"/>
      <c r="C3567" s="10"/>
      <c r="D3567" s="10"/>
    </row>
    <row r="3568" spans="1:4" ht="12.75">
      <c r="A3568" s="10"/>
      <c r="B3568" s="10"/>
      <c r="C3568" s="10"/>
      <c r="D3568" s="10"/>
    </row>
    <row r="3569" spans="1:4" ht="12.75">
      <c r="A3569" s="10"/>
      <c r="B3569" s="10"/>
      <c r="C3569" s="10"/>
      <c r="D3569" s="10"/>
    </row>
    <row r="3570" spans="1:4" ht="12.75">
      <c r="A3570" s="10"/>
      <c r="B3570" s="10"/>
      <c r="C3570" s="10"/>
      <c r="D3570" s="10"/>
    </row>
    <row r="3571" spans="1:4" ht="12.75">
      <c r="A3571" s="10"/>
      <c r="B3571" s="10"/>
      <c r="C3571" s="10"/>
      <c r="D3571" s="10"/>
    </row>
    <row r="3572" spans="1:4" ht="12.75">
      <c r="A3572" s="10"/>
      <c r="B3572" s="10"/>
      <c r="C3572" s="10"/>
      <c r="D3572" s="10"/>
    </row>
    <row r="3573" spans="1:4" ht="12.75">
      <c r="A3573" s="10"/>
      <c r="B3573" s="10"/>
      <c r="C3573" s="10"/>
      <c r="D3573" s="10"/>
    </row>
    <row r="3574" spans="1:4" ht="12.75">
      <c r="A3574" s="10"/>
      <c r="B3574" s="10"/>
      <c r="C3574" s="10"/>
      <c r="D3574" s="10"/>
    </row>
    <row r="3575" spans="1:4" ht="12.75">
      <c r="A3575" s="10"/>
      <c r="B3575" s="10"/>
      <c r="C3575" s="10"/>
      <c r="D3575" s="10"/>
    </row>
    <row r="3576" spans="1:4" ht="12.75">
      <c r="A3576" s="10"/>
      <c r="B3576" s="10"/>
      <c r="C3576" s="10"/>
      <c r="D3576" s="10"/>
    </row>
    <row r="3577" spans="1:4" ht="12.75">
      <c r="A3577" s="10"/>
      <c r="B3577" s="10"/>
      <c r="C3577" s="10"/>
      <c r="D3577" s="10"/>
    </row>
    <row r="3578" spans="1:4" ht="12.75">
      <c r="A3578" s="10"/>
      <c r="B3578" s="10"/>
      <c r="C3578" s="10"/>
      <c r="D3578" s="10"/>
    </row>
    <row r="3579" spans="1:4" ht="12.75">
      <c r="A3579" s="10"/>
      <c r="B3579" s="10"/>
      <c r="C3579" s="10"/>
      <c r="D3579" s="10"/>
    </row>
    <row r="3580" spans="1:4" ht="12.75">
      <c r="A3580" s="10"/>
      <c r="B3580" s="10"/>
      <c r="C3580" s="10"/>
      <c r="D3580" s="10"/>
    </row>
    <row r="3581" spans="1:4" ht="12.75">
      <c r="A3581" s="10"/>
      <c r="B3581" s="10"/>
      <c r="C3581" s="10"/>
      <c r="D3581" s="10"/>
    </row>
    <row r="3582" spans="1:4" ht="12.75">
      <c r="A3582" s="10"/>
      <c r="B3582" s="10"/>
      <c r="C3582" s="10"/>
      <c r="D3582" s="10"/>
    </row>
    <row r="3583" spans="1:4" ht="12.75">
      <c r="A3583" s="10"/>
      <c r="B3583" s="10"/>
      <c r="C3583" s="10"/>
      <c r="D3583" s="10"/>
    </row>
    <row r="3584" spans="1:4" ht="12.75">
      <c r="A3584" s="10"/>
      <c r="B3584" s="10"/>
      <c r="C3584" s="10"/>
      <c r="D3584" s="10"/>
    </row>
    <row r="3585" spans="1:4" ht="12.75">
      <c r="A3585" s="10"/>
      <c r="B3585" s="10"/>
      <c r="C3585" s="10"/>
      <c r="D3585" s="10"/>
    </row>
    <row r="3586" spans="1:4" ht="12.75">
      <c r="A3586" s="10"/>
      <c r="B3586" s="10"/>
      <c r="C3586" s="10"/>
      <c r="D3586" s="10"/>
    </row>
    <row r="3587" spans="1:4" ht="12.75">
      <c r="A3587" s="10"/>
      <c r="B3587" s="10"/>
      <c r="C3587" s="10"/>
      <c r="D3587" s="10"/>
    </row>
    <row r="3588" spans="1:4" ht="12.75">
      <c r="A3588" s="10"/>
      <c r="B3588" s="10"/>
      <c r="C3588" s="10"/>
      <c r="D3588" s="10"/>
    </row>
    <row r="3589" spans="1:4" ht="12.75">
      <c r="A3589" s="10"/>
      <c r="B3589" s="10"/>
      <c r="C3589" s="10"/>
      <c r="D3589" s="10"/>
    </row>
    <row r="3590" spans="1:4" ht="12.75">
      <c r="A3590" s="10"/>
      <c r="B3590" s="10"/>
      <c r="C3590" s="10"/>
      <c r="D3590" s="10"/>
    </row>
    <row r="3591" spans="1:4" ht="12.75">
      <c r="A3591" s="10"/>
      <c r="B3591" s="10"/>
      <c r="C3591" s="10"/>
      <c r="D3591" s="10"/>
    </row>
    <row r="3592" spans="1:4" ht="12.75">
      <c r="A3592" s="10"/>
      <c r="B3592" s="10"/>
      <c r="C3592" s="10"/>
      <c r="D3592" s="10"/>
    </row>
    <row r="3593" spans="1:4" ht="12.75">
      <c r="A3593" s="10"/>
      <c r="B3593" s="10"/>
      <c r="C3593" s="10"/>
      <c r="D3593" s="10"/>
    </row>
    <row r="3594" spans="1:4" ht="12.75">
      <c r="A3594" s="10"/>
      <c r="B3594" s="10"/>
      <c r="C3594" s="10"/>
      <c r="D3594" s="10"/>
    </row>
    <row r="3595" spans="1:4" ht="12.75">
      <c r="A3595" s="10"/>
      <c r="B3595" s="10"/>
      <c r="C3595" s="10"/>
      <c r="D3595" s="10"/>
    </row>
    <row r="3596" spans="1:4" ht="12.75">
      <c r="A3596" s="10"/>
      <c r="B3596" s="10"/>
      <c r="C3596" s="10"/>
      <c r="D3596" s="10"/>
    </row>
    <row r="3597" spans="1:4" ht="12.75">
      <c r="A3597" s="10"/>
      <c r="B3597" s="10"/>
      <c r="C3597" s="10"/>
      <c r="D3597" s="10"/>
    </row>
    <row r="3598" spans="1:4" ht="12.75">
      <c r="A3598" s="10"/>
      <c r="B3598" s="10"/>
      <c r="C3598" s="10"/>
      <c r="D3598" s="10"/>
    </row>
    <row r="3599" spans="1:4" ht="12.75">
      <c r="A3599" s="10"/>
      <c r="B3599" s="10"/>
      <c r="C3599" s="10"/>
      <c r="D3599" s="10"/>
    </row>
    <row r="3600" spans="1:4" ht="12.75">
      <c r="A3600" s="10"/>
      <c r="B3600" s="10"/>
      <c r="C3600" s="10"/>
      <c r="D3600" s="10"/>
    </row>
    <row r="3601" spans="1:4" ht="12.75">
      <c r="A3601" s="10"/>
      <c r="B3601" s="10"/>
      <c r="C3601" s="10"/>
      <c r="D3601" s="10"/>
    </row>
    <row r="3602" spans="1:4" ht="12.75">
      <c r="A3602" s="10"/>
      <c r="B3602" s="10"/>
      <c r="C3602" s="10"/>
      <c r="D3602" s="10"/>
    </row>
    <row r="3603" spans="1:4" ht="12.75">
      <c r="A3603" s="10"/>
      <c r="B3603" s="10"/>
      <c r="C3603" s="10"/>
      <c r="D3603" s="10"/>
    </row>
    <row r="3604" spans="1:4" ht="12.75">
      <c r="A3604" s="10"/>
      <c r="B3604" s="10"/>
      <c r="C3604" s="10"/>
      <c r="D3604" s="10"/>
    </row>
    <row r="3605" spans="1:4" ht="12.75">
      <c r="A3605" s="10"/>
      <c r="B3605" s="10"/>
      <c r="C3605" s="10"/>
      <c r="D3605" s="10"/>
    </row>
    <row r="3606" spans="1:4" ht="12.75">
      <c r="A3606" s="10"/>
      <c r="B3606" s="10"/>
      <c r="C3606" s="10"/>
      <c r="D3606" s="10"/>
    </row>
    <row r="3607" spans="1:4" ht="12.75">
      <c r="A3607" s="10"/>
      <c r="B3607" s="10"/>
      <c r="C3607" s="10"/>
      <c r="D3607" s="10"/>
    </row>
    <row r="3608" spans="1:4" ht="12.75">
      <c r="A3608" s="10"/>
      <c r="B3608" s="10"/>
      <c r="C3608" s="10"/>
      <c r="D3608" s="10"/>
    </row>
    <row r="3609" spans="1:4" ht="12.75">
      <c r="A3609" s="10"/>
      <c r="B3609" s="10"/>
      <c r="C3609" s="10"/>
      <c r="D3609" s="10"/>
    </row>
    <row r="3610" spans="1:4" ht="12.75">
      <c r="A3610" s="10"/>
      <c r="B3610" s="10"/>
      <c r="C3610" s="10"/>
      <c r="D3610" s="10"/>
    </row>
    <row r="3611" spans="1:4" ht="12.75">
      <c r="A3611" s="10"/>
      <c r="B3611" s="10"/>
      <c r="C3611" s="10"/>
      <c r="D3611" s="10"/>
    </row>
    <row r="3612" spans="1:4" ht="12.75">
      <c r="A3612" s="10"/>
      <c r="B3612" s="10"/>
      <c r="C3612" s="10"/>
      <c r="D3612" s="10"/>
    </row>
    <row r="3613" spans="1:4" ht="12.75">
      <c r="A3613" s="10"/>
      <c r="B3613" s="10"/>
      <c r="C3613" s="10"/>
      <c r="D3613" s="10"/>
    </row>
    <row r="3614" spans="1:4" ht="12.75">
      <c r="A3614" s="10"/>
      <c r="B3614" s="10"/>
      <c r="C3614" s="10"/>
      <c r="D3614" s="10"/>
    </row>
    <row r="3615" spans="1:4" ht="12.75">
      <c r="A3615" s="10"/>
      <c r="B3615" s="10"/>
      <c r="C3615" s="10"/>
      <c r="D3615" s="10"/>
    </row>
    <row r="3616" spans="1:4" ht="12.75">
      <c r="A3616" s="10"/>
      <c r="B3616" s="10"/>
      <c r="C3616" s="10"/>
      <c r="D3616" s="10"/>
    </row>
    <row r="3617" spans="1:4" ht="12.75">
      <c r="A3617" s="10"/>
      <c r="B3617" s="10"/>
      <c r="C3617" s="10"/>
      <c r="D3617" s="10"/>
    </row>
    <row r="3618" spans="1:4" ht="12.75">
      <c r="A3618" s="10"/>
      <c r="B3618" s="10"/>
      <c r="C3618" s="10"/>
      <c r="D3618" s="10"/>
    </row>
    <row r="3619" spans="1:4" ht="12.75">
      <c r="A3619" s="10"/>
      <c r="B3619" s="10"/>
      <c r="C3619" s="10"/>
      <c r="D3619" s="10"/>
    </row>
    <row r="3620" spans="1:4" ht="12.75">
      <c r="A3620" s="10"/>
      <c r="B3620" s="10"/>
      <c r="C3620" s="10"/>
      <c r="D3620" s="10"/>
    </row>
    <row r="3621" spans="1:4" ht="12.75">
      <c r="A3621" s="10"/>
      <c r="B3621" s="10"/>
      <c r="C3621" s="10"/>
      <c r="D3621" s="10"/>
    </row>
    <row r="3622" spans="1:4" ht="12.75">
      <c r="A3622" s="10"/>
      <c r="B3622" s="10"/>
      <c r="C3622" s="10"/>
      <c r="D3622" s="10"/>
    </row>
    <row r="3623" spans="1:4" ht="12.75">
      <c r="A3623" s="10"/>
      <c r="B3623" s="10"/>
      <c r="C3623" s="10"/>
      <c r="D3623" s="10"/>
    </row>
    <row r="3624" spans="1:4" ht="12.75">
      <c r="A3624" s="10"/>
      <c r="B3624" s="10"/>
      <c r="C3624" s="10"/>
      <c r="D3624" s="10"/>
    </row>
    <row r="3625" spans="1:4" ht="12.75">
      <c r="A3625" s="10"/>
      <c r="B3625" s="10"/>
      <c r="C3625" s="10"/>
      <c r="D3625" s="10"/>
    </row>
    <row r="3626" spans="1:4" ht="12.75">
      <c r="A3626" s="10"/>
      <c r="B3626" s="10"/>
      <c r="C3626" s="10"/>
      <c r="D3626" s="10"/>
    </row>
    <row r="3627" spans="1:4" ht="12.75">
      <c r="A3627" s="10"/>
      <c r="B3627" s="10"/>
      <c r="C3627" s="10"/>
      <c r="D3627" s="10"/>
    </row>
    <row r="3628" spans="1:4" ht="12.75">
      <c r="A3628" s="10"/>
      <c r="B3628" s="10"/>
      <c r="C3628" s="10"/>
      <c r="D3628" s="10"/>
    </row>
    <row r="3629" spans="1:4" ht="12.75">
      <c r="A3629" s="10"/>
      <c r="B3629" s="10"/>
      <c r="C3629" s="10"/>
      <c r="D3629" s="10"/>
    </row>
    <row r="3630" spans="1:4" ht="12.75">
      <c r="A3630" s="10"/>
      <c r="B3630" s="10"/>
      <c r="C3630" s="10"/>
      <c r="D3630" s="10"/>
    </row>
    <row r="3631" spans="1:4" ht="12.75">
      <c r="A3631" s="10"/>
      <c r="B3631" s="10"/>
      <c r="C3631" s="10"/>
      <c r="D3631" s="10"/>
    </row>
    <row r="3632" spans="1:4" ht="12.75">
      <c r="A3632" s="10"/>
      <c r="B3632" s="10"/>
      <c r="C3632" s="10"/>
      <c r="D3632" s="10"/>
    </row>
    <row r="3633" spans="1:4" ht="12.75">
      <c r="A3633" s="10"/>
      <c r="B3633" s="10"/>
      <c r="C3633" s="10"/>
      <c r="D3633" s="10"/>
    </row>
    <row r="3634" spans="1:4" ht="12.75">
      <c r="A3634" s="10"/>
      <c r="B3634" s="10"/>
      <c r="C3634" s="10"/>
      <c r="D3634" s="10"/>
    </row>
    <row r="3635" spans="1:4" ht="12.75">
      <c r="A3635" s="10"/>
      <c r="B3635" s="10"/>
      <c r="C3635" s="10"/>
      <c r="D3635" s="10"/>
    </row>
    <row r="3636" spans="1:4" ht="12.75">
      <c r="A3636" s="10"/>
      <c r="B3636" s="10"/>
      <c r="C3636" s="10"/>
      <c r="D3636" s="10"/>
    </row>
    <row r="3637" spans="1:4" ht="12.75">
      <c r="A3637" s="10"/>
      <c r="B3637" s="10"/>
      <c r="C3637" s="10"/>
      <c r="D3637" s="10"/>
    </row>
    <row r="3638" spans="1:4" ht="12.75">
      <c r="A3638" s="10"/>
      <c r="B3638" s="10"/>
      <c r="C3638" s="10"/>
      <c r="D3638" s="10"/>
    </row>
    <row r="3639" spans="1:4" ht="12.75">
      <c r="A3639" s="10"/>
      <c r="B3639" s="10"/>
      <c r="C3639" s="10"/>
      <c r="D3639" s="10"/>
    </row>
    <row r="3640" spans="1:4" ht="12.75">
      <c r="A3640" s="10"/>
      <c r="B3640" s="10"/>
      <c r="C3640" s="10"/>
      <c r="D3640" s="10"/>
    </row>
    <row r="3641" spans="1:4" ht="12.75">
      <c r="A3641" s="10"/>
      <c r="B3641" s="10"/>
      <c r="C3641" s="10"/>
      <c r="D3641" s="10"/>
    </row>
    <row r="3642" spans="1:4" ht="12.75">
      <c r="A3642" s="10"/>
      <c r="B3642" s="10"/>
      <c r="C3642" s="10"/>
      <c r="D3642" s="10"/>
    </row>
    <row r="3643" spans="1:4" ht="12.75">
      <c r="A3643" s="10"/>
      <c r="B3643" s="10"/>
      <c r="C3643" s="10"/>
      <c r="D3643" s="10"/>
    </row>
    <row r="3644" spans="1:4" ht="12.75">
      <c r="A3644" s="10"/>
      <c r="B3644" s="10"/>
      <c r="C3644" s="10"/>
      <c r="D3644" s="10"/>
    </row>
    <row r="3645" spans="1:4" ht="12.75">
      <c r="A3645" s="10"/>
      <c r="B3645" s="10"/>
      <c r="C3645" s="10"/>
      <c r="D3645" s="10"/>
    </row>
    <row r="3646" spans="1:4" ht="12.75">
      <c r="A3646" s="10"/>
      <c r="B3646" s="10"/>
      <c r="C3646" s="10"/>
      <c r="D3646" s="10"/>
    </row>
    <row r="3647" spans="1:4" ht="12.75">
      <c r="A3647" s="10"/>
      <c r="B3647" s="10"/>
      <c r="C3647" s="10"/>
      <c r="D3647" s="10"/>
    </row>
    <row r="3648" spans="1:4" ht="12.75">
      <c r="A3648" s="10"/>
      <c r="B3648" s="10"/>
      <c r="C3648" s="10"/>
      <c r="D3648" s="10"/>
    </row>
    <row r="3649" spans="1:4" ht="12.75">
      <c r="A3649" s="10"/>
      <c r="B3649" s="10"/>
      <c r="C3649" s="10"/>
      <c r="D3649" s="10"/>
    </row>
    <row r="3650" spans="1:4" ht="12.75">
      <c r="A3650" s="10"/>
      <c r="B3650" s="10"/>
      <c r="C3650" s="10"/>
      <c r="D3650" s="10"/>
    </row>
    <row r="3651" spans="1:4" ht="12.75">
      <c r="A3651" s="10"/>
      <c r="B3651" s="10"/>
      <c r="C3651" s="10"/>
      <c r="D3651" s="10"/>
    </row>
    <row r="3652" spans="1:4" ht="12.75">
      <c r="A3652" s="10"/>
      <c r="B3652" s="10"/>
      <c r="C3652" s="10"/>
      <c r="D3652" s="10"/>
    </row>
    <row r="3653" spans="1:4" ht="12.75">
      <c r="A3653" s="10"/>
      <c r="B3653" s="10"/>
      <c r="C3653" s="10"/>
      <c r="D3653" s="10"/>
    </row>
    <row r="3654" spans="1:4" ht="12.75">
      <c r="A3654" s="10"/>
      <c r="B3654" s="10"/>
      <c r="C3654" s="10"/>
      <c r="D3654" s="10"/>
    </row>
    <row r="3655" spans="1:4" ht="12.75">
      <c r="A3655" s="10"/>
      <c r="B3655" s="10"/>
      <c r="C3655" s="10"/>
      <c r="D3655" s="10"/>
    </row>
    <row r="3656" spans="1:4" ht="12.75">
      <c r="A3656" s="10"/>
      <c r="B3656" s="10"/>
      <c r="C3656" s="10"/>
      <c r="D3656" s="10"/>
    </row>
    <row r="3657" spans="1:4" ht="12.75">
      <c r="A3657" s="10"/>
      <c r="B3657" s="10"/>
      <c r="C3657" s="10"/>
      <c r="D3657" s="10"/>
    </row>
    <row r="3658" spans="1:4" ht="12.75">
      <c r="A3658" s="10"/>
      <c r="B3658" s="10"/>
      <c r="C3658" s="10"/>
      <c r="D3658" s="10"/>
    </row>
    <row r="3659" spans="1:4" ht="12.75">
      <c r="A3659" s="10"/>
      <c r="B3659" s="10"/>
      <c r="C3659" s="10"/>
      <c r="D3659" s="10"/>
    </row>
    <row r="3660" spans="1:4" ht="12.75">
      <c r="A3660" s="10"/>
      <c r="B3660" s="10"/>
      <c r="C3660" s="10"/>
      <c r="D3660" s="10"/>
    </row>
    <row r="3661" spans="1:4" ht="12.75">
      <c r="A3661" s="10"/>
      <c r="B3661" s="10"/>
      <c r="C3661" s="10"/>
      <c r="D3661" s="10"/>
    </row>
    <row r="3662" spans="1:4" ht="12.75">
      <c r="A3662" s="10"/>
      <c r="B3662" s="10"/>
      <c r="C3662" s="10"/>
      <c r="D3662" s="10"/>
    </row>
    <row r="3663" spans="1:4" ht="12.75">
      <c r="A3663" s="10"/>
      <c r="B3663" s="10"/>
      <c r="C3663" s="10"/>
      <c r="D3663" s="10"/>
    </row>
    <row r="3664" spans="1:4" ht="12.75">
      <c r="A3664" s="10"/>
      <c r="B3664" s="10"/>
      <c r="C3664" s="10"/>
      <c r="D3664" s="10"/>
    </row>
    <row r="3665" spans="1:4" ht="12.75">
      <c r="A3665" s="10"/>
      <c r="B3665" s="10"/>
      <c r="C3665" s="10"/>
      <c r="D3665" s="10"/>
    </row>
    <row r="3666" spans="1:4" ht="12.75">
      <c r="A3666" s="10"/>
      <c r="B3666" s="10"/>
      <c r="C3666" s="10"/>
      <c r="D3666" s="10"/>
    </row>
    <row r="3667" spans="1:4" ht="12.75">
      <c r="A3667" s="10"/>
      <c r="B3667" s="10"/>
      <c r="C3667" s="10"/>
      <c r="D3667" s="10"/>
    </row>
    <row r="3668" spans="1:4" ht="12.75">
      <c r="A3668" s="10"/>
      <c r="B3668" s="10"/>
      <c r="C3668" s="10"/>
      <c r="D3668" s="10"/>
    </row>
    <row r="3669" spans="1:4" ht="12.75">
      <c r="A3669" s="10"/>
      <c r="B3669" s="10"/>
      <c r="C3669" s="10"/>
      <c r="D3669" s="10"/>
    </row>
    <row r="3670" spans="1:4" ht="12.75">
      <c r="A3670" s="10"/>
      <c r="B3670" s="10"/>
      <c r="C3670" s="10"/>
      <c r="D3670" s="10"/>
    </row>
    <row r="3671" spans="1:4" ht="12.75">
      <c r="A3671" s="10"/>
      <c r="B3671" s="10"/>
      <c r="C3671" s="10"/>
      <c r="D3671" s="10"/>
    </row>
    <row r="3672" spans="1:4" ht="12.75">
      <c r="A3672" s="10"/>
      <c r="B3672" s="10"/>
      <c r="C3672" s="10"/>
      <c r="D3672" s="10"/>
    </row>
    <row r="3673" spans="1:4" ht="12.75">
      <c r="A3673" s="10"/>
      <c r="B3673" s="10"/>
      <c r="C3673" s="10"/>
      <c r="D3673" s="10"/>
    </row>
    <row r="3674" spans="1:4" ht="12.75">
      <c r="A3674" s="10"/>
      <c r="B3674" s="10"/>
      <c r="C3674" s="10"/>
      <c r="D3674" s="10"/>
    </row>
    <row r="3675" spans="1:4" ht="12.75">
      <c r="A3675" s="10"/>
      <c r="B3675" s="10"/>
      <c r="C3675" s="10"/>
      <c r="D3675" s="10"/>
    </row>
    <row r="3676" spans="1:4" ht="12.75">
      <c r="A3676" s="10"/>
      <c r="B3676" s="10"/>
      <c r="C3676" s="10"/>
      <c r="D3676" s="10"/>
    </row>
    <row r="3677" spans="1:4" ht="12.75">
      <c r="A3677" s="10"/>
      <c r="B3677" s="10"/>
      <c r="C3677" s="10"/>
      <c r="D3677" s="10"/>
    </row>
    <row r="3678" spans="1:4" ht="12.75">
      <c r="A3678" s="10"/>
      <c r="B3678" s="10"/>
      <c r="C3678" s="10"/>
      <c r="D3678" s="10"/>
    </row>
    <row r="3679" spans="1:4" ht="12.75">
      <c r="A3679" s="10"/>
      <c r="B3679" s="10"/>
      <c r="C3679" s="10"/>
      <c r="D3679" s="10"/>
    </row>
    <row r="3680" spans="1:4" ht="12.75">
      <c r="A3680" s="10"/>
      <c r="B3680" s="10"/>
      <c r="C3680" s="10"/>
      <c r="D3680" s="10"/>
    </row>
    <row r="3681" spans="1:4" ht="12.75">
      <c r="A3681" s="10"/>
      <c r="B3681" s="10"/>
      <c r="C3681" s="10"/>
      <c r="D3681" s="10"/>
    </row>
    <row r="3682" spans="1:4" ht="12.75">
      <c r="A3682" s="10"/>
      <c r="B3682" s="10"/>
      <c r="C3682" s="10"/>
      <c r="D3682" s="10"/>
    </row>
    <row r="3683" spans="1:4" ht="12.75">
      <c r="A3683" s="10"/>
      <c r="B3683" s="10"/>
      <c r="C3683" s="10"/>
      <c r="D3683" s="10"/>
    </row>
    <row r="3684" spans="1:4" ht="12.75">
      <c r="A3684" s="10"/>
      <c r="B3684" s="10"/>
      <c r="C3684" s="10"/>
      <c r="D3684" s="10"/>
    </row>
    <row r="3685" spans="1:4" ht="12.75">
      <c r="A3685" s="10"/>
      <c r="B3685" s="10"/>
      <c r="C3685" s="10"/>
      <c r="D3685" s="10"/>
    </row>
    <row r="3686" spans="1:4" ht="12.75">
      <c r="A3686" s="10"/>
      <c r="B3686" s="10"/>
      <c r="C3686" s="10"/>
      <c r="D3686" s="10"/>
    </row>
    <row r="3687" spans="1:4" ht="12.75">
      <c r="A3687" s="10"/>
      <c r="B3687" s="10"/>
      <c r="C3687" s="10"/>
      <c r="D3687" s="10"/>
    </row>
    <row r="3688" spans="1:4" ht="12.75">
      <c r="A3688" s="10"/>
      <c r="B3688" s="10"/>
      <c r="C3688" s="10"/>
      <c r="D3688" s="10"/>
    </row>
    <row r="3689" spans="1:4" ht="12.75">
      <c r="A3689" s="10"/>
      <c r="B3689" s="10"/>
      <c r="C3689" s="10"/>
      <c r="D3689" s="10"/>
    </row>
    <row r="3690" spans="1:4" ht="12.75">
      <c r="A3690" s="10"/>
      <c r="B3690" s="10"/>
      <c r="C3690" s="10"/>
      <c r="D3690" s="10"/>
    </row>
    <row r="3691" spans="1:4" ht="12.75">
      <c r="A3691" s="10"/>
      <c r="B3691" s="10"/>
      <c r="C3691" s="10"/>
      <c r="D3691" s="10"/>
    </row>
    <row r="3692" spans="1:4" ht="12.75">
      <c r="A3692" s="10"/>
      <c r="B3692" s="10"/>
      <c r="C3692" s="10"/>
      <c r="D3692" s="10"/>
    </row>
    <row r="3693" spans="1:4" ht="12.75">
      <c r="A3693" s="10"/>
      <c r="B3693" s="10"/>
      <c r="C3693" s="10"/>
      <c r="D3693" s="10"/>
    </row>
    <row r="3694" spans="1:4" ht="12.75">
      <c r="A3694" s="10"/>
      <c r="B3694" s="10"/>
      <c r="C3694" s="10"/>
      <c r="D3694" s="10"/>
    </row>
    <row r="3695" spans="1:4" ht="12.75">
      <c r="A3695" s="10"/>
      <c r="B3695" s="10"/>
      <c r="C3695" s="10"/>
      <c r="D3695" s="10"/>
    </row>
    <row r="3696" spans="1:4" ht="12.75">
      <c r="A3696" s="10"/>
      <c r="B3696" s="10"/>
      <c r="C3696" s="10"/>
      <c r="D3696" s="10"/>
    </row>
    <row r="3697" spans="1:4" ht="12.75">
      <c r="A3697" s="10"/>
      <c r="B3697" s="10"/>
      <c r="C3697" s="10"/>
      <c r="D3697" s="10"/>
    </row>
    <row r="3698" spans="1:4" ht="12.75">
      <c r="A3698" s="10"/>
      <c r="B3698" s="10"/>
      <c r="C3698" s="10"/>
      <c r="D3698" s="10"/>
    </row>
    <row r="3699" spans="1:4" ht="12.75">
      <c r="A3699" s="10"/>
      <c r="B3699" s="10"/>
      <c r="C3699" s="10"/>
      <c r="D3699" s="10"/>
    </row>
    <row r="3700" spans="1:4" ht="12.75">
      <c r="A3700" s="10"/>
      <c r="B3700" s="10"/>
      <c r="C3700" s="10"/>
      <c r="D3700" s="10"/>
    </row>
    <row r="3701" spans="1:4" ht="12.75">
      <c r="A3701" s="10"/>
      <c r="B3701" s="10"/>
      <c r="C3701" s="10"/>
      <c r="D3701" s="10"/>
    </row>
    <row r="3702" spans="1:4" ht="12.75">
      <c r="A3702" s="10"/>
      <c r="B3702" s="10"/>
      <c r="C3702" s="10"/>
      <c r="D3702" s="10"/>
    </row>
    <row r="3703" spans="1:4" ht="12.75">
      <c r="A3703" s="10"/>
      <c r="B3703" s="10"/>
      <c r="C3703" s="10"/>
      <c r="D3703" s="10"/>
    </row>
    <row r="3704" spans="1:4" ht="12.75">
      <c r="A3704" s="10"/>
      <c r="B3704" s="10"/>
      <c r="C3704" s="10"/>
      <c r="D3704" s="10"/>
    </row>
    <row r="3705" spans="1:4" ht="12.75">
      <c r="A3705" s="10"/>
      <c r="B3705" s="10"/>
      <c r="C3705" s="10"/>
      <c r="D3705" s="10"/>
    </row>
    <row r="3706" spans="1:4" ht="12.75">
      <c r="A3706" s="10"/>
      <c r="B3706" s="10"/>
      <c r="C3706" s="10"/>
      <c r="D3706" s="10"/>
    </row>
    <row r="3707" spans="1:4" ht="12.75">
      <c r="A3707" s="10"/>
      <c r="B3707" s="10"/>
      <c r="C3707" s="10"/>
      <c r="D3707" s="10"/>
    </row>
    <row r="3708" spans="1:4" ht="12.75">
      <c r="A3708" s="10"/>
      <c r="B3708" s="10"/>
      <c r="C3708" s="10"/>
      <c r="D3708" s="10"/>
    </row>
    <row r="3709" spans="1:4" ht="12.75">
      <c r="A3709" s="10"/>
      <c r="B3709" s="10"/>
      <c r="C3709" s="10"/>
      <c r="D3709" s="10"/>
    </row>
    <row r="3710" spans="1:4" ht="12.75">
      <c r="A3710" s="10"/>
      <c r="B3710" s="10"/>
      <c r="C3710" s="10"/>
      <c r="D3710" s="10"/>
    </row>
    <row r="3711" spans="1:4" ht="12.75">
      <c r="A3711" s="10"/>
      <c r="B3711" s="10"/>
      <c r="C3711" s="10"/>
      <c r="D3711" s="10"/>
    </row>
    <row r="3712" spans="1:4" ht="12.75">
      <c r="A3712" s="10"/>
      <c r="B3712" s="10"/>
      <c r="C3712" s="10"/>
      <c r="D3712" s="10"/>
    </row>
    <row r="3713" spans="1:4" ht="12.75">
      <c r="A3713" s="10"/>
      <c r="B3713" s="10"/>
      <c r="C3713" s="10"/>
      <c r="D3713" s="10"/>
    </row>
    <row r="3714" spans="1:4" ht="12.75">
      <c r="A3714" s="10"/>
      <c r="B3714" s="10"/>
      <c r="C3714" s="10"/>
      <c r="D3714" s="10"/>
    </row>
    <row r="3715" spans="1:4" ht="12.75">
      <c r="A3715" s="10"/>
      <c r="B3715" s="10"/>
      <c r="C3715" s="10"/>
      <c r="D3715" s="10"/>
    </row>
    <row r="3716" spans="1:4" ht="12.75">
      <c r="A3716" s="10"/>
      <c r="B3716" s="10"/>
      <c r="C3716" s="10"/>
      <c r="D3716" s="10"/>
    </row>
    <row r="3717" spans="1:4" ht="12.75">
      <c r="A3717" s="10"/>
      <c r="B3717" s="10"/>
      <c r="C3717" s="10"/>
      <c r="D3717" s="10"/>
    </row>
    <row r="3718" spans="1:4" ht="12.75">
      <c r="A3718" s="10"/>
      <c r="B3718" s="10"/>
      <c r="C3718" s="10"/>
      <c r="D3718" s="10"/>
    </row>
    <row r="3719" spans="1:4" ht="12.75">
      <c r="A3719" s="10"/>
      <c r="B3719" s="10"/>
      <c r="C3719" s="10"/>
      <c r="D3719" s="10"/>
    </row>
    <row r="3720" spans="1:4" ht="12.75">
      <c r="A3720" s="10"/>
      <c r="B3720" s="10"/>
      <c r="C3720" s="10"/>
      <c r="D3720" s="10"/>
    </row>
    <row r="3721" spans="1:4" ht="12.75">
      <c r="A3721" s="10"/>
      <c r="B3721" s="10"/>
      <c r="C3721" s="10"/>
      <c r="D3721" s="10"/>
    </row>
    <row r="3722" spans="1:4" ht="12.75">
      <c r="A3722" s="10"/>
      <c r="B3722" s="10"/>
      <c r="C3722" s="10"/>
      <c r="D3722" s="10"/>
    </row>
    <row r="3723" spans="1:4" ht="12.75">
      <c r="A3723" s="10"/>
      <c r="B3723" s="10"/>
      <c r="C3723" s="10"/>
      <c r="D3723" s="10"/>
    </row>
    <row r="3724" spans="1:4" ht="12.75">
      <c r="A3724" s="10"/>
      <c r="B3724" s="10"/>
      <c r="C3724" s="10"/>
      <c r="D3724" s="10"/>
    </row>
    <row r="3725" spans="1:4" ht="12.75">
      <c r="A3725" s="10"/>
      <c r="B3725" s="10"/>
      <c r="C3725" s="10"/>
      <c r="D3725" s="10"/>
    </row>
    <row r="3726" spans="1:4" ht="12.75">
      <c r="A3726" s="10"/>
      <c r="B3726" s="10"/>
      <c r="C3726" s="10"/>
      <c r="D3726" s="10"/>
    </row>
    <row r="3727" spans="1:4" ht="12.75">
      <c r="A3727" s="10"/>
      <c r="B3727" s="10"/>
      <c r="C3727" s="10"/>
      <c r="D3727" s="10"/>
    </row>
    <row r="3728" spans="1:4" ht="12.75">
      <c r="A3728" s="10"/>
      <c r="B3728" s="10"/>
      <c r="C3728" s="10"/>
      <c r="D3728" s="10"/>
    </row>
    <row r="3729" spans="1:4" ht="12.75">
      <c r="A3729" s="10"/>
      <c r="B3729" s="10"/>
      <c r="C3729" s="10"/>
      <c r="D3729" s="10"/>
    </row>
    <row r="3730" spans="1:4" ht="12.75">
      <c r="A3730" s="10"/>
      <c r="B3730" s="10"/>
      <c r="C3730" s="10"/>
      <c r="D3730" s="10"/>
    </row>
    <row r="3731" spans="1:4" ht="12.75">
      <c r="A3731" s="10"/>
      <c r="B3731" s="10"/>
      <c r="C3731" s="10"/>
      <c r="D3731" s="10"/>
    </row>
    <row r="3732" spans="1:4" ht="12.75">
      <c r="A3732" s="10"/>
      <c r="B3732" s="10"/>
      <c r="C3732" s="10"/>
      <c r="D3732" s="10"/>
    </row>
    <row r="3733" spans="1:4" ht="12.75">
      <c r="A3733" s="10"/>
      <c r="B3733" s="10"/>
      <c r="C3733" s="10"/>
      <c r="D3733" s="10"/>
    </row>
    <row r="3734" spans="1:4" ht="12.75">
      <c r="A3734" s="10"/>
      <c r="B3734" s="10"/>
      <c r="C3734" s="10"/>
      <c r="D3734" s="10"/>
    </row>
    <row r="3735" spans="1:4" ht="12.75">
      <c r="A3735" s="10"/>
      <c r="B3735" s="10"/>
      <c r="C3735" s="10"/>
      <c r="D3735" s="10"/>
    </row>
    <row r="3736" spans="1:4" ht="12.75">
      <c r="A3736" s="10"/>
      <c r="B3736" s="10"/>
      <c r="C3736" s="10"/>
      <c r="D3736" s="10"/>
    </row>
    <row r="3737" spans="1:4" ht="12.75">
      <c r="A3737" s="10"/>
      <c r="B3737" s="10"/>
      <c r="C3737" s="10"/>
      <c r="D3737" s="10"/>
    </row>
    <row r="3738" spans="1:4" ht="12.75">
      <c r="A3738" s="10"/>
      <c r="B3738" s="10"/>
      <c r="C3738" s="10"/>
      <c r="D3738" s="10"/>
    </row>
    <row r="3739" spans="1:4" ht="12.75">
      <c r="A3739" s="10"/>
      <c r="B3739" s="10"/>
      <c r="C3739" s="10"/>
      <c r="D3739" s="10"/>
    </row>
    <row r="3740" spans="1:4" ht="12.75">
      <c r="A3740" s="10"/>
      <c r="B3740" s="10"/>
      <c r="C3740" s="10"/>
      <c r="D3740" s="10"/>
    </row>
    <row r="3741" spans="1:4" ht="12.75">
      <c r="A3741" s="10"/>
      <c r="B3741" s="10"/>
      <c r="C3741" s="10"/>
      <c r="D3741" s="10"/>
    </row>
    <row r="3742" spans="1:4" ht="12.75">
      <c r="A3742" s="10"/>
      <c r="B3742" s="10"/>
      <c r="C3742" s="10"/>
      <c r="D3742" s="10"/>
    </row>
    <row r="3743" spans="1:4" ht="12.75">
      <c r="A3743" s="10"/>
      <c r="B3743" s="10"/>
      <c r="C3743" s="10"/>
      <c r="D3743" s="10"/>
    </row>
    <row r="3744" spans="1:4" ht="12.75">
      <c r="A3744" s="10"/>
      <c r="B3744" s="10"/>
      <c r="C3744" s="10"/>
      <c r="D3744" s="10"/>
    </row>
    <row r="3745" spans="1:4" ht="12.75">
      <c r="A3745" s="10"/>
      <c r="B3745" s="10"/>
      <c r="C3745" s="10"/>
      <c r="D3745" s="10"/>
    </row>
    <row r="3746" spans="1:4" ht="12.75">
      <c r="A3746" s="10"/>
      <c r="B3746" s="10"/>
      <c r="C3746" s="10"/>
      <c r="D3746" s="10"/>
    </row>
    <row r="3747" spans="1:4" ht="12.75">
      <c r="A3747" s="10"/>
      <c r="B3747" s="10"/>
      <c r="C3747" s="10"/>
      <c r="D3747" s="10"/>
    </row>
    <row r="3748" spans="1:4" ht="12.75">
      <c r="A3748" s="10"/>
      <c r="B3748" s="10"/>
      <c r="C3748" s="10"/>
      <c r="D3748" s="10"/>
    </row>
    <row r="3749" spans="1:4" ht="12.75">
      <c r="A3749" s="10"/>
      <c r="B3749" s="10"/>
      <c r="C3749" s="10"/>
      <c r="D3749" s="10"/>
    </row>
    <row r="3750" spans="1:4" ht="12.75">
      <c r="A3750" s="10"/>
      <c r="B3750" s="10"/>
      <c r="C3750" s="10"/>
      <c r="D3750" s="10"/>
    </row>
    <row r="3751" spans="1:4" ht="12.75">
      <c r="A3751" s="10"/>
      <c r="B3751" s="10"/>
      <c r="C3751" s="10"/>
      <c r="D3751" s="10"/>
    </row>
    <row r="3752" spans="1:4" ht="12.75">
      <c r="A3752" s="10"/>
      <c r="B3752" s="10"/>
      <c r="C3752" s="10"/>
      <c r="D3752" s="10"/>
    </row>
    <row r="3753" spans="1:4" ht="12.75">
      <c r="A3753" s="10"/>
      <c r="B3753" s="10"/>
      <c r="C3753" s="10"/>
      <c r="D3753" s="10"/>
    </row>
    <row r="3754" spans="1:4" ht="12.75">
      <c r="A3754" s="10"/>
      <c r="B3754" s="10"/>
      <c r="C3754" s="10"/>
      <c r="D3754" s="10"/>
    </row>
    <row r="3755" spans="1:4" ht="12.75">
      <c r="A3755" s="10"/>
      <c r="B3755" s="10"/>
      <c r="C3755" s="10"/>
      <c r="D3755" s="10"/>
    </row>
    <row r="3756" spans="1:4" ht="12.75">
      <c r="A3756" s="10"/>
      <c r="B3756" s="10"/>
      <c r="C3756" s="10"/>
      <c r="D3756" s="10"/>
    </row>
    <row r="3757" spans="1:4" ht="12.75">
      <c r="A3757" s="10"/>
      <c r="B3757" s="10"/>
      <c r="C3757" s="10"/>
      <c r="D3757" s="10"/>
    </row>
    <row r="3758" spans="1:4" ht="12.75">
      <c r="A3758" s="10"/>
      <c r="B3758" s="10"/>
      <c r="C3758" s="10"/>
      <c r="D3758" s="10"/>
    </row>
    <row r="3759" spans="1:4" ht="12.75">
      <c r="A3759" s="10"/>
      <c r="B3759" s="10"/>
      <c r="C3759" s="10"/>
      <c r="D3759" s="10"/>
    </row>
    <row r="3760" spans="1:4" ht="12.75">
      <c r="A3760" s="10"/>
      <c r="B3760" s="10"/>
      <c r="C3760" s="10"/>
      <c r="D3760" s="10"/>
    </row>
    <row r="3761" spans="1:4" ht="12.75">
      <c r="A3761" s="10"/>
      <c r="B3761" s="10"/>
      <c r="C3761" s="10"/>
      <c r="D3761" s="10"/>
    </row>
    <row r="3762" spans="1:4" ht="12.75">
      <c r="A3762" s="10"/>
      <c r="B3762" s="10"/>
      <c r="C3762" s="10"/>
      <c r="D3762" s="10"/>
    </row>
    <row r="3763" spans="1:4" ht="12.75">
      <c r="A3763" s="10"/>
      <c r="B3763" s="10"/>
      <c r="C3763" s="10"/>
      <c r="D3763" s="10"/>
    </row>
    <row r="3764" spans="1:4" ht="12.75">
      <c r="A3764" s="10"/>
      <c r="B3764" s="10"/>
      <c r="C3764" s="10"/>
      <c r="D3764" s="10"/>
    </row>
    <row r="3765" spans="1:4" ht="12.75">
      <c r="A3765" s="10"/>
      <c r="B3765" s="10"/>
      <c r="C3765" s="10"/>
      <c r="D3765" s="10"/>
    </row>
    <row r="3766" spans="1:4" ht="12.75">
      <c r="A3766" s="10"/>
      <c r="B3766" s="10"/>
      <c r="C3766" s="10"/>
      <c r="D3766" s="10"/>
    </row>
    <row r="3767" spans="1:4" ht="12.75">
      <c r="A3767" s="10"/>
      <c r="B3767" s="10"/>
      <c r="C3767" s="10"/>
      <c r="D3767" s="10"/>
    </row>
    <row r="3768" spans="1:4" ht="12.75">
      <c r="A3768" s="10"/>
      <c r="B3768" s="10"/>
      <c r="C3768" s="10"/>
      <c r="D3768" s="10"/>
    </row>
    <row r="3769" spans="1:4" ht="12.75">
      <c r="A3769" s="10"/>
      <c r="B3769" s="10"/>
      <c r="C3769" s="10"/>
      <c r="D3769" s="10"/>
    </row>
    <row r="3770" spans="1:4" ht="12.75">
      <c r="A3770" s="10"/>
      <c r="B3770" s="10"/>
      <c r="C3770" s="10"/>
      <c r="D3770" s="10"/>
    </row>
    <row r="3771" spans="1:4" ht="12.75">
      <c r="A3771" s="10"/>
      <c r="B3771" s="10"/>
      <c r="C3771" s="10"/>
      <c r="D3771" s="10"/>
    </row>
    <row r="3772" spans="1:4" ht="12.75">
      <c r="A3772" s="10"/>
      <c r="B3772" s="10"/>
      <c r="C3772" s="10"/>
      <c r="D3772" s="10"/>
    </row>
    <row r="3773" spans="1:4" ht="12.75">
      <c r="A3773" s="10"/>
      <c r="B3773" s="10"/>
      <c r="C3773" s="10"/>
      <c r="D3773" s="10"/>
    </row>
    <row r="3774" spans="1:4" ht="12.75">
      <c r="A3774" s="10"/>
      <c r="B3774" s="10"/>
      <c r="C3774" s="10"/>
      <c r="D3774" s="10"/>
    </row>
    <row r="3775" spans="1:4" ht="12.75">
      <c r="A3775" s="10"/>
      <c r="B3775" s="10"/>
      <c r="C3775" s="10"/>
      <c r="D3775" s="10"/>
    </row>
    <row r="3776" spans="1:4" ht="12.75">
      <c r="A3776" s="10"/>
      <c r="B3776" s="10"/>
      <c r="C3776" s="10"/>
      <c r="D3776" s="10"/>
    </row>
    <row r="3777" spans="1:4" ht="12.75">
      <c r="A3777" s="10"/>
      <c r="B3777" s="10"/>
      <c r="C3777" s="10"/>
      <c r="D3777" s="10"/>
    </row>
    <row r="3778" spans="1:4" ht="12.75">
      <c r="A3778" s="10"/>
      <c r="B3778" s="10"/>
      <c r="C3778" s="10"/>
      <c r="D3778" s="10"/>
    </row>
    <row r="3779" spans="1:4" ht="12.75">
      <c r="A3779" s="10"/>
      <c r="B3779" s="10"/>
      <c r="C3779" s="10"/>
      <c r="D3779" s="10"/>
    </row>
    <row r="3780" spans="1:4" ht="12.75">
      <c r="A3780" s="10"/>
      <c r="B3780" s="10"/>
      <c r="C3780" s="10"/>
      <c r="D3780" s="10"/>
    </row>
    <row r="3781" spans="1:4" ht="12.75">
      <c r="A3781" s="10"/>
      <c r="B3781" s="10"/>
      <c r="C3781" s="10"/>
      <c r="D3781" s="10"/>
    </row>
    <row r="3782" spans="1:4" ht="12.75">
      <c r="A3782" s="10"/>
      <c r="B3782" s="10"/>
      <c r="C3782" s="10"/>
      <c r="D3782" s="10"/>
    </row>
    <row r="3783" spans="1:4" ht="12.75">
      <c r="A3783" s="10"/>
      <c r="B3783" s="10"/>
      <c r="C3783" s="10"/>
      <c r="D3783" s="10"/>
    </row>
    <row r="3784" spans="1:4" ht="12.75">
      <c r="A3784" s="10"/>
      <c r="B3784" s="10"/>
      <c r="C3784" s="10"/>
      <c r="D3784" s="10"/>
    </row>
    <row r="3785" spans="1:4" ht="12.75">
      <c r="A3785" s="10"/>
      <c r="B3785" s="10"/>
      <c r="C3785" s="10"/>
      <c r="D3785" s="10"/>
    </row>
    <row r="3786" spans="1:4" ht="12.75">
      <c r="A3786" s="10"/>
      <c r="B3786" s="10"/>
      <c r="C3786" s="10"/>
      <c r="D3786" s="10"/>
    </row>
    <row r="3787" spans="1:4" ht="12.75">
      <c r="A3787" s="10"/>
      <c r="B3787" s="10"/>
      <c r="C3787" s="10"/>
      <c r="D3787" s="10"/>
    </row>
    <row r="3788" spans="1:4" ht="12.75">
      <c r="A3788" s="10"/>
      <c r="B3788" s="10"/>
      <c r="C3788" s="10"/>
      <c r="D3788" s="10"/>
    </row>
    <row r="3789" spans="1:4" ht="12.75">
      <c r="A3789" s="10"/>
      <c r="B3789" s="10"/>
      <c r="C3789" s="10"/>
      <c r="D3789" s="10"/>
    </row>
    <row r="3790" spans="1:4" ht="12.75">
      <c r="A3790" s="10"/>
      <c r="B3790" s="10"/>
      <c r="C3790" s="10"/>
      <c r="D3790" s="10"/>
    </row>
    <row r="3791" spans="1:4" ht="12.75">
      <c r="A3791" s="10"/>
      <c r="B3791" s="10"/>
      <c r="C3791" s="10"/>
      <c r="D3791" s="10"/>
    </row>
    <row r="3792" spans="1:4" ht="12.75">
      <c r="A3792" s="10"/>
      <c r="B3792" s="10"/>
      <c r="C3792" s="10"/>
      <c r="D3792" s="10"/>
    </row>
    <row r="3793" spans="1:4" ht="12.75">
      <c r="A3793" s="10"/>
      <c r="B3793" s="10"/>
      <c r="C3793" s="10"/>
      <c r="D3793" s="10"/>
    </row>
    <row r="3794" spans="1:4" ht="12.75">
      <c r="A3794" s="10"/>
      <c r="B3794" s="10"/>
      <c r="C3794" s="10"/>
      <c r="D3794" s="10"/>
    </row>
    <row r="3795" spans="1:4" ht="12.75">
      <c r="A3795" s="10"/>
      <c r="B3795" s="10"/>
      <c r="C3795" s="10"/>
      <c r="D3795" s="10"/>
    </row>
    <row r="3796" spans="1:4" ht="12.75">
      <c r="A3796" s="10"/>
      <c r="B3796" s="10"/>
      <c r="C3796" s="10"/>
      <c r="D3796" s="10"/>
    </row>
    <row r="3797" spans="1:4" ht="12.75">
      <c r="A3797" s="10"/>
      <c r="B3797" s="10"/>
      <c r="C3797" s="10"/>
      <c r="D3797" s="10"/>
    </row>
    <row r="3798" spans="1:4" ht="12.75">
      <c r="A3798" s="10"/>
      <c r="B3798" s="10"/>
      <c r="C3798" s="10"/>
      <c r="D3798" s="10"/>
    </row>
    <row r="3799" spans="1:4" ht="12.75">
      <c r="A3799" s="10"/>
      <c r="B3799" s="10"/>
      <c r="C3799" s="10"/>
      <c r="D3799" s="10"/>
    </row>
    <row r="3800" spans="1:4" ht="12.75">
      <c r="A3800" s="10"/>
      <c r="B3800" s="10"/>
      <c r="C3800" s="10"/>
      <c r="D3800" s="10"/>
    </row>
    <row r="3801" spans="1:4" ht="12.75">
      <c r="A3801" s="10"/>
      <c r="B3801" s="10"/>
      <c r="C3801" s="10"/>
      <c r="D3801" s="10"/>
    </row>
    <row r="3802" spans="1:4" ht="12.75">
      <c r="A3802" s="10"/>
      <c r="B3802" s="10"/>
      <c r="C3802" s="10"/>
      <c r="D3802" s="10"/>
    </row>
    <row r="3803" spans="1:4" ht="12.75">
      <c r="A3803" s="10"/>
      <c r="B3803" s="10"/>
      <c r="C3803" s="10"/>
      <c r="D3803" s="10"/>
    </row>
    <row r="3804" spans="1:4" ht="12.75">
      <c r="A3804" s="10"/>
      <c r="B3804" s="10"/>
      <c r="C3804" s="10"/>
      <c r="D3804" s="10"/>
    </row>
    <row r="3805" spans="1:4" ht="12.75">
      <c r="A3805" s="10"/>
      <c r="B3805" s="10"/>
      <c r="C3805" s="10"/>
      <c r="D3805" s="10"/>
    </row>
    <row r="3806" spans="1:4" ht="12.75">
      <c r="A3806" s="10"/>
      <c r="B3806" s="10"/>
      <c r="C3806" s="10"/>
      <c r="D3806" s="10"/>
    </row>
    <row r="3807" spans="1:4" ht="12.75">
      <c r="A3807" s="10"/>
      <c r="B3807" s="10"/>
      <c r="C3807" s="10"/>
      <c r="D3807" s="10"/>
    </row>
    <row r="3808" spans="1:4" ht="12.75">
      <c r="A3808" s="10"/>
      <c r="B3808" s="10"/>
      <c r="C3808" s="10"/>
      <c r="D3808" s="10"/>
    </row>
    <row r="3809" spans="1:4" ht="12.75">
      <c r="A3809" s="10"/>
      <c r="B3809" s="10"/>
      <c r="C3809" s="10"/>
      <c r="D3809" s="10"/>
    </row>
    <row r="3810" spans="1:4" ht="12.75">
      <c r="A3810" s="10"/>
      <c r="B3810" s="10"/>
      <c r="C3810" s="10"/>
      <c r="D3810" s="10"/>
    </row>
    <row r="3811" spans="1:4" ht="12.75">
      <c r="A3811" s="10"/>
      <c r="B3811" s="10"/>
      <c r="C3811" s="10"/>
      <c r="D3811" s="10"/>
    </row>
    <row r="3812" spans="1:4" ht="12.75">
      <c r="A3812" s="10"/>
      <c r="B3812" s="10"/>
      <c r="C3812" s="10"/>
      <c r="D3812" s="10"/>
    </row>
    <row r="3813" spans="1:4" ht="12.75">
      <c r="A3813" s="10"/>
      <c r="B3813" s="10"/>
      <c r="C3813" s="10"/>
      <c r="D3813" s="10"/>
    </row>
    <row r="3814" spans="1:4" ht="12.75">
      <c r="A3814" s="10"/>
      <c r="B3814" s="10"/>
      <c r="C3814" s="10"/>
      <c r="D3814" s="10"/>
    </row>
    <row r="3815" spans="1:4" ht="12.75">
      <c r="A3815" s="10"/>
      <c r="B3815" s="10"/>
      <c r="C3815" s="10"/>
      <c r="D3815" s="10"/>
    </row>
    <row r="3816" spans="1:4" ht="12.75">
      <c r="A3816" s="10"/>
      <c r="B3816" s="10"/>
      <c r="C3816" s="10"/>
      <c r="D3816" s="10"/>
    </row>
    <row r="3817" spans="1:4" ht="12.75">
      <c r="A3817" s="10"/>
      <c r="B3817" s="10"/>
      <c r="C3817" s="10"/>
      <c r="D3817" s="10"/>
    </row>
    <row r="3818" spans="1:4" ht="12.75">
      <c r="A3818" s="10"/>
      <c r="B3818" s="10"/>
      <c r="C3818" s="10"/>
      <c r="D3818" s="10"/>
    </row>
    <row r="3819" spans="1:4" ht="12.75">
      <c r="A3819" s="10"/>
      <c r="B3819" s="10"/>
      <c r="C3819" s="10"/>
      <c r="D3819" s="10"/>
    </row>
    <row r="3820" spans="1:4" ht="12.75">
      <c r="A3820" s="10"/>
      <c r="B3820" s="10"/>
      <c r="C3820" s="10"/>
      <c r="D3820" s="10"/>
    </row>
    <row r="3821" spans="1:4" ht="12.75">
      <c r="A3821" s="10"/>
      <c r="B3821" s="10"/>
      <c r="C3821" s="10"/>
      <c r="D3821" s="10"/>
    </row>
    <row r="3822" spans="1:4" ht="12.75">
      <c r="A3822" s="10"/>
      <c r="B3822" s="10"/>
      <c r="C3822" s="10"/>
      <c r="D3822" s="10"/>
    </row>
    <row r="3823" spans="1:4" ht="12.75">
      <c r="A3823" s="10"/>
      <c r="B3823" s="10"/>
      <c r="C3823" s="10"/>
      <c r="D3823" s="10"/>
    </row>
    <row r="3824" spans="1:4" ht="12.75">
      <c r="A3824" s="10"/>
      <c r="B3824" s="10"/>
      <c r="C3824" s="10"/>
      <c r="D3824" s="10"/>
    </row>
    <row r="3825" spans="1:4" ht="12.75">
      <c r="A3825" s="10"/>
      <c r="B3825" s="10"/>
      <c r="C3825" s="10"/>
      <c r="D3825" s="10"/>
    </row>
    <row r="3826" spans="1:4" ht="12.75">
      <c r="A3826" s="10"/>
      <c r="B3826" s="10"/>
      <c r="C3826" s="10"/>
      <c r="D3826" s="10"/>
    </row>
    <row r="3827" spans="1:4" ht="12.75">
      <c r="A3827" s="10"/>
      <c r="B3827" s="10"/>
      <c r="C3827" s="10"/>
      <c r="D3827" s="10"/>
    </row>
    <row r="3828" spans="1:4" ht="12.75">
      <c r="A3828" s="10"/>
      <c r="B3828" s="10"/>
      <c r="C3828" s="10"/>
      <c r="D3828" s="10"/>
    </row>
    <row r="3829" spans="1:4" ht="12.75">
      <c r="A3829" s="10"/>
      <c r="B3829" s="10"/>
      <c r="C3829" s="10"/>
      <c r="D3829" s="10"/>
    </row>
    <row r="3830" spans="1:4" ht="12.75">
      <c r="A3830" s="10"/>
      <c r="B3830" s="10"/>
      <c r="C3830" s="10"/>
      <c r="D3830" s="10"/>
    </row>
    <row r="3831" spans="1:4" ht="12.75">
      <c r="A3831" s="10"/>
      <c r="B3831" s="10"/>
      <c r="C3831" s="10"/>
      <c r="D3831" s="10"/>
    </row>
    <row r="3832" spans="1:4" ht="12.75">
      <c r="A3832" s="10"/>
      <c r="B3832" s="10"/>
      <c r="C3832" s="10"/>
      <c r="D3832" s="10"/>
    </row>
    <row r="3833" spans="1:4" ht="12.75">
      <c r="A3833" s="10"/>
      <c r="B3833" s="10"/>
      <c r="C3833" s="10"/>
      <c r="D3833" s="10"/>
    </row>
    <row r="3834" spans="1:4" ht="12.75">
      <c r="A3834" s="10"/>
      <c r="B3834" s="10"/>
      <c r="C3834" s="10"/>
      <c r="D3834" s="10"/>
    </row>
    <row r="3835" spans="1:4" ht="12.75">
      <c r="A3835" s="10"/>
      <c r="B3835" s="10"/>
      <c r="C3835" s="10"/>
      <c r="D3835" s="10"/>
    </row>
    <row r="3836" spans="1:4" ht="12.75">
      <c r="A3836" s="10"/>
      <c r="B3836" s="10"/>
      <c r="C3836" s="10"/>
      <c r="D3836" s="10"/>
    </row>
    <row r="3837" spans="1:4" ht="12.75">
      <c r="A3837" s="10"/>
      <c r="B3837" s="10"/>
      <c r="C3837" s="10"/>
      <c r="D3837" s="10"/>
    </row>
    <row r="3838" spans="1:4" ht="12.75">
      <c r="A3838" s="10"/>
      <c r="B3838" s="10"/>
      <c r="C3838" s="10"/>
      <c r="D3838" s="10"/>
    </row>
    <row r="3839" spans="1:4" ht="12.75">
      <c r="A3839" s="10"/>
      <c r="B3839" s="10"/>
      <c r="C3839" s="10"/>
      <c r="D3839" s="10"/>
    </row>
    <row r="3840" spans="1:4" ht="12.75">
      <c r="A3840" s="10"/>
      <c r="B3840" s="10"/>
      <c r="C3840" s="10"/>
      <c r="D3840" s="10"/>
    </row>
    <row r="3841" spans="1:4" ht="12.75">
      <c r="A3841" s="10"/>
      <c r="B3841" s="10"/>
      <c r="C3841" s="10"/>
      <c r="D3841" s="10"/>
    </row>
    <row r="3842" spans="1:4" ht="12.75">
      <c r="A3842" s="10"/>
      <c r="B3842" s="10"/>
      <c r="C3842" s="10"/>
      <c r="D3842" s="10"/>
    </row>
    <row r="3843" spans="1:4" ht="12.75">
      <c r="A3843" s="10"/>
      <c r="B3843" s="10"/>
      <c r="C3843" s="10"/>
      <c r="D3843" s="10"/>
    </row>
    <row r="3844" spans="1:4" ht="12.75">
      <c r="A3844" s="10"/>
      <c r="B3844" s="10"/>
      <c r="C3844" s="10"/>
      <c r="D3844" s="10"/>
    </row>
    <row r="3845" spans="1:4" ht="12.75">
      <c r="A3845" s="10"/>
      <c r="B3845" s="10"/>
      <c r="C3845" s="10"/>
      <c r="D3845" s="10"/>
    </row>
    <row r="3846" spans="1:4" ht="12.75">
      <c r="A3846" s="10"/>
      <c r="B3846" s="10"/>
      <c r="C3846" s="10"/>
      <c r="D3846" s="10"/>
    </row>
    <row r="3847" spans="1:4" ht="12.75">
      <c r="A3847" s="10"/>
      <c r="B3847" s="10"/>
      <c r="C3847" s="10"/>
      <c r="D3847" s="10"/>
    </row>
    <row r="3848" spans="1:4" ht="12.75">
      <c r="A3848" s="10"/>
      <c r="B3848" s="10"/>
      <c r="C3848" s="10"/>
      <c r="D3848" s="10"/>
    </row>
    <row r="3849" spans="1:4" ht="12.75">
      <c r="A3849" s="10"/>
      <c r="B3849" s="10"/>
      <c r="C3849" s="10"/>
      <c r="D3849" s="10"/>
    </row>
    <row r="3850" spans="1:4" ht="12.75">
      <c r="A3850" s="10"/>
      <c r="B3850" s="10"/>
      <c r="C3850" s="10"/>
      <c r="D3850" s="10"/>
    </row>
    <row r="3851" spans="1:4" ht="12.75">
      <c r="A3851" s="10"/>
      <c r="B3851" s="10"/>
      <c r="C3851" s="10"/>
      <c r="D3851" s="10"/>
    </row>
    <row r="3852" spans="1:4" ht="12.75">
      <c r="A3852" s="10"/>
      <c r="B3852" s="10"/>
      <c r="C3852" s="10"/>
      <c r="D3852" s="10"/>
    </row>
    <row r="3853" spans="1:4" ht="12.75">
      <c r="A3853" s="10"/>
      <c r="B3853" s="10"/>
      <c r="C3853" s="10"/>
      <c r="D3853" s="10"/>
    </row>
    <row r="3854" spans="1:4" ht="12.75">
      <c r="A3854" s="10"/>
      <c r="B3854" s="10"/>
      <c r="C3854" s="10"/>
      <c r="D3854" s="10"/>
    </row>
    <row r="3855" spans="1:4" ht="12.75">
      <c r="A3855" s="10"/>
      <c r="B3855" s="10"/>
      <c r="C3855" s="10"/>
      <c r="D3855" s="10"/>
    </row>
    <row r="3856" spans="1:4" ht="12.75">
      <c r="A3856" s="10"/>
      <c r="B3856" s="10"/>
      <c r="C3856" s="10"/>
      <c r="D3856" s="10"/>
    </row>
    <row r="3857" spans="1:4" ht="12.75">
      <c r="A3857" s="10"/>
      <c r="B3857" s="10"/>
      <c r="C3857" s="10"/>
      <c r="D3857" s="10"/>
    </row>
    <row r="3858" spans="1:4" ht="12.75">
      <c r="A3858" s="10"/>
      <c r="B3858" s="10"/>
      <c r="C3858" s="10"/>
      <c r="D3858" s="10"/>
    </row>
    <row r="3859" spans="1:4" ht="12.75">
      <c r="A3859" s="10"/>
      <c r="B3859" s="10"/>
      <c r="C3859" s="10"/>
      <c r="D3859" s="10"/>
    </row>
    <row r="3860" spans="1:4" ht="12.75">
      <c r="A3860" s="10"/>
      <c r="B3860" s="10"/>
      <c r="C3860" s="10"/>
      <c r="D3860" s="10"/>
    </row>
    <row r="3861" spans="1:4" ht="12.75">
      <c r="A3861" s="10"/>
      <c r="B3861" s="10"/>
      <c r="C3861" s="10"/>
      <c r="D3861" s="10"/>
    </row>
    <row r="3862" spans="1:4" ht="12.75">
      <c r="A3862" s="10"/>
      <c r="B3862" s="10"/>
      <c r="C3862" s="10"/>
      <c r="D3862" s="10"/>
    </row>
    <row r="3863" spans="1:4" ht="12.75">
      <c r="A3863" s="10"/>
      <c r="B3863" s="10"/>
      <c r="C3863" s="10"/>
      <c r="D3863" s="10"/>
    </row>
    <row r="3864" spans="1:4" ht="12.75">
      <c r="A3864" s="10"/>
      <c r="B3864" s="10"/>
      <c r="C3864" s="10"/>
      <c r="D3864" s="10"/>
    </row>
    <row r="3865" spans="1:4" ht="12.75">
      <c r="A3865" s="10"/>
      <c r="B3865" s="10"/>
      <c r="C3865" s="10"/>
      <c r="D3865" s="10"/>
    </row>
    <row r="3866" spans="1:4" ht="12.75">
      <c r="A3866" s="10"/>
      <c r="B3866" s="10"/>
      <c r="C3866" s="10"/>
      <c r="D3866" s="10"/>
    </row>
    <row r="3867" spans="1:4" ht="12.75">
      <c r="A3867" s="10"/>
      <c r="B3867" s="10"/>
      <c r="C3867" s="10"/>
      <c r="D3867" s="10"/>
    </row>
    <row r="3868" spans="1:4" ht="12.75">
      <c r="A3868" s="10"/>
      <c r="B3868" s="10"/>
      <c r="C3868" s="10"/>
      <c r="D3868" s="10"/>
    </row>
    <row r="3869" spans="1:4" ht="12.75">
      <c r="A3869" s="10"/>
      <c r="B3869" s="10"/>
      <c r="C3869" s="10"/>
      <c r="D3869" s="10"/>
    </row>
    <row r="3870" spans="1:4" ht="12.75">
      <c r="A3870" s="10"/>
      <c r="B3870" s="10"/>
      <c r="C3870" s="10"/>
      <c r="D3870" s="10"/>
    </row>
    <row r="3871" spans="1:4" ht="12.75">
      <c r="A3871" s="10"/>
      <c r="B3871" s="10"/>
      <c r="C3871" s="10"/>
      <c r="D3871" s="10"/>
    </row>
    <row r="3872" spans="1:4" ht="12.75">
      <c r="A3872" s="10"/>
      <c r="B3872" s="10"/>
      <c r="C3872" s="10"/>
      <c r="D3872" s="10"/>
    </row>
    <row r="3873" spans="1:4" ht="12.75">
      <c r="A3873" s="10"/>
      <c r="B3873" s="10"/>
      <c r="C3873" s="10"/>
      <c r="D3873" s="10"/>
    </row>
    <row r="3874" spans="1:4" ht="12.75">
      <c r="A3874" s="10"/>
      <c r="B3874" s="10"/>
      <c r="C3874" s="10"/>
      <c r="D3874" s="10"/>
    </row>
    <row r="3875" spans="1:4" ht="12.75">
      <c r="A3875" s="10"/>
      <c r="B3875" s="10"/>
      <c r="C3875" s="10"/>
      <c r="D3875" s="10"/>
    </row>
    <row r="3876" spans="1:4" ht="12.75">
      <c r="A3876" s="10"/>
      <c r="B3876" s="10"/>
      <c r="C3876" s="10"/>
      <c r="D3876" s="10"/>
    </row>
    <row r="3877" spans="1:4" ht="12.75">
      <c r="A3877" s="10"/>
      <c r="B3877" s="10"/>
      <c r="C3877" s="10"/>
      <c r="D3877" s="10"/>
    </row>
    <row r="3878" spans="1:4" ht="12.75">
      <c r="A3878" s="10"/>
      <c r="B3878" s="10"/>
      <c r="C3878" s="10"/>
      <c r="D3878" s="10"/>
    </row>
    <row r="3879" spans="1:4" ht="12.75">
      <c r="A3879" s="10"/>
      <c r="B3879" s="10"/>
      <c r="C3879" s="10"/>
      <c r="D3879" s="10"/>
    </row>
    <row r="3880" spans="1:4" ht="12.75">
      <c r="A3880" s="10"/>
      <c r="B3880" s="10"/>
      <c r="C3880" s="10"/>
      <c r="D3880" s="10"/>
    </row>
    <row r="3881" spans="1:4" ht="12.75">
      <c r="A3881" s="10"/>
      <c r="B3881" s="10"/>
      <c r="C3881" s="10"/>
      <c r="D3881" s="10"/>
    </row>
    <row r="3882" spans="1:4" ht="12.75">
      <c r="A3882" s="10"/>
      <c r="B3882" s="10"/>
      <c r="C3882" s="10"/>
      <c r="D3882" s="10"/>
    </row>
    <row r="3883" spans="1:4" ht="12.75">
      <c r="A3883" s="10"/>
      <c r="B3883" s="10"/>
      <c r="C3883" s="10"/>
      <c r="D3883" s="10"/>
    </row>
    <row r="3884" spans="1:4" ht="12.75">
      <c r="A3884" s="10"/>
      <c r="B3884" s="10"/>
      <c r="C3884" s="10"/>
      <c r="D3884" s="10"/>
    </row>
    <row r="3885" spans="1:4" ht="12.75">
      <c r="A3885" s="10"/>
      <c r="B3885" s="10"/>
      <c r="C3885" s="10"/>
      <c r="D3885" s="10"/>
    </row>
    <row r="3886" spans="1:4" ht="12.75">
      <c r="A3886" s="10"/>
      <c r="B3886" s="10"/>
      <c r="C3886" s="10"/>
      <c r="D3886" s="10"/>
    </row>
    <row r="3887" spans="1:4" ht="12.75">
      <c r="A3887" s="10"/>
      <c r="B3887" s="10"/>
      <c r="C3887" s="10"/>
      <c r="D3887" s="10"/>
    </row>
    <row r="3888" spans="1:4" ht="12.75">
      <c r="A3888" s="10"/>
      <c r="B3888" s="10"/>
      <c r="C3888" s="10"/>
      <c r="D3888" s="10"/>
    </row>
    <row r="3889" spans="1:4" ht="12.75">
      <c r="A3889" s="10"/>
      <c r="B3889" s="10"/>
      <c r="C3889" s="10"/>
      <c r="D3889" s="10"/>
    </row>
    <row r="3890" spans="1:4" ht="12.75">
      <c r="A3890" s="10"/>
      <c r="B3890" s="10"/>
      <c r="C3890" s="10"/>
      <c r="D3890" s="10"/>
    </row>
    <row r="3891" spans="1:4" ht="12.75">
      <c r="A3891" s="10"/>
      <c r="B3891" s="10"/>
      <c r="C3891" s="10"/>
      <c r="D3891" s="10"/>
    </row>
    <row r="3892" spans="1:4" ht="12.75">
      <c r="A3892" s="10"/>
      <c r="B3892" s="10"/>
      <c r="C3892" s="10"/>
      <c r="D3892" s="10"/>
    </row>
    <row r="3893" spans="1:4" ht="12.75">
      <c r="A3893" s="10"/>
      <c r="B3893" s="10"/>
      <c r="C3893" s="10"/>
      <c r="D3893" s="10"/>
    </row>
    <row r="3894" spans="1:4" ht="12.75">
      <c r="A3894" s="10"/>
      <c r="B3894" s="10"/>
      <c r="C3894" s="10"/>
      <c r="D3894" s="10"/>
    </row>
    <row r="3895" spans="1:4" ht="12.75">
      <c r="A3895" s="10"/>
      <c r="B3895" s="10"/>
      <c r="C3895" s="10"/>
      <c r="D3895" s="10"/>
    </row>
    <row r="3896" spans="1:4" ht="12.75">
      <c r="A3896" s="10"/>
      <c r="B3896" s="10"/>
      <c r="C3896" s="10"/>
      <c r="D3896" s="10"/>
    </row>
    <row r="3897" spans="1:4" ht="12.75">
      <c r="A3897" s="10"/>
      <c r="B3897" s="10"/>
      <c r="C3897" s="10"/>
      <c r="D3897" s="10"/>
    </row>
    <row r="3898" spans="1:4" ht="12.75">
      <c r="A3898" s="10"/>
      <c r="B3898" s="10"/>
      <c r="C3898" s="10"/>
      <c r="D3898" s="10"/>
    </row>
    <row r="3899" spans="1:4" ht="12.75">
      <c r="A3899" s="10"/>
      <c r="B3899" s="10"/>
      <c r="C3899" s="10"/>
      <c r="D3899" s="10"/>
    </row>
    <row r="3900" spans="1:4" ht="12.75">
      <c r="A3900" s="10"/>
      <c r="B3900" s="10"/>
      <c r="C3900" s="10"/>
      <c r="D3900" s="10"/>
    </row>
    <row r="3901" spans="1:4" ht="12.75">
      <c r="A3901" s="10"/>
      <c r="B3901" s="10"/>
      <c r="C3901" s="10"/>
      <c r="D3901" s="10"/>
    </row>
    <row r="3902" spans="1:4" ht="12.75">
      <c r="A3902" s="10"/>
      <c r="B3902" s="10"/>
      <c r="C3902" s="10"/>
      <c r="D3902" s="10"/>
    </row>
    <row r="3903" spans="1:4" ht="12.75">
      <c r="A3903" s="10"/>
      <c r="B3903" s="10"/>
      <c r="C3903" s="10"/>
      <c r="D3903" s="10"/>
    </row>
    <row r="3904" spans="1:4" ht="12.75">
      <c r="A3904" s="10"/>
      <c r="B3904" s="10"/>
      <c r="C3904" s="10"/>
      <c r="D3904" s="10"/>
    </row>
    <row r="3905" spans="1:4" ht="12.75">
      <c r="A3905" s="10"/>
      <c r="B3905" s="10"/>
      <c r="C3905" s="10"/>
      <c r="D3905" s="10"/>
    </row>
    <row r="3906" spans="1:4" ht="12.75">
      <c r="A3906" s="10"/>
      <c r="B3906" s="10"/>
      <c r="C3906" s="10"/>
      <c r="D3906" s="10"/>
    </row>
    <row r="3907" spans="1:4" ht="12.75">
      <c r="A3907" s="10"/>
      <c r="B3907" s="10"/>
      <c r="C3907" s="10"/>
      <c r="D3907" s="10"/>
    </row>
    <row r="3908" spans="1:4" ht="12.75">
      <c r="A3908" s="10"/>
      <c r="B3908" s="10"/>
      <c r="C3908" s="10"/>
      <c r="D3908" s="10"/>
    </row>
    <row r="3909" spans="1:4" ht="12.75">
      <c r="A3909" s="10"/>
      <c r="B3909" s="10"/>
      <c r="C3909" s="10"/>
      <c r="D3909" s="10"/>
    </row>
    <row r="3910" spans="1:4" ht="12.75">
      <c r="A3910" s="10"/>
      <c r="B3910" s="10"/>
      <c r="C3910" s="10"/>
      <c r="D3910" s="10"/>
    </row>
    <row r="3911" spans="1:4" ht="12.75">
      <c r="A3911" s="10"/>
      <c r="B3911" s="10"/>
      <c r="C3911" s="10"/>
      <c r="D3911" s="10"/>
    </row>
    <row r="3912" spans="1:4" ht="12.75">
      <c r="A3912" s="10"/>
      <c r="B3912" s="10"/>
      <c r="C3912" s="10"/>
      <c r="D3912" s="10"/>
    </row>
    <row r="3913" spans="1:4" ht="12.75">
      <c r="A3913" s="10"/>
      <c r="B3913" s="10"/>
      <c r="C3913" s="10"/>
      <c r="D3913" s="10"/>
    </row>
    <row r="3914" spans="1:4" ht="12.75">
      <c r="A3914" s="10"/>
      <c r="B3914" s="10"/>
      <c r="C3914" s="10"/>
      <c r="D3914" s="10"/>
    </row>
    <row r="3915" spans="1:4" ht="12.75">
      <c r="A3915" s="10"/>
      <c r="B3915" s="10"/>
      <c r="C3915" s="10"/>
      <c r="D3915" s="10"/>
    </row>
    <row r="3916" spans="1:4" ht="12.75">
      <c r="A3916" s="10"/>
      <c r="B3916" s="10"/>
      <c r="C3916" s="10"/>
      <c r="D3916" s="10"/>
    </row>
    <row r="3917" spans="1:4" ht="12.75">
      <c r="A3917" s="10"/>
      <c r="B3917" s="10"/>
      <c r="C3917" s="10"/>
      <c r="D3917" s="10"/>
    </row>
    <row r="3918" spans="1:4" ht="12.75">
      <c r="A3918" s="10"/>
      <c r="B3918" s="10"/>
      <c r="C3918" s="10"/>
      <c r="D3918" s="10"/>
    </row>
    <row r="3919" spans="1:4" ht="12.75">
      <c r="A3919" s="10"/>
      <c r="B3919" s="10"/>
      <c r="C3919" s="10"/>
      <c r="D3919" s="10"/>
    </row>
    <row r="3920" spans="1:4" ht="12.75">
      <c r="A3920" s="10"/>
      <c r="B3920" s="10"/>
      <c r="C3920" s="10"/>
      <c r="D3920" s="10"/>
    </row>
    <row r="3921" spans="1:4" ht="12.75">
      <c r="A3921" s="10"/>
      <c r="B3921" s="10"/>
      <c r="C3921" s="10"/>
      <c r="D3921" s="10"/>
    </row>
    <row r="3922" spans="1:4" ht="12.75">
      <c r="A3922" s="10"/>
      <c r="B3922" s="10"/>
      <c r="C3922" s="10"/>
      <c r="D3922" s="10"/>
    </row>
    <row r="3923" spans="1:4" ht="12.75">
      <c r="A3923" s="10"/>
      <c r="B3923" s="10"/>
      <c r="C3923" s="10"/>
      <c r="D3923" s="10"/>
    </row>
    <row r="3924" spans="1:4" ht="12.75">
      <c r="A3924" s="10"/>
      <c r="B3924" s="10"/>
      <c r="C3924" s="10"/>
      <c r="D3924" s="10"/>
    </row>
    <row r="3925" spans="1:4" ht="12.75">
      <c r="A3925" s="10"/>
      <c r="B3925" s="10"/>
      <c r="C3925" s="10"/>
      <c r="D3925" s="10"/>
    </row>
    <row r="3926" spans="1:4" ht="12.75">
      <c r="A3926" s="10"/>
      <c r="B3926" s="10"/>
      <c r="C3926" s="10"/>
      <c r="D3926" s="10"/>
    </row>
    <row r="3927" spans="1:4" ht="12.75">
      <c r="A3927" s="10"/>
      <c r="B3927" s="10"/>
      <c r="C3927" s="10"/>
      <c r="D3927" s="10"/>
    </row>
    <row r="3928" spans="1:4" ht="12.75">
      <c r="A3928" s="10"/>
      <c r="B3928" s="10"/>
      <c r="C3928" s="10"/>
      <c r="D3928" s="10"/>
    </row>
    <row r="3929" spans="1:4" ht="12.75">
      <c r="A3929" s="10"/>
      <c r="B3929" s="10"/>
      <c r="C3929" s="10"/>
      <c r="D3929" s="10"/>
    </row>
    <row r="3930" spans="1:4" ht="12.75">
      <c r="A3930" s="10"/>
      <c r="B3930" s="10"/>
      <c r="C3930" s="10"/>
      <c r="D3930" s="10"/>
    </row>
    <row r="3931" spans="1:4" ht="12.75">
      <c r="A3931" s="10"/>
      <c r="B3931" s="10"/>
      <c r="C3931" s="10"/>
      <c r="D3931" s="10"/>
    </row>
    <row r="3932" spans="1:4" ht="12.75">
      <c r="A3932" s="10"/>
      <c r="B3932" s="10"/>
      <c r="C3932" s="10"/>
      <c r="D3932" s="10"/>
    </row>
    <row r="3933" spans="1:4" ht="12.75">
      <c r="A3933" s="10"/>
      <c r="B3933" s="10"/>
      <c r="C3933" s="10"/>
      <c r="D3933" s="10"/>
    </row>
    <row r="3934" spans="1:4" ht="12.75">
      <c r="A3934" s="10"/>
      <c r="B3934" s="10"/>
      <c r="C3934" s="10"/>
      <c r="D3934" s="10"/>
    </row>
    <row r="3935" spans="1:4" ht="12.75">
      <c r="A3935" s="10"/>
      <c r="B3935" s="10"/>
      <c r="C3935" s="10"/>
      <c r="D3935" s="10"/>
    </row>
    <row r="3936" spans="1:4" ht="12.75">
      <c r="A3936" s="10"/>
      <c r="B3936" s="10"/>
      <c r="C3936" s="10"/>
      <c r="D3936" s="10"/>
    </row>
    <row r="3937" spans="1:4" ht="12.75">
      <c r="A3937" s="10"/>
      <c r="B3937" s="10"/>
      <c r="C3937" s="10"/>
      <c r="D3937" s="10"/>
    </row>
    <row r="3938" spans="1:4" ht="12.75">
      <c r="A3938" s="10"/>
      <c r="B3938" s="10"/>
      <c r="C3938" s="10"/>
      <c r="D3938" s="10"/>
    </row>
    <row r="3939" spans="1:4" ht="12.75">
      <c r="A3939" s="10"/>
      <c r="B3939" s="10"/>
      <c r="C3939" s="10"/>
      <c r="D3939" s="10"/>
    </row>
    <row r="3940" spans="1:4" ht="12.75">
      <c r="A3940" s="10"/>
      <c r="B3940" s="10"/>
      <c r="C3940" s="10"/>
      <c r="D3940" s="10"/>
    </row>
    <row r="3941" spans="1:4" ht="12.75">
      <c r="A3941" s="10"/>
      <c r="B3941" s="10"/>
      <c r="C3941" s="10"/>
      <c r="D3941" s="10"/>
    </row>
    <row r="3942" spans="1:4" ht="12.75">
      <c r="A3942" s="10"/>
      <c r="B3942" s="10"/>
      <c r="C3942" s="10"/>
      <c r="D3942" s="10"/>
    </row>
    <row r="3943" spans="1:4" ht="12.75">
      <c r="A3943" s="10"/>
      <c r="B3943" s="10"/>
      <c r="C3943" s="10"/>
      <c r="D3943" s="10"/>
    </row>
    <row r="3944" spans="1:4" ht="12.75">
      <c r="A3944" s="10"/>
      <c r="B3944" s="10"/>
      <c r="C3944" s="10"/>
      <c r="D3944" s="10"/>
    </row>
    <row r="3945" spans="1:4" ht="12.75">
      <c r="A3945" s="10"/>
      <c r="B3945" s="10"/>
      <c r="C3945" s="10"/>
      <c r="D3945" s="10"/>
    </row>
    <row r="3946" spans="1:4" ht="12.75">
      <c r="A3946" s="10"/>
      <c r="B3946" s="10"/>
      <c r="C3946" s="10"/>
      <c r="D3946" s="10"/>
    </row>
    <row r="3947" spans="1:4" ht="12.75">
      <c r="A3947" s="10"/>
      <c r="B3947" s="10"/>
      <c r="C3947" s="10"/>
      <c r="D3947" s="10"/>
    </row>
    <row r="3948" spans="1:4" ht="12.75">
      <c r="A3948" s="10"/>
      <c r="B3948" s="10"/>
      <c r="C3948" s="10"/>
      <c r="D3948" s="10"/>
    </row>
    <row r="3949" spans="1:4" ht="12.75">
      <c r="A3949" s="10"/>
      <c r="B3949" s="10"/>
      <c r="C3949" s="10"/>
      <c r="D3949" s="10"/>
    </row>
    <row r="3950" spans="1:4" ht="12.75">
      <c r="A3950" s="10"/>
      <c r="B3950" s="10"/>
      <c r="C3950" s="10"/>
      <c r="D3950" s="10"/>
    </row>
    <row r="3951" spans="1:4" ht="12.75">
      <c r="A3951" s="10"/>
      <c r="B3951" s="10"/>
      <c r="C3951" s="10"/>
      <c r="D3951" s="10"/>
    </row>
    <row r="3952" spans="1:4" ht="12.75">
      <c r="A3952" s="10"/>
      <c r="B3952" s="10"/>
      <c r="C3952" s="10"/>
      <c r="D3952" s="10"/>
    </row>
    <row r="3953" spans="1:4" ht="12.75">
      <c r="A3953" s="10"/>
      <c r="B3953" s="10"/>
      <c r="C3953" s="10"/>
      <c r="D3953" s="10"/>
    </row>
    <row r="3954" spans="1:4" ht="12.75">
      <c r="A3954" s="10"/>
      <c r="B3954" s="10"/>
      <c r="C3954" s="10"/>
      <c r="D3954" s="10"/>
    </row>
    <row r="3955" spans="1:4" ht="12.75">
      <c r="A3955" s="10"/>
      <c r="B3955" s="10"/>
      <c r="C3955" s="10"/>
      <c r="D3955" s="10"/>
    </row>
    <row r="3956" spans="1:4" ht="12.75">
      <c r="A3956" s="10"/>
      <c r="B3956" s="10"/>
      <c r="C3956" s="10"/>
      <c r="D3956" s="10"/>
    </row>
    <row r="3957" spans="1:4" ht="12.75">
      <c r="A3957" s="10"/>
      <c r="B3957" s="10"/>
      <c r="C3957" s="10"/>
      <c r="D3957" s="10"/>
    </row>
    <row r="3958" spans="1:4" ht="12.75">
      <c r="A3958" s="10"/>
      <c r="B3958" s="10"/>
      <c r="C3958" s="10"/>
      <c r="D3958" s="10"/>
    </row>
    <row r="3959" spans="1:4" ht="12.75">
      <c r="A3959" s="10"/>
      <c r="B3959" s="10"/>
      <c r="C3959" s="10"/>
      <c r="D3959" s="10"/>
    </row>
    <row r="3960" spans="1:4" ht="12.75">
      <c r="A3960" s="10"/>
      <c r="B3960" s="10"/>
      <c r="C3960" s="10"/>
      <c r="D3960" s="10"/>
    </row>
    <row r="3961" spans="1:4" ht="12.75">
      <c r="A3961" s="10"/>
      <c r="B3961" s="10"/>
      <c r="C3961" s="10"/>
      <c r="D3961" s="10"/>
    </row>
    <row r="3962" spans="1:4" ht="12.75">
      <c r="A3962" s="10"/>
      <c r="B3962" s="10"/>
      <c r="C3962" s="10"/>
      <c r="D3962" s="10"/>
    </row>
    <row r="3963" spans="1:4" ht="12.75">
      <c r="A3963" s="10"/>
      <c r="B3963" s="10"/>
      <c r="C3963" s="10"/>
      <c r="D3963" s="10"/>
    </row>
    <row r="3964" spans="1:4" ht="12.75">
      <c r="A3964" s="10"/>
      <c r="B3964" s="10"/>
      <c r="C3964" s="10"/>
      <c r="D3964" s="10"/>
    </row>
    <row r="3965" spans="1:4" ht="12.75">
      <c r="A3965" s="10"/>
      <c r="B3965" s="10"/>
      <c r="C3965" s="10"/>
      <c r="D3965" s="10"/>
    </row>
    <row r="3966" spans="1:4" ht="12.75">
      <c r="A3966" s="10"/>
      <c r="B3966" s="10"/>
      <c r="C3966" s="10"/>
      <c r="D3966" s="10"/>
    </row>
    <row r="3967" spans="1:4" ht="12.75">
      <c r="A3967" s="10"/>
      <c r="B3967" s="10"/>
      <c r="C3967" s="10"/>
      <c r="D3967" s="10"/>
    </row>
    <row r="3968" spans="1:4" ht="12.75">
      <c r="A3968" s="10"/>
      <c r="B3968" s="10"/>
      <c r="C3968" s="10"/>
      <c r="D3968" s="10"/>
    </row>
    <row r="3969" spans="1:4" ht="12.75">
      <c r="A3969" s="10"/>
      <c r="B3969" s="10"/>
      <c r="C3969" s="10"/>
      <c r="D3969" s="10"/>
    </row>
    <row r="3970" spans="1:4" ht="12.75">
      <c r="A3970" s="10"/>
      <c r="B3970" s="10"/>
      <c r="C3970" s="10"/>
      <c r="D3970" s="10"/>
    </row>
    <row r="3971" spans="1:4" ht="12.75">
      <c r="A3971" s="10"/>
      <c r="B3971" s="10"/>
      <c r="C3971" s="10"/>
      <c r="D3971" s="10"/>
    </row>
    <row r="3972" spans="1:4" ht="12.75">
      <c r="A3972" s="10"/>
      <c r="B3972" s="10"/>
      <c r="C3972" s="10"/>
      <c r="D3972" s="10"/>
    </row>
    <row r="3973" spans="1:4" ht="12.75">
      <c r="A3973" s="10"/>
      <c r="B3973" s="10"/>
      <c r="C3973" s="10"/>
      <c r="D3973" s="10"/>
    </row>
    <row r="3974" spans="1:4" ht="12.75">
      <c r="A3974" s="10"/>
      <c r="B3974" s="10"/>
      <c r="C3974" s="10"/>
      <c r="D3974" s="10"/>
    </row>
    <row r="3975" spans="1:4" ht="12.75">
      <c r="A3975" s="10"/>
      <c r="B3975" s="10"/>
      <c r="C3975" s="10"/>
      <c r="D3975" s="10"/>
    </row>
    <row r="3976" spans="1:4" ht="12.75">
      <c r="A3976" s="10"/>
      <c r="B3976" s="10"/>
      <c r="C3976" s="10"/>
      <c r="D3976" s="10"/>
    </row>
    <row r="3977" spans="1:4" ht="12.75">
      <c r="A3977" s="10"/>
      <c r="B3977" s="10"/>
      <c r="C3977" s="10"/>
      <c r="D3977" s="10"/>
    </row>
    <row r="3978" spans="1:4" ht="12.75">
      <c r="A3978" s="10"/>
      <c r="B3978" s="10"/>
      <c r="C3978" s="10"/>
      <c r="D3978" s="10"/>
    </row>
    <row r="3979" spans="1:4" ht="12.75">
      <c r="A3979" s="10"/>
      <c r="B3979" s="10"/>
      <c r="C3979" s="10"/>
      <c r="D3979" s="10"/>
    </row>
    <row r="3980" spans="1:4" ht="12.75">
      <c r="A3980" s="10"/>
      <c r="B3980" s="10"/>
      <c r="C3980" s="10"/>
      <c r="D3980" s="10"/>
    </row>
    <row r="3981" spans="1:4" ht="12.75">
      <c r="A3981" s="10"/>
      <c r="B3981" s="10"/>
      <c r="C3981" s="10"/>
      <c r="D3981" s="10"/>
    </row>
    <row r="3982" spans="1:4" ht="12.75">
      <c r="A3982" s="10"/>
      <c r="B3982" s="10"/>
      <c r="C3982" s="10"/>
      <c r="D3982" s="10"/>
    </row>
    <row r="3983" spans="1:4" ht="12.75">
      <c r="A3983" s="10"/>
      <c r="B3983" s="10"/>
      <c r="C3983" s="10"/>
      <c r="D3983" s="10"/>
    </row>
    <row r="3984" spans="1:4" ht="12.75">
      <c r="A3984" s="10"/>
      <c r="B3984" s="10"/>
      <c r="C3984" s="10"/>
      <c r="D3984" s="10"/>
    </row>
    <row r="3985" spans="1:4" ht="12.75">
      <c r="A3985" s="10"/>
      <c r="B3985" s="10"/>
      <c r="C3985" s="10"/>
      <c r="D3985" s="10"/>
    </row>
    <row r="3986" spans="1:4" ht="12.75">
      <c r="A3986" s="10"/>
      <c r="B3986" s="10"/>
      <c r="C3986" s="10"/>
      <c r="D3986" s="10"/>
    </row>
    <row r="3987" spans="1:4" ht="12.75">
      <c r="A3987" s="10"/>
      <c r="B3987" s="10"/>
      <c r="C3987" s="10"/>
      <c r="D3987" s="10"/>
    </row>
    <row r="3988" spans="1:4" ht="12.75">
      <c r="A3988" s="10"/>
      <c r="B3988" s="10"/>
      <c r="C3988" s="10"/>
      <c r="D3988" s="10"/>
    </row>
    <row r="3989" spans="1:4" ht="12.75">
      <c r="A3989" s="10"/>
      <c r="B3989" s="10"/>
      <c r="C3989" s="10"/>
      <c r="D3989" s="10"/>
    </row>
    <row r="3990" spans="1:4" ht="12.75">
      <c r="A3990" s="10"/>
      <c r="B3990" s="10"/>
      <c r="C3990" s="10"/>
      <c r="D3990" s="10"/>
    </row>
    <row r="3991" spans="1:4" ht="12.75">
      <c r="A3991" s="10"/>
      <c r="B3991" s="10"/>
      <c r="C3991" s="10"/>
      <c r="D3991" s="10"/>
    </row>
    <row r="3992" spans="1:4" ht="12.75">
      <c r="A3992" s="10"/>
      <c r="B3992" s="10"/>
      <c r="C3992" s="10"/>
      <c r="D3992" s="10"/>
    </row>
    <row r="3993" spans="1:4" ht="12.75">
      <c r="A3993" s="10"/>
      <c r="B3993" s="10"/>
      <c r="C3993" s="10"/>
      <c r="D3993" s="10"/>
    </row>
    <row r="3994" spans="1:4" ht="12.75">
      <c r="A3994" s="10"/>
      <c r="B3994" s="10"/>
      <c r="C3994" s="10"/>
      <c r="D3994" s="10"/>
    </row>
    <row r="3995" spans="1:4" ht="12.75">
      <c r="A3995" s="10"/>
      <c r="B3995" s="10"/>
      <c r="C3995" s="10"/>
      <c r="D3995" s="10"/>
    </row>
    <row r="3996" spans="1:4" ht="12.75">
      <c r="A3996" s="10"/>
      <c r="B3996" s="10"/>
      <c r="C3996" s="10"/>
      <c r="D3996" s="10"/>
    </row>
    <row r="3997" spans="1:4" ht="12.75">
      <c r="A3997" s="10"/>
      <c r="B3997" s="10"/>
      <c r="C3997" s="10"/>
      <c r="D3997" s="10"/>
    </row>
    <row r="3998" spans="1:4" ht="12.75">
      <c r="A3998" s="10"/>
      <c r="B3998" s="10"/>
      <c r="C3998" s="10"/>
      <c r="D3998" s="10"/>
    </row>
    <row r="3999" spans="1:4" ht="12.75">
      <c r="A3999" s="10"/>
      <c r="B3999" s="10"/>
      <c r="C3999" s="10"/>
      <c r="D3999" s="10"/>
    </row>
    <row r="4000" spans="1:4" ht="12.75">
      <c r="A4000" s="10"/>
      <c r="B4000" s="10"/>
      <c r="C4000" s="10"/>
      <c r="D4000" s="10"/>
    </row>
    <row r="4001" spans="1:4" ht="12.75">
      <c r="A4001" s="10"/>
      <c r="B4001" s="10"/>
      <c r="C4001" s="10"/>
      <c r="D4001" s="10"/>
    </row>
    <row r="4002" spans="1:4" ht="12.75">
      <c r="A4002" s="10"/>
      <c r="B4002" s="10"/>
      <c r="C4002" s="10"/>
      <c r="D4002" s="10"/>
    </row>
    <row r="4003" spans="1:4" ht="12.75">
      <c r="A4003" s="10"/>
      <c r="B4003" s="10"/>
      <c r="C4003" s="10"/>
      <c r="D4003" s="10"/>
    </row>
    <row r="4004" spans="1:4" ht="12.75">
      <c r="A4004" s="10"/>
      <c r="B4004" s="10"/>
      <c r="C4004" s="10"/>
      <c r="D4004" s="10"/>
    </row>
    <row r="4005" spans="1:4" ht="12.75">
      <c r="A4005" s="10"/>
      <c r="B4005" s="10"/>
      <c r="C4005" s="10"/>
      <c r="D4005" s="10"/>
    </row>
    <row r="4006" spans="1:4" ht="12.75">
      <c r="A4006" s="10"/>
      <c r="B4006" s="10"/>
      <c r="C4006" s="10"/>
      <c r="D4006" s="10"/>
    </row>
    <row r="4007" spans="1:4" ht="12.75">
      <c r="A4007" s="10"/>
      <c r="B4007" s="10"/>
      <c r="C4007" s="10"/>
      <c r="D4007" s="10"/>
    </row>
    <row r="4008" spans="1:4" ht="12.75">
      <c r="A4008" s="10"/>
      <c r="B4008" s="10"/>
      <c r="C4008" s="10"/>
      <c r="D4008" s="10"/>
    </row>
    <row r="4009" spans="1:4" ht="12.75">
      <c r="A4009" s="10"/>
      <c r="B4009" s="10"/>
      <c r="C4009" s="10"/>
      <c r="D4009" s="10"/>
    </row>
    <row r="4010" spans="1:4" ht="12.75">
      <c r="A4010" s="10"/>
      <c r="B4010" s="10"/>
      <c r="C4010" s="10"/>
      <c r="D4010" s="10"/>
    </row>
    <row r="4011" spans="1:4" ht="12.75">
      <c r="A4011" s="10"/>
      <c r="B4011" s="10"/>
      <c r="C4011" s="10"/>
      <c r="D4011" s="10"/>
    </row>
    <row r="4012" spans="1:4" ht="12.75">
      <c r="A4012" s="10"/>
      <c r="B4012" s="10"/>
      <c r="C4012" s="10"/>
      <c r="D4012" s="10"/>
    </row>
    <row r="4013" spans="1:4" ht="12.75">
      <c r="A4013" s="10"/>
      <c r="B4013" s="10"/>
      <c r="C4013" s="10"/>
      <c r="D4013" s="10"/>
    </row>
    <row r="4014" spans="1:4" ht="12.75">
      <c r="A4014" s="10"/>
      <c r="B4014" s="10"/>
      <c r="C4014" s="10"/>
      <c r="D4014" s="10"/>
    </row>
    <row r="4015" spans="1:4" ht="12.75">
      <c r="A4015" s="10"/>
      <c r="B4015" s="10"/>
      <c r="C4015" s="10"/>
      <c r="D4015" s="10"/>
    </row>
    <row r="4016" spans="1:4" ht="12.75">
      <c r="A4016" s="10"/>
      <c r="B4016" s="10"/>
      <c r="C4016" s="10"/>
      <c r="D4016" s="10"/>
    </row>
    <row r="4017" spans="1:4" ht="12.75">
      <c r="A4017" s="10"/>
      <c r="B4017" s="10"/>
      <c r="C4017" s="10"/>
      <c r="D4017" s="10"/>
    </row>
    <row r="4018" spans="1:4" ht="12.75">
      <c r="A4018" s="10"/>
      <c r="B4018" s="10"/>
      <c r="C4018" s="10"/>
      <c r="D4018" s="10"/>
    </row>
    <row r="4019" spans="1:4" ht="12.75">
      <c r="A4019" s="10"/>
      <c r="B4019" s="10"/>
      <c r="C4019" s="10"/>
      <c r="D4019" s="10"/>
    </row>
    <row r="4020" spans="1:4" ht="12.75">
      <c r="A4020" s="10"/>
      <c r="B4020" s="10"/>
      <c r="C4020" s="10"/>
      <c r="D4020" s="10"/>
    </row>
    <row r="4021" spans="1:4" ht="12.75">
      <c r="A4021" s="10"/>
      <c r="B4021" s="10"/>
      <c r="C4021" s="10"/>
      <c r="D4021" s="10"/>
    </row>
    <row r="4022" spans="1:4" ht="12.75">
      <c r="A4022" s="10"/>
      <c r="B4022" s="10"/>
      <c r="C4022" s="10"/>
      <c r="D4022" s="10"/>
    </row>
    <row r="4023" spans="1:4" ht="12.75">
      <c r="A4023" s="10"/>
      <c r="B4023" s="10"/>
      <c r="C4023" s="10"/>
      <c r="D4023" s="10"/>
    </row>
    <row r="4024" spans="1:4" ht="12.75">
      <c r="A4024" s="10"/>
      <c r="B4024" s="10"/>
      <c r="C4024" s="10"/>
      <c r="D4024" s="10"/>
    </row>
    <row r="4025" spans="1:4" ht="12.75">
      <c r="A4025" s="10"/>
      <c r="B4025" s="10"/>
      <c r="C4025" s="10"/>
      <c r="D4025" s="10"/>
    </row>
    <row r="4026" spans="1:4" ht="12.75">
      <c r="A4026" s="10"/>
      <c r="B4026" s="10"/>
      <c r="C4026" s="10"/>
      <c r="D4026" s="10"/>
    </row>
    <row r="4027" spans="1:4" ht="12.75">
      <c r="A4027" s="10"/>
      <c r="B4027" s="10"/>
      <c r="C4027" s="10"/>
      <c r="D4027" s="10"/>
    </row>
    <row r="4028" spans="1:4" ht="12.75">
      <c r="A4028" s="10"/>
      <c r="B4028" s="10"/>
      <c r="C4028" s="10"/>
      <c r="D4028" s="10"/>
    </row>
    <row r="4029" spans="1:4" ht="12.75">
      <c r="A4029" s="10"/>
      <c r="B4029" s="10"/>
      <c r="C4029" s="10"/>
      <c r="D4029" s="10"/>
    </row>
    <row r="4030" spans="1:4" ht="12.75">
      <c r="A4030" s="10"/>
      <c r="B4030" s="10"/>
      <c r="C4030" s="10"/>
      <c r="D4030" s="10"/>
    </row>
    <row r="4031" spans="1:4" ht="12.75">
      <c r="A4031" s="10"/>
      <c r="B4031" s="10"/>
      <c r="C4031" s="10"/>
      <c r="D4031" s="10"/>
    </row>
    <row r="4032" spans="1:4" ht="12.75">
      <c r="A4032" s="10"/>
      <c r="B4032" s="10"/>
      <c r="C4032" s="10"/>
      <c r="D4032" s="10"/>
    </row>
    <row r="4033" spans="1:4" ht="12.75">
      <c r="A4033" s="10"/>
      <c r="B4033" s="10"/>
      <c r="C4033" s="10"/>
      <c r="D4033" s="10"/>
    </row>
    <row r="4034" spans="1:4" ht="12.75">
      <c r="A4034" s="10"/>
      <c r="B4034" s="10"/>
      <c r="C4034" s="10"/>
      <c r="D4034" s="10"/>
    </row>
    <row r="4035" spans="1:4" ht="12.75">
      <c r="A4035" s="10"/>
      <c r="B4035" s="10"/>
      <c r="C4035" s="10"/>
      <c r="D4035" s="10"/>
    </row>
    <row r="4036" spans="1:4" ht="12.75">
      <c r="A4036" s="10"/>
      <c r="B4036" s="10"/>
      <c r="C4036" s="10"/>
      <c r="D4036" s="10"/>
    </row>
    <row r="4037" spans="1:4" ht="12.75">
      <c r="A4037" s="10"/>
      <c r="B4037" s="10"/>
      <c r="C4037" s="10"/>
      <c r="D4037" s="10"/>
    </row>
    <row r="4038" spans="1:4" ht="12.75">
      <c r="A4038" s="10"/>
      <c r="B4038" s="10"/>
      <c r="C4038" s="10"/>
      <c r="D4038" s="10"/>
    </row>
    <row r="4039" spans="1:4" ht="12.75">
      <c r="A4039" s="10"/>
      <c r="B4039" s="10"/>
      <c r="C4039" s="10"/>
      <c r="D4039" s="10"/>
    </row>
    <row r="4040" spans="1:4" ht="12.75">
      <c r="A4040" s="10"/>
      <c r="B4040" s="10"/>
      <c r="C4040" s="10"/>
      <c r="D4040" s="10"/>
    </row>
    <row r="4041" spans="1:4" ht="12.75">
      <c r="A4041" s="10"/>
      <c r="B4041" s="10"/>
      <c r="C4041" s="10"/>
      <c r="D4041" s="10"/>
    </row>
    <row r="4042" spans="1:4" ht="12.75">
      <c r="A4042" s="10"/>
      <c r="B4042" s="10"/>
      <c r="C4042" s="10"/>
      <c r="D4042" s="10"/>
    </row>
    <row r="4043" spans="1:4" ht="12.75">
      <c r="A4043" s="10"/>
      <c r="B4043" s="10"/>
      <c r="C4043" s="10"/>
      <c r="D4043" s="10"/>
    </row>
    <row r="4044" spans="1:4" ht="12.75">
      <c r="A4044" s="10"/>
      <c r="B4044" s="10"/>
      <c r="C4044" s="10"/>
      <c r="D4044" s="10"/>
    </row>
    <row r="4045" spans="1:4" ht="12.75">
      <c r="A4045" s="10"/>
      <c r="B4045" s="10"/>
      <c r="C4045" s="10"/>
      <c r="D4045" s="10"/>
    </row>
    <row r="4046" spans="1:4" ht="12.75">
      <c r="A4046" s="10"/>
      <c r="B4046" s="10"/>
      <c r="C4046" s="10"/>
      <c r="D4046" s="10"/>
    </row>
    <row r="4047" spans="1:4" ht="12.75">
      <c r="A4047" s="10"/>
      <c r="B4047" s="10"/>
      <c r="C4047" s="10"/>
      <c r="D4047" s="10"/>
    </row>
    <row r="4048" spans="1:4" ht="12.75">
      <c r="A4048" s="10"/>
      <c r="B4048" s="10"/>
      <c r="C4048" s="10"/>
      <c r="D4048" s="10"/>
    </row>
    <row r="4049" spans="1:4" ht="12.75">
      <c r="A4049" s="10"/>
      <c r="B4049" s="10"/>
      <c r="C4049" s="10"/>
      <c r="D4049" s="10"/>
    </row>
    <row r="4050" spans="1:4" ht="12.75">
      <c r="A4050" s="10"/>
      <c r="B4050" s="10"/>
      <c r="C4050" s="10"/>
      <c r="D4050" s="10"/>
    </row>
    <row r="4051" spans="1:4" ht="12.75">
      <c r="A4051" s="10"/>
      <c r="B4051" s="10"/>
      <c r="C4051" s="10"/>
      <c r="D4051" s="10"/>
    </row>
    <row r="4052" spans="1:4" ht="12.75">
      <c r="A4052" s="10"/>
      <c r="B4052" s="10"/>
      <c r="C4052" s="10"/>
      <c r="D4052" s="10"/>
    </row>
    <row r="4053" spans="1:4" ht="12.75">
      <c r="A4053" s="10"/>
      <c r="B4053" s="10"/>
      <c r="C4053" s="10"/>
      <c r="D4053" s="10"/>
    </row>
    <row r="4054" spans="1:4" ht="12.75">
      <c r="A4054" s="10"/>
      <c r="B4054" s="10"/>
      <c r="C4054" s="10"/>
      <c r="D4054" s="10"/>
    </row>
    <row r="4055" spans="1:4" ht="12.75">
      <c r="A4055" s="10"/>
      <c r="B4055" s="10"/>
      <c r="C4055" s="10"/>
      <c r="D4055" s="10"/>
    </row>
    <row r="4056" spans="1:4" ht="12.75">
      <c r="A4056" s="10"/>
      <c r="B4056" s="10"/>
      <c r="C4056" s="10"/>
      <c r="D4056" s="10"/>
    </row>
    <row r="4057" spans="1:4" ht="12.75">
      <c r="A4057" s="10"/>
      <c r="B4057" s="10"/>
      <c r="C4057" s="10"/>
      <c r="D4057" s="10"/>
    </row>
    <row r="4058" spans="1:4" ht="12.75">
      <c r="A4058" s="10"/>
      <c r="B4058" s="10"/>
      <c r="C4058" s="10"/>
      <c r="D4058" s="10"/>
    </row>
    <row r="4059" spans="1:4" ht="12.75">
      <c r="A4059" s="10"/>
      <c r="B4059" s="10"/>
      <c r="C4059" s="10"/>
      <c r="D4059" s="10"/>
    </row>
    <row r="4060" spans="1:4" ht="12.75">
      <c r="A4060" s="10"/>
      <c r="B4060" s="10"/>
      <c r="C4060" s="10"/>
      <c r="D4060" s="10"/>
    </row>
    <row r="4061" spans="1:4" ht="12.75">
      <c r="A4061" s="10"/>
      <c r="B4061" s="10"/>
      <c r="C4061" s="10"/>
      <c r="D4061" s="10"/>
    </row>
    <row r="4062" spans="1:4" ht="12.75">
      <c r="A4062" s="10"/>
      <c r="B4062" s="10"/>
      <c r="C4062" s="10"/>
      <c r="D4062" s="10"/>
    </row>
    <row r="4063" spans="1:4" ht="12.75">
      <c r="A4063" s="10"/>
      <c r="B4063" s="10"/>
      <c r="C4063" s="10"/>
      <c r="D4063" s="10"/>
    </row>
    <row r="4064" spans="1:4" ht="12.75">
      <c r="A4064" s="10"/>
      <c r="B4064" s="10"/>
      <c r="C4064" s="10"/>
      <c r="D4064" s="10"/>
    </row>
    <row r="4065" spans="1:4" ht="12.75">
      <c r="A4065" s="10"/>
      <c r="B4065" s="10"/>
      <c r="C4065" s="10"/>
      <c r="D4065" s="10"/>
    </row>
    <row r="4066" spans="1:4" ht="12.75">
      <c r="A4066" s="10"/>
      <c r="B4066" s="10"/>
      <c r="C4066" s="10"/>
      <c r="D4066" s="10"/>
    </row>
    <row r="4067" spans="1:4" ht="12.75">
      <c r="A4067" s="10"/>
      <c r="B4067" s="10"/>
      <c r="C4067" s="10"/>
      <c r="D4067" s="10"/>
    </row>
    <row r="4068" spans="1:4" ht="12.75">
      <c r="A4068" s="10"/>
      <c r="B4068" s="10"/>
      <c r="C4068" s="10"/>
      <c r="D4068" s="10"/>
    </row>
    <row r="4069" spans="1:4" ht="12.75">
      <c r="A4069" s="10"/>
      <c r="B4069" s="10"/>
      <c r="C4069" s="10"/>
      <c r="D4069" s="10"/>
    </row>
    <row r="4070" spans="1:4" ht="12.75">
      <c r="A4070" s="10"/>
      <c r="B4070" s="10"/>
      <c r="C4070" s="10"/>
      <c r="D4070" s="10"/>
    </row>
    <row r="4071" spans="1:4" ht="12.75">
      <c r="A4071" s="10"/>
      <c r="B4071" s="10"/>
      <c r="C4071" s="10"/>
      <c r="D4071" s="10"/>
    </row>
    <row r="4072" spans="1:4" ht="12.75">
      <c r="A4072" s="10"/>
      <c r="B4072" s="10"/>
      <c r="C4072" s="10"/>
      <c r="D4072" s="10"/>
    </row>
    <row r="4073" spans="1:4" ht="12.75">
      <c r="A4073" s="10"/>
      <c r="B4073" s="10"/>
      <c r="C4073" s="10"/>
      <c r="D4073" s="10"/>
    </row>
    <row r="4074" spans="1:4" ht="12.75">
      <c r="A4074" s="10"/>
      <c r="B4074" s="10"/>
      <c r="C4074" s="10"/>
      <c r="D4074" s="10"/>
    </row>
    <row r="4075" spans="1:4" ht="12.75">
      <c r="A4075" s="10"/>
      <c r="B4075" s="10"/>
      <c r="C4075" s="10"/>
      <c r="D4075" s="10"/>
    </row>
    <row r="4076" spans="1:4" ht="12.75">
      <c r="A4076" s="10"/>
      <c r="B4076" s="10"/>
      <c r="C4076" s="10"/>
      <c r="D4076" s="10"/>
    </row>
    <row r="4077" spans="1:4" ht="12.75">
      <c r="A4077" s="10"/>
      <c r="B4077" s="10"/>
      <c r="C4077" s="10"/>
      <c r="D4077" s="10"/>
    </row>
    <row r="4078" spans="1:4" ht="12.75">
      <c r="A4078" s="10"/>
      <c r="B4078" s="10"/>
      <c r="C4078" s="10"/>
      <c r="D4078" s="10"/>
    </row>
    <row r="4079" spans="1:4" ht="12.75">
      <c r="A4079" s="10"/>
      <c r="B4079" s="10"/>
      <c r="C4079" s="10"/>
      <c r="D4079" s="10"/>
    </row>
    <row r="4080" spans="1:4" ht="12.75">
      <c r="A4080" s="10"/>
      <c r="B4080" s="10"/>
      <c r="C4080" s="10"/>
      <c r="D4080" s="10"/>
    </row>
    <row r="4081" spans="1:4" ht="12.75">
      <c r="A4081" s="10"/>
      <c r="B4081" s="10"/>
      <c r="C4081" s="10"/>
      <c r="D4081" s="10"/>
    </row>
    <row r="4082" spans="1:4" ht="12.75">
      <c r="A4082" s="10"/>
      <c r="B4082" s="10"/>
      <c r="C4082" s="10"/>
      <c r="D4082" s="10"/>
    </row>
    <row r="4083" spans="1:4" ht="12.75">
      <c r="A4083" s="10"/>
      <c r="B4083" s="10"/>
      <c r="C4083" s="10"/>
      <c r="D4083" s="10"/>
    </row>
    <row r="4084" spans="1:4" ht="12.75">
      <c r="A4084" s="10"/>
      <c r="B4084" s="10"/>
      <c r="C4084" s="10"/>
      <c r="D4084" s="10"/>
    </row>
    <row r="4085" spans="1:4" ht="12.75">
      <c r="A4085" s="10"/>
      <c r="B4085" s="10"/>
      <c r="C4085" s="10"/>
      <c r="D4085" s="10"/>
    </row>
    <row r="4086" spans="1:4" ht="12.75">
      <c r="A4086" s="10"/>
      <c r="B4086" s="10"/>
      <c r="C4086" s="10"/>
      <c r="D4086" s="10"/>
    </row>
    <row r="4087" spans="1:4" ht="12.75">
      <c r="A4087" s="10"/>
      <c r="B4087" s="10"/>
      <c r="C4087" s="10"/>
      <c r="D4087" s="10"/>
    </row>
    <row r="4088" spans="1:4" ht="12.75">
      <c r="A4088" s="10"/>
      <c r="B4088" s="10"/>
      <c r="C4088" s="10"/>
      <c r="D4088" s="10"/>
    </row>
    <row r="4089" spans="1:4" ht="12.75">
      <c r="A4089" s="10"/>
      <c r="B4089" s="10"/>
      <c r="C4089" s="10"/>
      <c r="D4089" s="10"/>
    </row>
    <row r="4090" spans="1:4" ht="12.75">
      <c r="A4090" s="10"/>
      <c r="B4090" s="10"/>
      <c r="C4090" s="10"/>
      <c r="D4090" s="10"/>
    </row>
    <row r="4091" spans="1:4" ht="12.75">
      <c r="A4091" s="10"/>
      <c r="B4091" s="10"/>
      <c r="C4091" s="10"/>
      <c r="D4091" s="10"/>
    </row>
    <row r="4092" spans="1:4" ht="12.75">
      <c r="A4092" s="10"/>
      <c r="B4092" s="10"/>
      <c r="C4092" s="10"/>
      <c r="D4092" s="10"/>
    </row>
    <row r="4093" spans="1:4" ht="12.75">
      <c r="A4093" s="10"/>
      <c r="B4093" s="10"/>
      <c r="C4093" s="10"/>
      <c r="D4093" s="10"/>
    </row>
    <row r="4094" spans="1:4" ht="12.75">
      <c r="A4094" s="10"/>
      <c r="B4094" s="10"/>
      <c r="C4094" s="10"/>
      <c r="D4094" s="10"/>
    </row>
    <row r="4095" spans="1:4" ht="12.75">
      <c r="A4095" s="10"/>
      <c r="B4095" s="10"/>
      <c r="C4095" s="10"/>
      <c r="D4095" s="10"/>
    </row>
    <row r="4096" spans="1:4" ht="12.75">
      <c r="A4096" s="10"/>
      <c r="B4096" s="10"/>
      <c r="C4096" s="10"/>
      <c r="D4096" s="10"/>
    </row>
    <row r="4097" spans="1:4" ht="12.75">
      <c r="A4097" s="10"/>
      <c r="B4097" s="10"/>
      <c r="C4097" s="10"/>
      <c r="D4097" s="10"/>
    </row>
    <row r="4098" spans="1:4" ht="12.75">
      <c r="A4098" s="10"/>
      <c r="B4098" s="10"/>
      <c r="C4098" s="10"/>
      <c r="D4098" s="10"/>
    </row>
    <row r="4099" spans="1:4" ht="12.75">
      <c r="A4099" s="10"/>
      <c r="B4099" s="10"/>
      <c r="C4099" s="10"/>
      <c r="D4099" s="10"/>
    </row>
    <row r="4100" spans="1:4" ht="12.75">
      <c r="A4100" s="10"/>
      <c r="B4100" s="10"/>
      <c r="C4100" s="10"/>
      <c r="D4100" s="10"/>
    </row>
    <row r="4101" spans="1:4" ht="12.75">
      <c r="A4101" s="10"/>
      <c r="B4101" s="10"/>
      <c r="C4101" s="10"/>
      <c r="D4101" s="10"/>
    </row>
    <row r="4102" spans="1:4" ht="12.75">
      <c r="A4102" s="10"/>
      <c r="B4102" s="10"/>
      <c r="C4102" s="10"/>
      <c r="D4102" s="10"/>
    </row>
    <row r="4103" spans="1:4" ht="12.75">
      <c r="A4103" s="10"/>
      <c r="B4103" s="10"/>
      <c r="C4103" s="10"/>
      <c r="D4103" s="10"/>
    </row>
    <row r="4104" spans="1:4" ht="12.75">
      <c r="A4104" s="10"/>
      <c r="B4104" s="10"/>
      <c r="C4104" s="10"/>
      <c r="D4104" s="10"/>
    </row>
    <row r="4105" spans="1:4" ht="12.75">
      <c r="A4105" s="10"/>
      <c r="B4105" s="10"/>
      <c r="C4105" s="10"/>
      <c r="D4105" s="10"/>
    </row>
    <row r="4106" spans="1:4" ht="12.75">
      <c r="A4106" s="10"/>
      <c r="B4106" s="10"/>
      <c r="C4106" s="10"/>
      <c r="D4106" s="10"/>
    </row>
    <row r="4107" spans="1:4" ht="12.75">
      <c r="A4107" s="10"/>
      <c r="B4107" s="10"/>
      <c r="C4107" s="10"/>
      <c r="D4107" s="10"/>
    </row>
    <row r="4108" spans="1:4" ht="12.75">
      <c r="A4108" s="10"/>
      <c r="B4108" s="10"/>
      <c r="C4108" s="10"/>
      <c r="D4108" s="10"/>
    </row>
    <row r="4109" spans="1:4" ht="12.75">
      <c r="A4109" s="10"/>
      <c r="B4109" s="10"/>
      <c r="C4109" s="10"/>
      <c r="D4109" s="10"/>
    </row>
    <row r="4110" spans="1:4" ht="12.75">
      <c r="A4110" s="10"/>
      <c r="B4110" s="10"/>
      <c r="C4110" s="10"/>
      <c r="D4110" s="10"/>
    </row>
    <row r="4111" spans="1:4" ht="12.75">
      <c r="A4111" s="10"/>
      <c r="B4111" s="10"/>
      <c r="C4111" s="10"/>
      <c r="D4111" s="10"/>
    </row>
    <row r="4112" spans="1:4" ht="12.75">
      <c r="A4112" s="10"/>
      <c r="B4112" s="10"/>
      <c r="C4112" s="10"/>
      <c r="D4112" s="10"/>
    </row>
    <row r="4113" spans="1:4" ht="12.75">
      <c r="A4113" s="10"/>
      <c r="B4113" s="10"/>
      <c r="C4113" s="10"/>
      <c r="D4113" s="10"/>
    </row>
    <row r="4114" spans="1:4" ht="12.75">
      <c r="A4114" s="10"/>
      <c r="B4114" s="10"/>
      <c r="C4114" s="10"/>
      <c r="D4114" s="10"/>
    </row>
    <row r="4115" spans="1:4" ht="12.75">
      <c r="A4115" s="10"/>
      <c r="B4115" s="10"/>
      <c r="C4115" s="10"/>
      <c r="D4115" s="10"/>
    </row>
    <row r="4116" spans="1:4" ht="12.75">
      <c r="A4116" s="10"/>
      <c r="B4116" s="10"/>
      <c r="C4116" s="10"/>
      <c r="D4116" s="10"/>
    </row>
    <row r="4117" spans="1:4" ht="12.75">
      <c r="A4117" s="10"/>
      <c r="B4117" s="10"/>
      <c r="C4117" s="10"/>
      <c r="D4117" s="10"/>
    </row>
    <row r="4118" spans="1:4" ht="12.75">
      <c r="A4118" s="10"/>
      <c r="B4118" s="10"/>
      <c r="C4118" s="10"/>
      <c r="D4118" s="10"/>
    </row>
    <row r="4119" spans="1:4" ht="12.75">
      <c r="A4119" s="10"/>
      <c r="B4119" s="10"/>
      <c r="C4119" s="10"/>
      <c r="D4119" s="10"/>
    </row>
    <row r="4120" spans="1:4" ht="12.75">
      <c r="A4120" s="10"/>
      <c r="B4120" s="10"/>
      <c r="C4120" s="10"/>
      <c r="D4120" s="10"/>
    </row>
    <row r="4121" spans="1:4" ht="12.75">
      <c r="A4121" s="10"/>
      <c r="B4121" s="10"/>
      <c r="C4121" s="10"/>
      <c r="D4121" s="10"/>
    </row>
    <row r="4122" spans="1:4" ht="12.75">
      <c r="A4122" s="10"/>
      <c r="B4122" s="10"/>
      <c r="C4122" s="10"/>
      <c r="D4122" s="10"/>
    </row>
    <row r="4123" spans="1:4" ht="12.75">
      <c r="A4123" s="10"/>
      <c r="B4123" s="10"/>
      <c r="C4123" s="10"/>
      <c r="D4123" s="10"/>
    </row>
    <row r="4124" spans="1:4" ht="12.75">
      <c r="A4124" s="10"/>
      <c r="B4124" s="10"/>
      <c r="C4124" s="10"/>
      <c r="D4124" s="10"/>
    </row>
  </sheetData>
  <sheetProtection password="87B1" sheet="1" objects="1" scenarios="1" formatCells="0" formatColumns="0" formatRows="0"/>
  <protectedRanges>
    <protectedRange password="EDE0" sqref="C7:D9" name="KEY INFO_1" securityDescriptor="O:WDG:WDD:(A;;CC;;;WD)"/>
    <protectedRange password="EDE0" sqref="A7:B8 A15:D15 A13:D13" name="KEY INFO" securityDescriptor="O:WDG:WDD:(A;;CC;;;WD)"/>
    <protectedRange password="EDE0" sqref="C23:E25" name="Service Exe" securityDescriptor="O:WDG:WDD:(A;;CC;;;WD)"/>
    <protectedRange password="EDE0" sqref="C30:E32" name="Management Effec" securityDescriptor="O:WDG:WDD:(A;;CC;;;WD)"/>
    <protectedRange password="EDE0" sqref="C37:E41 C45:E50" name="leader ship" securityDescriptor="O:WDG:WDD:(A;;CC;;;WD)"/>
    <protectedRange password="EDE0" sqref="C309:E314 D315:E315 C316:E316 C291:E295 A298:E308 D296:E296 C297:E297 C273:E278 A281:E290 D279:E279 C280:E280 C256:E259 A262:E272 D260:E260 C261:E261 C241:E246 A249:E255 D247:E247 C248:E248 C223:E227 A230:E240 D228:E228 C229:E229 C205:E210 A213:E222 D211:E211 C212:E212 A194:E204 D192:E192 C193:E193 C344:E347 D348:E348 C349:E349 A350:E367 C172:E177 A180:E188 D178:E178 C179:E179 C154:E158 A161:E171 D159:E159 C160:E160 C136:E141 A144:E153 D142:E142 C143:E143 C119:E122 A125:E135 D123:E123 C124:E124 C104:E109 A112:E118 D110:E110 C111:E111 C86:E90 A93:E103 D91:E91 C92:E92 C68:E73 A76:E85 D74:E74 C75:E75 C53:E54 A57:E67 D55:E55 C56:E56 C189:E191 A317:E343" name="KRA" securityDescriptor="O:WDG:WDD:(A;;CC;;;WD)"/>
    <protectedRange password="EDE0" sqref="A394:C409" name="stre" securityDescriptor="O:WDG:WDD:(A;;CC;;;WD)"/>
    <protectedRange password="EDE0" sqref="A416:D420" name="OP" securityDescriptor="O:WDG:WDD:(A;;CC;;;WD)"/>
    <protectedRange password="EDE0" sqref="A316:B316 A297:B297 A280:B280 A261:B261 A248:B248 A229:B229 A212:B212 A193:B193 A349:B349 A179:B179 A160:B160 A143:B143 A124:B124 A111:B111 A92:B92 A75:B75 A56:B56" name="KRA_1" securityDescriptor="O:WDG:WDD:(A;;CC;;;WD)"/>
    <protectedRange password="EDE0" sqref="A309:B315 A291:B296 A273:B279 A256:B260 A241:B247 A223:B228 A205:B211 A344:B348 A172:B178 A154:B159 A136:B142 A119:B123 A104:B110 A86:B91 A68:B74 A53:B55 A189:B192" name="KRA_2" securityDescriptor="O:WDG:WDD:(A;;CC;;;WD)"/>
    <protectedRange password="EDE0" sqref="A9:B9" name="KEY INFO_2" securityDescriptor="O:WDG:WDD:(A;;CC;;;WD)"/>
    <protectedRange password="EDE0" sqref="C10:D10" name="KEY INFO_1_1" securityDescriptor="O:WDG:WDD:(A;;CC;;;WD)"/>
    <protectedRange password="EDE0" sqref="A10:B10" name="KEY INFO_3" securityDescriptor="O:WDG:WDD:(A;;CC;;;WD)"/>
    <protectedRange password="EDE0" sqref="C11:D11" name="KEY INFO_1_2" securityDescriptor="O:WDG:WDD:(A;;CC;;;WD)"/>
    <protectedRange password="EDE0" sqref="A11:B11" name="KEY INFO_4" securityDescriptor="O:WDG:WDD:(A;;CC;;;WD)"/>
    <protectedRange password="EDE0" sqref="C12:D12" name="KEY INFO_1_3" securityDescriptor="O:WDG:WDD:(A;;CC;;;WD)"/>
    <protectedRange password="EDE0" sqref="A12:B12" name="KEY INFO_5" securityDescriptor="O:WDG:WDD:(A;;CC;;;WD)"/>
  </protectedRanges>
  <mergeCells count="218">
    <mergeCell ref="C8:D8"/>
    <mergeCell ref="A422:D422"/>
    <mergeCell ref="C386:D386"/>
    <mergeCell ref="C387:D387"/>
    <mergeCell ref="A385:D385"/>
    <mergeCell ref="A391:D391"/>
    <mergeCell ref="A388:D388"/>
    <mergeCell ref="D392:D393"/>
    <mergeCell ref="A28:B29"/>
    <mergeCell ref="C28:C29"/>
    <mergeCell ref="B413:D413"/>
    <mergeCell ref="A387:B387"/>
    <mergeCell ref="A384:D384"/>
    <mergeCell ref="A383:D383"/>
    <mergeCell ref="B417:D417"/>
    <mergeCell ref="C43:C44"/>
    <mergeCell ref="C12:D12"/>
    <mergeCell ref="A14:D14"/>
    <mergeCell ref="A368:B368"/>
    <mergeCell ref="C376:D376"/>
    <mergeCell ref="A19:D19"/>
    <mergeCell ref="A9:B9"/>
    <mergeCell ref="L1026:M1026"/>
    <mergeCell ref="L1411:M1411"/>
    <mergeCell ref="H1268:J1268"/>
    <mergeCell ref="L1268:M1268"/>
    <mergeCell ref="H1279:J1279"/>
    <mergeCell ref="L1279:M1279"/>
    <mergeCell ref="H1180:J1180"/>
    <mergeCell ref="L1180:M1180"/>
    <mergeCell ref="L1191:M1191"/>
    <mergeCell ref="H1202:J1202"/>
    <mergeCell ref="L1202:M1202"/>
    <mergeCell ref="H1213:J1213"/>
    <mergeCell ref="L1213:M1213"/>
    <mergeCell ref="H1224:J1224"/>
    <mergeCell ref="L1224:M1224"/>
    <mergeCell ref="L1235:M1235"/>
    <mergeCell ref="L1246:M1246"/>
    <mergeCell ref="H1257:J1257"/>
    <mergeCell ref="L1125:M1125"/>
    <mergeCell ref="H1334:J1334"/>
    <mergeCell ref="L1334:M1334"/>
    <mergeCell ref="H1103:J1103"/>
    <mergeCell ref="L1103:M1103"/>
    <mergeCell ref="L1048:M1048"/>
    <mergeCell ref="A1:E3"/>
    <mergeCell ref="C10:D10"/>
    <mergeCell ref="C9:D9"/>
    <mergeCell ref="C11:D11"/>
    <mergeCell ref="A5:D5"/>
    <mergeCell ref="A7:D7"/>
    <mergeCell ref="B435:D435"/>
    <mergeCell ref="B433:D433"/>
    <mergeCell ref="B434:D434"/>
    <mergeCell ref="B429:D429"/>
    <mergeCell ref="E43:E44"/>
    <mergeCell ref="A15:D15"/>
    <mergeCell ref="E21:E22"/>
    <mergeCell ref="A52:B52"/>
    <mergeCell ref="D28:D29"/>
    <mergeCell ref="A376:B376"/>
    <mergeCell ref="A43:B44"/>
    <mergeCell ref="A21:B22"/>
    <mergeCell ref="A34:D34"/>
    <mergeCell ref="A27:D27"/>
    <mergeCell ref="E28:E29"/>
    <mergeCell ref="E35:E36"/>
    <mergeCell ref="A35:B36"/>
    <mergeCell ref="C35:C36"/>
    <mergeCell ref="L1015:M1015"/>
    <mergeCell ref="H1191:J1191"/>
    <mergeCell ref="H1136:J1136"/>
    <mergeCell ref="H1081:J1081"/>
    <mergeCell ref="H1048:J1048"/>
    <mergeCell ref="H982:J982"/>
    <mergeCell ref="B436:D436"/>
    <mergeCell ref="H1158:J1158"/>
    <mergeCell ref="H1125:J1125"/>
    <mergeCell ref="H927:J927"/>
    <mergeCell ref="H993:J993"/>
    <mergeCell ref="H1070:J1070"/>
    <mergeCell ref="H1015:J1015"/>
    <mergeCell ref="H1026:J1026"/>
    <mergeCell ref="H1059:J1059"/>
    <mergeCell ref="H1114:J1114"/>
    <mergeCell ref="L1114:M1114"/>
    <mergeCell ref="L1136:M1136"/>
    <mergeCell ref="L1158:M1158"/>
    <mergeCell ref="H1169:J1169"/>
    <mergeCell ref="L1169:M1169"/>
    <mergeCell ref="L1081:M1081"/>
    <mergeCell ref="H1092:J1092"/>
    <mergeCell ref="L1092:M1092"/>
    <mergeCell ref="H1642:J1642"/>
    <mergeCell ref="L1642:M1642"/>
    <mergeCell ref="L1290:M1290"/>
    <mergeCell ref="L1510:M1510"/>
    <mergeCell ref="H1521:J1521"/>
    <mergeCell ref="L1521:M1521"/>
    <mergeCell ref="H1466:J1466"/>
    <mergeCell ref="L1466:M1466"/>
    <mergeCell ref="H1433:J1433"/>
    <mergeCell ref="L1433:M1433"/>
    <mergeCell ref="H1444:J1444"/>
    <mergeCell ref="L1444:M1444"/>
    <mergeCell ref="H1455:J1455"/>
    <mergeCell ref="L1455:M1455"/>
    <mergeCell ref="H1356:J1356"/>
    <mergeCell ref="L1356:M1356"/>
    <mergeCell ref="H1367:J1367"/>
    <mergeCell ref="L1367:M1367"/>
    <mergeCell ref="H1378:J1378"/>
    <mergeCell ref="L1378:M1378"/>
    <mergeCell ref="H1389:J1389"/>
    <mergeCell ref="H1422:J1422"/>
    <mergeCell ref="L1422:M1422"/>
    <mergeCell ref="H1345:J1345"/>
    <mergeCell ref="H1719:J1719"/>
    <mergeCell ref="L1719:M1719"/>
    <mergeCell ref="H1675:J1675"/>
    <mergeCell ref="L1675:M1675"/>
    <mergeCell ref="H1686:J1686"/>
    <mergeCell ref="L1686:M1686"/>
    <mergeCell ref="H1697:J1697"/>
    <mergeCell ref="L1697:M1697"/>
    <mergeCell ref="H1664:J1664"/>
    <mergeCell ref="L1664:M1664"/>
    <mergeCell ref="H1708:J1708"/>
    <mergeCell ref="L1708:M1708"/>
    <mergeCell ref="H1587:J1587"/>
    <mergeCell ref="H1631:J1631"/>
    <mergeCell ref="L1631:M1631"/>
    <mergeCell ref="H1543:J1543"/>
    <mergeCell ref="H1620:J1620"/>
    <mergeCell ref="L1620:M1620"/>
    <mergeCell ref="L1587:M1587"/>
    <mergeCell ref="H1598:J1598"/>
    <mergeCell ref="L1598:M1598"/>
    <mergeCell ref="H1147:J1147"/>
    <mergeCell ref="H1477:J1477"/>
    <mergeCell ref="L1477:M1477"/>
    <mergeCell ref="H1488:J1488"/>
    <mergeCell ref="L1499:M1499"/>
    <mergeCell ref="H1510:J1510"/>
    <mergeCell ref="L1147:M1147"/>
    <mergeCell ref="L1257:M1257"/>
    <mergeCell ref="L1389:M1389"/>
    <mergeCell ref="H1400:J1400"/>
    <mergeCell ref="L1400:M1400"/>
    <mergeCell ref="H1411:J1411"/>
    <mergeCell ref="H1301:J1301"/>
    <mergeCell ref="H1246:J1246"/>
    <mergeCell ref="L1345:M1345"/>
    <mergeCell ref="H1290:J1290"/>
    <mergeCell ref="H1235:J1235"/>
    <mergeCell ref="H1037:J1037"/>
    <mergeCell ref="L1037:M1037"/>
    <mergeCell ref="H1653:J1653"/>
    <mergeCell ref="L1653:M1653"/>
    <mergeCell ref="L1543:M1543"/>
    <mergeCell ref="H1554:J1554"/>
    <mergeCell ref="L1554:M1554"/>
    <mergeCell ref="H1565:J1565"/>
    <mergeCell ref="L1565:M1565"/>
    <mergeCell ref="H1609:J1609"/>
    <mergeCell ref="L1609:M1609"/>
    <mergeCell ref="H1576:J1576"/>
    <mergeCell ref="L1576:M1576"/>
    <mergeCell ref="L1301:M1301"/>
    <mergeCell ref="H1312:J1312"/>
    <mergeCell ref="L1312:M1312"/>
    <mergeCell ref="H1323:J1323"/>
    <mergeCell ref="L1323:M1323"/>
    <mergeCell ref="L1070:M1070"/>
    <mergeCell ref="L1059:M1059"/>
    <mergeCell ref="H1532:J1532"/>
    <mergeCell ref="L1532:M1532"/>
    <mergeCell ref="L1488:M1488"/>
    <mergeCell ref="H1499:J1499"/>
    <mergeCell ref="H1004:J1004"/>
    <mergeCell ref="A18:D18"/>
    <mergeCell ref="H971:J971"/>
    <mergeCell ref="H949:J949"/>
    <mergeCell ref="L949:M949"/>
    <mergeCell ref="C20:D20"/>
    <mergeCell ref="D21:D22"/>
    <mergeCell ref="A427:D427"/>
    <mergeCell ref="B428:D428"/>
    <mergeCell ref="B411:D411"/>
    <mergeCell ref="B412:D412"/>
    <mergeCell ref="A390:D390"/>
    <mergeCell ref="A386:B386"/>
    <mergeCell ref="A392:A393"/>
    <mergeCell ref="B392:B393"/>
    <mergeCell ref="A410:D410"/>
    <mergeCell ref="L982:M982"/>
    <mergeCell ref="L1004:M1004"/>
    <mergeCell ref="L993:M993"/>
    <mergeCell ref="B430:D430"/>
    <mergeCell ref="B431:D431"/>
    <mergeCell ref="D35:D36"/>
    <mergeCell ref="C21:C22"/>
    <mergeCell ref="L938:M938"/>
    <mergeCell ref="L971:M971"/>
    <mergeCell ref="L960:M960"/>
    <mergeCell ref="H938:J938"/>
    <mergeCell ref="H960:J960"/>
    <mergeCell ref="B437:D437"/>
    <mergeCell ref="B432:D432"/>
    <mergeCell ref="L927:M927"/>
    <mergeCell ref="D43:D44"/>
    <mergeCell ref="A374:C374"/>
    <mergeCell ref="A377:B380"/>
    <mergeCell ref="A381:B381"/>
    <mergeCell ref="A55:A58"/>
    <mergeCell ref="A59:A60"/>
    <mergeCell ref="A63:A64"/>
  </mergeCells>
  <dataValidations count="1">
    <dataValidation type="list" allowBlank="1" showInputMessage="1" showErrorMessage="1" sqref="C23:E25 C37:E41 C45:E50 C30:E32 C53:E367">
      <formula1>$BP$1:$BT$1</formula1>
    </dataValidation>
  </dataValidations>
  <hyperlinks>
    <hyperlink ref="A422:D422" location="KRA!A1" display="For KRA Setting for forthcoming year please click here."/>
    <hyperlink ref="A15:D15" location="'Employee Project Details'!A1" display="For Resource Utilization in the Preceding Year (Review Period), please click here."/>
    <hyperlink ref="A19:D19" location="'Rating Remarks'!A1" display="To mention Remarks against Ratings specified in the below Section, click here"/>
  </hyperlinks>
  <pageMargins left="0.32" right="0.37" top="0.32" bottom="0.3" header="0.34" footer="0.3"/>
  <pageSetup orientation="landscape" verticalDpi="300" r:id="rId1"/>
  <drawing r:id="rId2"/>
  <legacyDrawing r:id="rId3"/>
  <controls>
    <control shapeId="96260" r:id="rId4" name="btnExtKRA"/>
    <control shapeId="96259" r:id="rId5" name="ddlDesignation"/>
    <control shapeId="96261" r:id="rId6" name="txtDesignation"/>
  </controls>
</worksheet>
</file>

<file path=xl/worksheets/sheet2.xml><?xml version="1.0" encoding="utf-8"?>
<worksheet xmlns="http://schemas.openxmlformats.org/spreadsheetml/2006/main" xmlns:r="http://schemas.openxmlformats.org/officeDocument/2006/relationships">
  <dimension ref="A1:CU1132"/>
  <sheetViews>
    <sheetView topLeftCell="A32" workbookViewId="0">
      <selection activeCell="C21" sqref="C21:D21"/>
    </sheetView>
  </sheetViews>
  <sheetFormatPr defaultRowHeight="15"/>
  <cols>
    <col min="1" max="1" width="32.140625" style="1" customWidth="1"/>
    <col min="2" max="2" width="41.42578125" style="1" customWidth="1"/>
    <col min="3" max="3" width="69.140625" style="1" customWidth="1"/>
    <col min="4" max="4" width="43.140625" style="1" customWidth="1"/>
    <col min="5" max="99" width="9.140625" style="2"/>
    <col min="100" max="16384" width="9.140625" style="1"/>
  </cols>
  <sheetData>
    <row r="1" spans="1:99" s="10" customFormat="1" ht="13.5" customHeight="1">
      <c r="A1" s="546" t="s">
        <v>315</v>
      </c>
      <c r="B1" s="547"/>
      <c r="C1" s="547"/>
      <c r="D1" s="548"/>
      <c r="E1" s="401"/>
      <c r="F1" s="401"/>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t="s">
        <v>0</v>
      </c>
      <c r="BO1" s="9" t="s">
        <v>3</v>
      </c>
      <c r="BP1" s="9" t="s">
        <v>6</v>
      </c>
      <c r="BQ1" s="9" t="s">
        <v>7</v>
      </c>
      <c r="BR1" s="9" t="s">
        <v>8</v>
      </c>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row>
    <row r="2" spans="1:99" s="10" customFormat="1" ht="24.75" customHeight="1">
      <c r="A2" s="549"/>
      <c r="B2" s="550"/>
      <c r="C2" s="550"/>
      <c r="D2" s="551"/>
      <c r="E2" s="402"/>
      <c r="F2" s="402"/>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c r="CM2" s="9"/>
      <c r="CN2" s="9"/>
      <c r="CO2" s="9"/>
      <c r="CP2" s="9"/>
      <c r="CQ2" s="9"/>
      <c r="CR2" s="9"/>
      <c r="CS2" s="9"/>
      <c r="CT2" s="9"/>
      <c r="CU2" s="9"/>
    </row>
    <row r="3" spans="1:99" s="13" customFormat="1" ht="36.75" customHeight="1">
      <c r="A3" s="549"/>
      <c r="B3" s="550"/>
      <c r="C3" s="550"/>
      <c r="D3" s="551"/>
      <c r="E3" s="403"/>
      <c r="F3" s="402"/>
      <c r="G3" s="9"/>
      <c r="H3" s="9"/>
      <c r="I3" s="9"/>
      <c r="J3" s="9"/>
      <c r="K3" s="9"/>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row>
    <row r="4" spans="1:99" s="13" customFormat="1" ht="3.75" customHeight="1">
      <c r="A4" s="408"/>
      <c r="B4" s="409"/>
      <c r="C4" s="409"/>
      <c r="D4" s="410"/>
      <c r="E4" s="403"/>
      <c r="F4" s="402"/>
      <c r="G4" s="9"/>
      <c r="H4" s="9"/>
      <c r="I4" s="9"/>
      <c r="J4" s="9"/>
      <c r="K4" s="9"/>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row>
    <row r="5" spans="1:99" ht="19.5" customHeight="1">
      <c r="A5" s="552" t="s">
        <v>91</v>
      </c>
      <c r="B5" s="553"/>
      <c r="C5" s="553"/>
      <c r="D5" s="554"/>
    </row>
    <row r="6" spans="1:99" ht="4.5" customHeight="1">
      <c r="A6" s="405"/>
      <c r="B6" s="406"/>
      <c r="C6" s="406"/>
      <c r="D6" s="407"/>
    </row>
    <row r="7" spans="1:99" ht="22.5" customHeight="1">
      <c r="A7" s="568" t="s">
        <v>355</v>
      </c>
      <c r="B7" s="569"/>
      <c r="C7" s="569" t="s">
        <v>356</v>
      </c>
      <c r="D7" s="570"/>
    </row>
    <row r="8" spans="1:99" ht="24" customHeight="1">
      <c r="A8" s="561" t="s">
        <v>357</v>
      </c>
      <c r="B8" s="562"/>
      <c r="C8" s="563" t="s">
        <v>358</v>
      </c>
      <c r="D8" s="564"/>
    </row>
    <row r="9" spans="1:99" ht="5.25" customHeight="1">
      <c r="A9" s="555"/>
      <c r="B9" s="556"/>
      <c r="C9" s="556"/>
      <c r="D9" s="557"/>
    </row>
    <row r="10" spans="1:99" ht="15.75">
      <c r="A10" s="576"/>
      <c r="B10" s="577"/>
      <c r="C10" s="571" t="s">
        <v>63</v>
      </c>
      <c r="D10" s="572"/>
    </row>
    <row r="11" spans="1:99" ht="3.75" customHeight="1">
      <c r="A11" s="558"/>
      <c r="B11" s="559"/>
      <c r="C11" s="559"/>
      <c r="D11" s="560"/>
    </row>
    <row r="12" spans="1:99">
      <c r="A12" s="395" t="s">
        <v>304</v>
      </c>
      <c r="B12" s="396" t="s">
        <v>9</v>
      </c>
      <c r="C12" s="396" t="s">
        <v>4</v>
      </c>
      <c r="D12" s="397" t="s">
        <v>305</v>
      </c>
    </row>
    <row r="13" spans="1:99" ht="3.75" customHeight="1">
      <c r="A13" s="558"/>
      <c r="B13" s="559"/>
      <c r="C13" s="559"/>
      <c r="D13" s="560"/>
    </row>
    <row r="14" spans="1:99">
      <c r="A14" s="573" t="s">
        <v>115</v>
      </c>
      <c r="B14" s="574"/>
      <c r="C14" s="574"/>
      <c r="D14" s="575"/>
    </row>
    <row r="15" spans="1:99" ht="90">
      <c r="A15" s="398" t="s">
        <v>10</v>
      </c>
      <c r="B15" s="388" t="s">
        <v>306</v>
      </c>
      <c r="C15" s="388" t="s">
        <v>359</v>
      </c>
      <c r="D15" s="629"/>
    </row>
    <row r="16" spans="1:99" ht="150">
      <c r="A16" s="398" t="s">
        <v>67</v>
      </c>
      <c r="B16" s="388" t="s">
        <v>11</v>
      </c>
      <c r="C16" s="630" t="s">
        <v>360</v>
      </c>
      <c r="D16" s="629"/>
    </row>
    <row r="17" spans="1:4" ht="75">
      <c r="A17" s="398" t="s">
        <v>12</v>
      </c>
      <c r="B17" s="388" t="s">
        <v>13</v>
      </c>
      <c r="C17" s="386"/>
      <c r="D17" s="389"/>
    </row>
    <row r="18" spans="1:4">
      <c r="A18" s="565" t="s">
        <v>116</v>
      </c>
      <c r="B18" s="566"/>
      <c r="C18" s="566"/>
      <c r="D18" s="567"/>
    </row>
    <row r="19" spans="1:4" ht="45">
      <c r="A19" s="398" t="s">
        <v>15</v>
      </c>
      <c r="B19" s="388" t="s">
        <v>65</v>
      </c>
      <c r="C19" s="630" t="s">
        <v>344</v>
      </c>
      <c r="D19" s="631"/>
    </row>
    <row r="20" spans="1:4" ht="92.25" customHeight="1">
      <c r="A20" s="398" t="s">
        <v>16</v>
      </c>
      <c r="B20" s="388" t="s">
        <v>17</v>
      </c>
      <c r="C20" s="388" t="s">
        <v>343</v>
      </c>
      <c r="D20" s="632"/>
    </row>
    <row r="21" spans="1:4" ht="45">
      <c r="A21" s="398" t="s">
        <v>307</v>
      </c>
      <c r="B21" s="388" t="s">
        <v>19</v>
      </c>
      <c r="C21" s="388" t="s">
        <v>345</v>
      </c>
      <c r="D21" s="632"/>
    </row>
    <row r="22" spans="1:4">
      <c r="A22" s="565" t="s">
        <v>117</v>
      </c>
      <c r="B22" s="566"/>
      <c r="C22" s="566"/>
      <c r="D22" s="567"/>
    </row>
    <row r="23" spans="1:4" ht="75">
      <c r="A23" s="398" t="s">
        <v>93</v>
      </c>
      <c r="B23" s="388" t="s">
        <v>106</v>
      </c>
      <c r="C23" s="415" t="s">
        <v>354</v>
      </c>
      <c r="D23" s="389"/>
    </row>
    <row r="24" spans="1:4" ht="45">
      <c r="A24" s="399" t="s">
        <v>94</v>
      </c>
      <c r="B24" s="388" t="s">
        <v>293</v>
      </c>
      <c r="C24" s="416" t="s">
        <v>346</v>
      </c>
      <c r="D24" s="389"/>
    </row>
    <row r="25" spans="1:4" ht="75">
      <c r="A25" s="398" t="s">
        <v>45</v>
      </c>
      <c r="B25" s="388" t="s">
        <v>51</v>
      </c>
      <c r="C25" s="417" t="s">
        <v>353</v>
      </c>
      <c r="D25" s="389"/>
    </row>
    <row r="26" spans="1:4" ht="45">
      <c r="A26" s="398" t="s">
        <v>95</v>
      </c>
      <c r="B26" s="388" t="s">
        <v>103</v>
      </c>
      <c r="C26" s="418" t="s">
        <v>347</v>
      </c>
      <c r="D26" s="389"/>
    </row>
    <row r="27" spans="1:4" ht="45">
      <c r="A27" s="398" t="s">
        <v>44</v>
      </c>
      <c r="B27" s="388" t="s">
        <v>113</v>
      </c>
      <c r="C27" s="386" t="s">
        <v>348</v>
      </c>
      <c r="D27" s="389"/>
    </row>
    <row r="28" spans="1:4">
      <c r="A28" s="565" t="s">
        <v>118</v>
      </c>
      <c r="B28" s="566"/>
      <c r="C28" s="566"/>
      <c r="D28" s="567"/>
    </row>
    <row r="29" spans="1:4" ht="75">
      <c r="A29" s="398" t="s">
        <v>21</v>
      </c>
      <c r="B29" s="388" t="s">
        <v>22</v>
      </c>
      <c r="C29" s="416" t="s">
        <v>349</v>
      </c>
      <c r="D29" s="389"/>
    </row>
    <row r="30" spans="1:4" ht="60">
      <c r="A30" s="398" t="s">
        <v>23</v>
      </c>
      <c r="B30" s="388" t="s">
        <v>24</v>
      </c>
      <c r="C30" s="419" t="s">
        <v>350</v>
      </c>
      <c r="D30" s="389"/>
    </row>
    <row r="31" spans="1:4" ht="30">
      <c r="A31" s="398" t="s">
        <v>25</v>
      </c>
      <c r="B31" s="388" t="s">
        <v>26</v>
      </c>
      <c r="C31" s="419"/>
      <c r="D31" s="389"/>
    </row>
    <row r="32" spans="1:4" ht="45">
      <c r="A32" s="398" t="s">
        <v>49</v>
      </c>
      <c r="B32" s="388" t="s">
        <v>96</v>
      </c>
      <c r="C32" s="417"/>
      <c r="D32" s="389"/>
    </row>
    <row r="33" spans="1:4" ht="60">
      <c r="A33" s="398" t="s">
        <v>47</v>
      </c>
      <c r="B33" s="388" t="s">
        <v>50</v>
      </c>
      <c r="C33" s="418" t="s">
        <v>351</v>
      </c>
      <c r="D33" s="389"/>
    </row>
    <row r="34" spans="1:4" ht="75">
      <c r="A34" s="398" t="s">
        <v>27</v>
      </c>
      <c r="B34" s="388" t="s">
        <v>28</v>
      </c>
      <c r="C34" s="386"/>
      <c r="D34" s="389"/>
    </row>
    <row r="35" spans="1:4">
      <c r="A35" s="565" t="s">
        <v>308</v>
      </c>
      <c r="B35" s="566"/>
      <c r="C35" s="566"/>
      <c r="D35" s="567"/>
    </row>
    <row r="36" spans="1:4">
      <c r="A36" s="390"/>
      <c r="B36" s="387"/>
      <c r="C36" s="386"/>
      <c r="D36" s="389"/>
    </row>
    <row r="37" spans="1:4">
      <c r="A37" s="390"/>
      <c r="B37" s="387"/>
      <c r="C37" s="386"/>
      <c r="D37" s="389"/>
    </row>
    <row r="38" spans="1:4">
      <c r="A38" s="390"/>
      <c r="B38" s="387"/>
      <c r="C38" s="386"/>
      <c r="D38" s="389"/>
    </row>
    <row r="39" spans="1:4">
      <c r="A39" s="390"/>
      <c r="B39" s="387"/>
      <c r="C39" s="386"/>
      <c r="D39" s="389"/>
    </row>
    <row r="40" spans="1:4">
      <c r="A40" s="390"/>
      <c r="B40" s="387"/>
      <c r="C40" s="386"/>
      <c r="D40" s="389"/>
    </row>
    <row r="41" spans="1:4">
      <c r="A41" s="390"/>
      <c r="B41" s="387"/>
      <c r="C41" s="386"/>
      <c r="D41" s="389"/>
    </row>
    <row r="42" spans="1:4">
      <c r="A42" s="390"/>
      <c r="B42" s="387"/>
      <c r="C42" s="386"/>
      <c r="D42" s="389"/>
    </row>
    <row r="43" spans="1:4">
      <c r="A43" s="390"/>
      <c r="B43" s="387"/>
      <c r="C43" s="386"/>
      <c r="D43" s="389"/>
    </row>
    <row r="44" spans="1:4">
      <c r="A44" s="390"/>
      <c r="B44" s="387"/>
      <c r="C44" s="386"/>
      <c r="D44" s="389"/>
    </row>
    <row r="45" spans="1:4">
      <c r="A45" s="390"/>
      <c r="B45" s="387"/>
      <c r="C45" s="386"/>
      <c r="D45" s="389"/>
    </row>
    <row r="46" spans="1:4">
      <c r="A46" s="390"/>
      <c r="B46" s="387"/>
      <c r="C46" s="386"/>
      <c r="D46" s="389"/>
    </row>
    <row r="47" spans="1:4">
      <c r="A47" s="390"/>
      <c r="B47" s="387"/>
      <c r="C47" s="386"/>
      <c r="D47" s="389"/>
    </row>
    <row r="48" spans="1:4">
      <c r="A48" s="390"/>
      <c r="B48" s="387"/>
      <c r="C48" s="386"/>
      <c r="D48" s="389"/>
    </row>
    <row r="49" spans="1:4">
      <c r="A49" s="390"/>
      <c r="B49" s="387"/>
      <c r="C49" s="386"/>
      <c r="D49" s="389"/>
    </row>
    <row r="50" spans="1:4">
      <c r="A50" s="390"/>
      <c r="B50" s="387"/>
      <c r="C50" s="386"/>
      <c r="D50" s="389"/>
    </row>
    <row r="51" spans="1:4">
      <c r="A51" s="390"/>
      <c r="B51" s="387"/>
      <c r="C51" s="386"/>
      <c r="D51" s="389"/>
    </row>
    <row r="52" spans="1:4">
      <c r="A52" s="390"/>
      <c r="B52" s="387"/>
      <c r="C52" s="386"/>
      <c r="D52" s="389"/>
    </row>
    <row r="53" spans="1:4">
      <c r="A53" s="390"/>
      <c r="B53" s="387"/>
      <c r="C53" s="386"/>
      <c r="D53" s="389"/>
    </row>
    <row r="54" spans="1:4">
      <c r="A54" s="390"/>
      <c r="B54" s="387"/>
      <c r="C54" s="386"/>
      <c r="D54" s="389"/>
    </row>
    <row r="55" spans="1:4">
      <c r="A55" s="390"/>
      <c r="B55" s="387"/>
      <c r="C55" s="386"/>
      <c r="D55" s="389"/>
    </row>
    <row r="56" spans="1:4">
      <c r="A56" s="390"/>
      <c r="B56" s="387"/>
      <c r="C56" s="386"/>
      <c r="D56" s="389"/>
    </row>
    <row r="57" spans="1:4">
      <c r="A57" s="390"/>
      <c r="B57" s="387"/>
      <c r="C57" s="386"/>
      <c r="D57" s="389"/>
    </row>
    <row r="58" spans="1:4">
      <c r="A58" s="390"/>
      <c r="B58" s="387"/>
      <c r="C58" s="386"/>
      <c r="D58" s="389"/>
    </row>
    <row r="59" spans="1:4">
      <c r="A59" s="390"/>
      <c r="B59" s="387"/>
      <c r="C59" s="386"/>
      <c r="D59" s="389"/>
    </row>
    <row r="60" spans="1:4">
      <c r="A60" s="390"/>
      <c r="B60" s="387"/>
      <c r="C60" s="386"/>
      <c r="D60" s="389"/>
    </row>
    <row r="61" spans="1:4">
      <c r="A61" s="390"/>
      <c r="B61" s="387"/>
      <c r="C61" s="386"/>
      <c r="D61" s="389"/>
    </row>
    <row r="62" spans="1:4">
      <c r="A62" s="390"/>
      <c r="B62" s="387"/>
      <c r="C62" s="386"/>
      <c r="D62" s="389"/>
    </row>
    <row r="63" spans="1:4">
      <c r="A63" s="390"/>
      <c r="B63" s="387"/>
      <c r="C63" s="386"/>
      <c r="D63" s="389"/>
    </row>
    <row r="64" spans="1:4">
      <c r="A64" s="390"/>
      <c r="B64" s="387"/>
      <c r="C64" s="386"/>
      <c r="D64" s="389"/>
    </row>
    <row r="65" spans="1:4">
      <c r="A65" s="390"/>
      <c r="B65" s="387"/>
      <c r="C65" s="386"/>
      <c r="D65" s="389"/>
    </row>
    <row r="66" spans="1:4">
      <c r="A66" s="390"/>
      <c r="B66" s="387"/>
      <c r="C66" s="386"/>
      <c r="D66" s="389"/>
    </row>
    <row r="67" spans="1:4">
      <c r="A67" s="390"/>
      <c r="B67" s="387"/>
      <c r="C67" s="386"/>
      <c r="D67" s="389"/>
    </row>
    <row r="68" spans="1:4">
      <c r="A68" s="390"/>
      <c r="B68" s="387"/>
      <c r="C68" s="386"/>
      <c r="D68" s="389"/>
    </row>
    <row r="69" spans="1:4">
      <c r="A69" s="390"/>
      <c r="B69" s="387"/>
      <c r="C69" s="386"/>
      <c r="D69" s="389"/>
    </row>
    <row r="70" spans="1:4">
      <c r="A70" s="390"/>
      <c r="B70" s="387"/>
      <c r="C70" s="386"/>
      <c r="D70" s="389"/>
    </row>
    <row r="71" spans="1:4">
      <c r="A71" s="390"/>
      <c r="B71" s="387"/>
      <c r="C71" s="386"/>
      <c r="D71" s="389"/>
    </row>
    <row r="72" spans="1:4">
      <c r="A72" s="390"/>
      <c r="B72" s="387"/>
      <c r="C72" s="386"/>
      <c r="D72" s="389"/>
    </row>
    <row r="73" spans="1:4">
      <c r="A73" s="390"/>
      <c r="B73" s="387"/>
      <c r="C73" s="386"/>
      <c r="D73" s="389"/>
    </row>
    <row r="74" spans="1:4">
      <c r="A74" s="390"/>
      <c r="B74" s="387"/>
      <c r="C74" s="386"/>
      <c r="D74" s="389"/>
    </row>
    <row r="75" spans="1:4">
      <c r="A75" s="390"/>
      <c r="B75" s="387"/>
      <c r="C75" s="386"/>
      <c r="D75" s="389"/>
    </row>
    <row r="76" spans="1:4">
      <c r="A76" s="390"/>
      <c r="B76" s="387"/>
      <c r="C76" s="386"/>
      <c r="D76" s="389"/>
    </row>
    <row r="77" spans="1:4">
      <c r="A77" s="390"/>
      <c r="B77" s="387"/>
      <c r="C77" s="386"/>
      <c r="D77" s="389"/>
    </row>
    <row r="78" spans="1:4">
      <c r="A78" s="390"/>
      <c r="B78" s="387"/>
      <c r="C78" s="386"/>
      <c r="D78" s="389"/>
    </row>
    <row r="79" spans="1:4">
      <c r="A79" s="390"/>
      <c r="B79" s="387"/>
      <c r="C79" s="386"/>
      <c r="D79" s="389"/>
    </row>
    <row r="80" spans="1:4">
      <c r="A80" s="390"/>
      <c r="B80" s="387"/>
      <c r="C80" s="386"/>
      <c r="D80" s="389"/>
    </row>
    <row r="81" spans="1:4">
      <c r="A81" s="390"/>
      <c r="B81" s="387"/>
      <c r="C81" s="386"/>
      <c r="D81" s="389"/>
    </row>
    <row r="82" spans="1:4">
      <c r="A82" s="390"/>
      <c r="B82" s="387"/>
      <c r="C82" s="386"/>
      <c r="D82" s="389"/>
    </row>
    <row r="83" spans="1:4">
      <c r="A83" s="390"/>
      <c r="B83" s="387"/>
      <c r="C83" s="386"/>
      <c r="D83" s="389"/>
    </row>
    <row r="84" spans="1:4">
      <c r="A84" s="390"/>
      <c r="B84" s="387"/>
      <c r="C84" s="386"/>
      <c r="D84" s="389"/>
    </row>
    <row r="85" spans="1:4">
      <c r="A85" s="390"/>
      <c r="B85" s="387"/>
      <c r="C85" s="386"/>
      <c r="D85" s="389"/>
    </row>
    <row r="86" spans="1:4">
      <c r="A86" s="390"/>
      <c r="B86" s="387"/>
      <c r="C86" s="386"/>
      <c r="D86" s="389"/>
    </row>
    <row r="87" spans="1:4">
      <c r="A87" s="390"/>
      <c r="B87" s="387"/>
      <c r="C87" s="386"/>
      <c r="D87" s="389"/>
    </row>
    <row r="88" spans="1:4">
      <c r="A88" s="390"/>
      <c r="B88" s="387"/>
      <c r="C88" s="386"/>
      <c r="D88" s="389"/>
    </row>
    <row r="89" spans="1:4">
      <c r="A89" s="390"/>
      <c r="B89" s="387"/>
      <c r="C89" s="386"/>
      <c r="D89" s="389"/>
    </row>
    <row r="90" spans="1:4">
      <c r="A90" s="390"/>
      <c r="B90" s="387"/>
      <c r="C90" s="386"/>
      <c r="D90" s="389"/>
    </row>
    <row r="91" spans="1:4">
      <c r="A91" s="390"/>
      <c r="B91" s="387"/>
      <c r="C91" s="386"/>
      <c r="D91" s="389"/>
    </row>
    <row r="92" spans="1:4">
      <c r="A92" s="390"/>
      <c r="B92" s="387"/>
      <c r="C92" s="386"/>
      <c r="D92" s="389"/>
    </row>
    <row r="93" spans="1:4">
      <c r="A93" s="390"/>
      <c r="B93" s="387"/>
      <c r="C93" s="386"/>
      <c r="D93" s="389"/>
    </row>
    <row r="94" spans="1:4">
      <c r="A94" s="390"/>
      <c r="B94" s="387"/>
      <c r="C94" s="386"/>
      <c r="D94" s="389"/>
    </row>
    <row r="95" spans="1:4">
      <c r="A95" s="390"/>
      <c r="B95" s="387"/>
      <c r="C95" s="386"/>
      <c r="D95" s="389"/>
    </row>
    <row r="96" spans="1:4">
      <c r="A96" s="390"/>
      <c r="B96" s="387"/>
      <c r="C96" s="386"/>
      <c r="D96" s="389"/>
    </row>
    <row r="97" spans="1:4">
      <c r="A97" s="390"/>
      <c r="B97" s="387"/>
      <c r="C97" s="386"/>
      <c r="D97" s="389"/>
    </row>
    <row r="98" spans="1:4">
      <c r="A98" s="390"/>
      <c r="B98" s="387"/>
      <c r="C98" s="386"/>
      <c r="D98" s="389"/>
    </row>
    <row r="99" spans="1:4">
      <c r="A99" s="390"/>
      <c r="B99" s="387"/>
      <c r="C99" s="386"/>
      <c r="D99" s="389"/>
    </row>
    <row r="100" spans="1:4">
      <c r="A100" s="390"/>
      <c r="B100" s="387"/>
      <c r="C100" s="386"/>
      <c r="D100" s="389"/>
    </row>
    <row r="101" spans="1:4">
      <c r="A101" s="390"/>
      <c r="B101" s="387"/>
      <c r="C101" s="386"/>
      <c r="D101" s="389"/>
    </row>
    <row r="102" spans="1:4">
      <c r="A102" s="390"/>
      <c r="B102" s="387"/>
      <c r="C102" s="386"/>
      <c r="D102" s="389"/>
    </row>
    <row r="103" spans="1:4">
      <c r="A103" s="390"/>
      <c r="B103" s="387"/>
      <c r="C103" s="386"/>
      <c r="D103" s="389"/>
    </row>
    <row r="104" spans="1:4">
      <c r="A104" s="390"/>
      <c r="B104" s="387"/>
      <c r="C104" s="386"/>
      <c r="D104" s="389"/>
    </row>
    <row r="105" spans="1:4" ht="15.75" thickBot="1">
      <c r="A105" s="391"/>
      <c r="B105" s="392"/>
      <c r="C105" s="393"/>
      <c r="D105" s="394"/>
    </row>
    <row r="106" spans="1:4" s="2" customFormat="1">
      <c r="A106" s="404"/>
      <c r="B106" s="404"/>
    </row>
    <row r="107" spans="1:4" s="2" customFormat="1">
      <c r="A107" s="404"/>
      <c r="B107" s="404"/>
    </row>
    <row r="108" spans="1:4" s="2" customFormat="1">
      <c r="A108" s="404"/>
      <c r="B108" s="404"/>
    </row>
    <row r="109" spans="1:4" s="2" customFormat="1">
      <c r="A109" s="404"/>
      <c r="B109" s="404"/>
    </row>
    <row r="110" spans="1:4" s="2" customFormat="1">
      <c r="A110" s="404"/>
      <c r="B110" s="404"/>
    </row>
    <row r="111" spans="1:4" s="2" customFormat="1">
      <c r="A111" s="404"/>
      <c r="B111" s="404"/>
    </row>
    <row r="112" spans="1:4" s="2" customFormat="1">
      <c r="A112" s="404"/>
      <c r="B112" s="404"/>
    </row>
    <row r="113" spans="1:2" s="2" customFormat="1">
      <c r="A113" s="404"/>
      <c r="B113" s="404"/>
    </row>
    <row r="114" spans="1:2" s="2" customFormat="1">
      <c r="A114" s="404"/>
      <c r="B114" s="404"/>
    </row>
    <row r="115" spans="1:2" s="2" customFormat="1">
      <c r="A115" s="404"/>
      <c r="B115" s="404"/>
    </row>
    <row r="116" spans="1:2" s="2" customFormat="1">
      <c r="A116" s="404"/>
      <c r="B116" s="404"/>
    </row>
    <row r="117" spans="1:2" s="2" customFormat="1">
      <c r="A117" s="404"/>
      <c r="B117" s="404"/>
    </row>
    <row r="118" spans="1:2" s="2" customFormat="1">
      <c r="A118" s="404"/>
      <c r="B118" s="404"/>
    </row>
    <row r="119" spans="1:2" s="2" customFormat="1">
      <c r="A119" s="404"/>
      <c r="B119" s="404"/>
    </row>
    <row r="120" spans="1:2" s="2" customFormat="1">
      <c r="A120" s="404"/>
      <c r="B120" s="404"/>
    </row>
    <row r="121" spans="1:2" s="2" customFormat="1">
      <c r="A121" s="404"/>
      <c r="B121" s="404"/>
    </row>
    <row r="122" spans="1:2" s="2" customFormat="1">
      <c r="A122" s="404"/>
      <c r="B122" s="404"/>
    </row>
    <row r="123" spans="1:2" s="2" customFormat="1">
      <c r="A123" s="404"/>
      <c r="B123" s="404"/>
    </row>
    <row r="124" spans="1:2" s="2" customFormat="1">
      <c r="A124" s="404"/>
      <c r="B124" s="404"/>
    </row>
    <row r="125" spans="1:2" s="2" customFormat="1">
      <c r="A125" s="404"/>
      <c r="B125" s="404"/>
    </row>
    <row r="126" spans="1:2" s="2" customFormat="1">
      <c r="A126" s="404"/>
      <c r="B126" s="404"/>
    </row>
    <row r="127" spans="1:2" s="2" customFormat="1">
      <c r="A127" s="404"/>
      <c r="B127" s="404"/>
    </row>
    <row r="128" spans="1:2" s="2" customFormat="1">
      <c r="A128" s="404"/>
      <c r="B128" s="404"/>
    </row>
    <row r="129" spans="1:2" s="2" customFormat="1">
      <c r="A129" s="404"/>
      <c r="B129" s="404"/>
    </row>
    <row r="130" spans="1:2" s="2" customFormat="1">
      <c r="A130" s="404"/>
      <c r="B130" s="404"/>
    </row>
    <row r="131" spans="1:2" s="2" customFormat="1">
      <c r="A131" s="404"/>
      <c r="B131" s="404"/>
    </row>
    <row r="132" spans="1:2" s="2" customFormat="1">
      <c r="A132" s="404"/>
      <c r="B132" s="404"/>
    </row>
    <row r="133" spans="1:2" s="2" customFormat="1">
      <c r="A133" s="404"/>
      <c r="B133" s="404"/>
    </row>
    <row r="134" spans="1:2" s="2" customFormat="1">
      <c r="A134" s="404"/>
      <c r="B134" s="404"/>
    </row>
    <row r="135" spans="1:2" s="2" customFormat="1">
      <c r="A135" s="404"/>
      <c r="B135" s="404"/>
    </row>
    <row r="136" spans="1:2" s="2" customFormat="1">
      <c r="A136" s="404"/>
      <c r="B136" s="404"/>
    </row>
    <row r="137" spans="1:2" s="2" customFormat="1">
      <c r="A137" s="404"/>
      <c r="B137" s="404"/>
    </row>
    <row r="138" spans="1:2" s="2" customFormat="1">
      <c r="A138" s="404"/>
      <c r="B138" s="404"/>
    </row>
    <row r="139" spans="1:2" s="2" customFormat="1">
      <c r="A139" s="404"/>
      <c r="B139" s="404"/>
    </row>
    <row r="140" spans="1:2" s="2" customFormat="1">
      <c r="A140" s="404"/>
      <c r="B140" s="404"/>
    </row>
    <row r="141" spans="1:2" s="2" customFormat="1">
      <c r="A141" s="404"/>
      <c r="B141" s="404"/>
    </row>
    <row r="142" spans="1:2" s="2" customFormat="1">
      <c r="A142" s="404"/>
      <c r="B142" s="404"/>
    </row>
    <row r="143" spans="1:2" s="2" customFormat="1">
      <c r="A143" s="404"/>
      <c r="B143" s="404"/>
    </row>
    <row r="144" spans="1:2" s="2" customFormat="1">
      <c r="A144" s="404"/>
      <c r="B144" s="404"/>
    </row>
    <row r="145" spans="1:2" s="2" customFormat="1">
      <c r="A145" s="404"/>
      <c r="B145" s="404"/>
    </row>
    <row r="146" spans="1:2" s="2" customFormat="1">
      <c r="A146" s="404"/>
      <c r="B146" s="404"/>
    </row>
    <row r="147" spans="1:2" s="2" customFormat="1">
      <c r="A147" s="404"/>
      <c r="B147" s="404"/>
    </row>
    <row r="148" spans="1:2" s="2" customFormat="1">
      <c r="A148" s="404"/>
      <c r="B148" s="404"/>
    </row>
    <row r="149" spans="1:2" s="2" customFormat="1">
      <c r="A149" s="404"/>
      <c r="B149" s="404"/>
    </row>
    <row r="150" spans="1:2" s="2" customFormat="1">
      <c r="A150" s="404"/>
      <c r="B150" s="404"/>
    </row>
    <row r="151" spans="1:2" s="2" customFormat="1">
      <c r="A151" s="404"/>
      <c r="B151" s="404"/>
    </row>
    <row r="152" spans="1:2" s="2" customFormat="1">
      <c r="A152" s="404"/>
      <c r="B152" s="404"/>
    </row>
    <row r="153" spans="1:2" s="2" customFormat="1">
      <c r="A153" s="404"/>
      <c r="B153" s="404"/>
    </row>
    <row r="154" spans="1:2" s="2" customFormat="1">
      <c r="A154" s="404"/>
      <c r="B154" s="404"/>
    </row>
    <row r="155" spans="1:2" s="2" customFormat="1">
      <c r="A155" s="404"/>
      <c r="B155" s="404"/>
    </row>
    <row r="156" spans="1:2" s="2" customFormat="1">
      <c r="A156" s="404"/>
      <c r="B156" s="404"/>
    </row>
    <row r="157" spans="1:2" s="2" customFormat="1">
      <c r="A157" s="404"/>
      <c r="B157" s="404"/>
    </row>
    <row r="158" spans="1:2" s="2" customFormat="1">
      <c r="A158" s="404"/>
      <c r="B158" s="404"/>
    </row>
    <row r="159" spans="1:2" s="2" customFormat="1">
      <c r="A159" s="404"/>
      <c r="B159" s="404"/>
    </row>
    <row r="160" spans="1:2" s="2" customFormat="1">
      <c r="A160" s="404"/>
      <c r="B160" s="404"/>
    </row>
    <row r="161" spans="1:2" s="2" customFormat="1">
      <c r="A161" s="404"/>
      <c r="B161" s="404"/>
    </row>
    <row r="162" spans="1:2" s="2" customFormat="1">
      <c r="A162" s="404"/>
      <c r="B162" s="404"/>
    </row>
    <row r="163" spans="1:2" s="2" customFormat="1">
      <c r="A163" s="404"/>
      <c r="B163" s="404"/>
    </row>
    <row r="164" spans="1:2" s="2" customFormat="1">
      <c r="A164" s="404"/>
      <c r="B164" s="404"/>
    </row>
    <row r="165" spans="1:2" s="2" customFormat="1">
      <c r="A165" s="404"/>
      <c r="B165" s="404"/>
    </row>
    <row r="166" spans="1:2" s="2" customFormat="1">
      <c r="A166" s="404"/>
      <c r="B166" s="404"/>
    </row>
    <row r="167" spans="1:2" s="2" customFormat="1">
      <c r="A167" s="404"/>
      <c r="B167" s="404"/>
    </row>
    <row r="168" spans="1:2" s="2" customFormat="1">
      <c r="A168" s="404"/>
      <c r="B168" s="404"/>
    </row>
    <row r="169" spans="1:2" s="2" customFormat="1">
      <c r="A169" s="404"/>
      <c r="B169" s="404"/>
    </row>
    <row r="170" spans="1:2" s="2" customFormat="1">
      <c r="A170" s="404"/>
      <c r="B170" s="404"/>
    </row>
    <row r="171" spans="1:2" s="2" customFormat="1">
      <c r="A171" s="404"/>
      <c r="B171" s="404"/>
    </row>
    <row r="172" spans="1:2" s="2" customFormat="1">
      <c r="A172" s="404"/>
      <c r="B172" s="404"/>
    </row>
    <row r="173" spans="1:2" s="2" customFormat="1">
      <c r="A173" s="404"/>
      <c r="B173" s="404"/>
    </row>
    <row r="174" spans="1:2" s="2" customFormat="1">
      <c r="A174" s="404"/>
      <c r="B174" s="404"/>
    </row>
    <row r="175" spans="1:2" s="2" customFormat="1">
      <c r="A175" s="404"/>
      <c r="B175" s="404"/>
    </row>
    <row r="176" spans="1:2" s="2" customFormat="1">
      <c r="A176" s="404"/>
      <c r="B176" s="404"/>
    </row>
    <row r="177" spans="1:2" s="2" customFormat="1">
      <c r="A177" s="404"/>
      <c r="B177" s="404"/>
    </row>
    <row r="178" spans="1:2" s="2" customFormat="1">
      <c r="A178" s="404"/>
      <c r="B178" s="404"/>
    </row>
    <row r="179" spans="1:2" s="2" customFormat="1">
      <c r="A179" s="404"/>
      <c r="B179" s="404"/>
    </row>
    <row r="180" spans="1:2" s="2" customFormat="1">
      <c r="A180" s="404"/>
      <c r="B180" s="404"/>
    </row>
    <row r="181" spans="1:2" s="2" customFormat="1">
      <c r="A181" s="404"/>
      <c r="B181" s="404"/>
    </row>
    <row r="182" spans="1:2" s="2" customFormat="1">
      <c r="A182" s="404"/>
      <c r="B182" s="404"/>
    </row>
    <row r="183" spans="1:2" s="2" customFormat="1">
      <c r="A183" s="404"/>
      <c r="B183" s="404"/>
    </row>
    <row r="184" spans="1:2" s="2" customFormat="1">
      <c r="A184" s="404"/>
      <c r="B184" s="404"/>
    </row>
    <row r="185" spans="1:2" s="2" customFormat="1"/>
    <row r="186" spans="1:2" s="2" customFormat="1"/>
    <row r="187" spans="1:2" s="2" customFormat="1"/>
    <row r="188" spans="1:2" s="2" customFormat="1"/>
    <row r="189" spans="1:2" s="2" customFormat="1"/>
    <row r="190" spans="1:2" s="2" customFormat="1"/>
    <row r="191" spans="1:2" s="2" customFormat="1"/>
    <row r="192" spans="1:2" s="2" customFormat="1"/>
    <row r="193" s="2" customFormat="1"/>
    <row r="194" s="2" customFormat="1"/>
    <row r="195" s="2" customFormat="1"/>
    <row r="196" s="2" customFormat="1"/>
    <row r="197" s="2" customFormat="1"/>
    <row r="198" s="2" customFormat="1"/>
    <row r="199" s="2" customFormat="1"/>
    <row r="200" s="2" customFormat="1"/>
    <row r="201" s="2" customFormat="1"/>
    <row r="202" s="2" customFormat="1"/>
    <row r="203" s="2" customFormat="1"/>
    <row r="204" s="2" customFormat="1"/>
    <row r="205" s="2" customFormat="1"/>
    <row r="206" s="2" customFormat="1"/>
    <row r="207" s="2" customFormat="1"/>
    <row r="208" s="2" customFormat="1"/>
    <row r="209" s="2" customFormat="1"/>
    <row r="210" s="2" customFormat="1"/>
    <row r="211" s="2" customFormat="1"/>
    <row r="212" s="2" customFormat="1"/>
    <row r="213" s="2" customFormat="1"/>
    <row r="214" s="2" customFormat="1"/>
    <row r="215" s="2" customFormat="1"/>
    <row r="216" s="2" customFormat="1"/>
    <row r="217" s="2" customFormat="1"/>
    <row r="218" s="2" customFormat="1"/>
    <row r="219" s="2" customFormat="1"/>
    <row r="220" s="2" customFormat="1"/>
    <row r="221" s="2" customFormat="1"/>
    <row r="222" s="2" customFormat="1"/>
    <row r="223" s="2" customFormat="1"/>
    <row r="224" s="2" customFormat="1"/>
    <row r="225" s="2" customFormat="1"/>
    <row r="226" s="2" customFormat="1"/>
    <row r="227" s="2" customFormat="1"/>
    <row r="228" s="2" customFormat="1"/>
    <row r="229" s="2" customFormat="1"/>
    <row r="230" s="2" customFormat="1"/>
    <row r="231" s="2" customFormat="1"/>
    <row r="232" s="2" customFormat="1"/>
    <row r="233" s="2" customFormat="1"/>
    <row r="234" s="2" customFormat="1"/>
    <row r="235" s="2" customFormat="1"/>
    <row r="236" s="2" customFormat="1"/>
    <row r="237" s="2" customFormat="1"/>
    <row r="238" s="2" customFormat="1"/>
    <row r="239" s="2" customFormat="1"/>
    <row r="240" s="2" customFormat="1"/>
    <row r="241" s="2" customFormat="1"/>
    <row r="242" s="2" customFormat="1"/>
    <row r="243" s="2" customFormat="1"/>
    <row r="244" s="2" customFormat="1"/>
    <row r="245" s="2" customFormat="1"/>
    <row r="246" s="2" customFormat="1"/>
    <row r="247" s="2" customFormat="1"/>
    <row r="248" s="2" customFormat="1"/>
    <row r="249" s="2" customFormat="1"/>
    <row r="250" s="2" customFormat="1"/>
    <row r="251" s="2" customFormat="1"/>
    <row r="252" s="2" customFormat="1"/>
    <row r="253" s="2" customFormat="1"/>
    <row r="254" s="2" customFormat="1"/>
    <row r="255" s="2" customFormat="1"/>
    <row r="256" s="2" customFormat="1"/>
    <row r="257" s="2" customFormat="1"/>
    <row r="258" s="2" customFormat="1"/>
    <row r="259" s="2" customFormat="1"/>
    <row r="260" s="2" customFormat="1"/>
    <row r="261" s="2" customFormat="1"/>
    <row r="262" s="2" customFormat="1"/>
    <row r="263" s="2" customFormat="1"/>
    <row r="264" s="2" customFormat="1"/>
    <row r="265" s="2" customFormat="1"/>
    <row r="266" s="2" customFormat="1"/>
    <row r="267" s="2" customFormat="1"/>
    <row r="268" s="2" customFormat="1"/>
    <row r="269" s="2" customFormat="1"/>
    <row r="270" s="2" customFormat="1"/>
    <row r="271" s="2" customFormat="1"/>
    <row r="272" s="2" customFormat="1"/>
    <row r="273" s="2" customFormat="1"/>
    <row r="274" s="2" customFormat="1"/>
    <row r="275" s="2" customFormat="1"/>
    <row r="276" s="2" customFormat="1"/>
    <row r="277" s="2" customFormat="1"/>
    <row r="278" s="2" customFormat="1"/>
    <row r="279" s="2" customFormat="1"/>
    <row r="280" s="2" customFormat="1"/>
    <row r="281" s="2" customFormat="1"/>
    <row r="282" s="2" customFormat="1"/>
    <row r="283" s="2" customFormat="1"/>
    <row r="284" s="2" customFormat="1"/>
    <row r="285" s="2" customFormat="1"/>
    <row r="286" s="2" customFormat="1"/>
    <row r="287" s="2" customFormat="1"/>
    <row r="288" s="2" customFormat="1"/>
    <row r="289" s="2" customFormat="1"/>
    <row r="290" s="2" customFormat="1"/>
    <row r="291" s="2" customFormat="1"/>
    <row r="292" s="2" customFormat="1"/>
    <row r="293" s="2" customFormat="1"/>
    <row r="294" s="2" customFormat="1"/>
    <row r="295" s="2" customFormat="1"/>
    <row r="296" s="2" customFormat="1"/>
    <row r="297" s="2" customFormat="1"/>
    <row r="298" s="2" customFormat="1"/>
    <row r="299" s="2" customFormat="1"/>
    <row r="300" s="2" customFormat="1"/>
    <row r="301" s="2" customFormat="1"/>
    <row r="302" s="2" customFormat="1"/>
    <row r="303" s="2" customFormat="1"/>
    <row r="304" s="2" customFormat="1"/>
    <row r="305" s="2" customFormat="1"/>
    <row r="306" s="2" customFormat="1"/>
    <row r="307" s="2" customFormat="1"/>
    <row r="308" s="2" customFormat="1"/>
    <row r="309" s="2" customFormat="1"/>
    <row r="310" s="2" customFormat="1"/>
    <row r="311" s="2" customFormat="1"/>
    <row r="312" s="2" customFormat="1"/>
    <row r="313" s="2" customFormat="1"/>
    <row r="314" s="2" customFormat="1"/>
    <row r="315" s="2" customFormat="1"/>
    <row r="316" s="2" customFormat="1"/>
    <row r="317" s="2" customFormat="1"/>
    <row r="318" s="2" customFormat="1"/>
    <row r="319" s="2" customFormat="1"/>
    <row r="320" s="2" customFormat="1"/>
    <row r="321" s="2" customFormat="1"/>
    <row r="322" s="2" customFormat="1"/>
    <row r="323" s="2" customFormat="1"/>
    <row r="324" s="2" customFormat="1"/>
    <row r="325" s="2" customFormat="1"/>
    <row r="326" s="2" customFormat="1"/>
    <row r="327" s="2" customFormat="1"/>
    <row r="328" s="2" customFormat="1"/>
    <row r="329" s="2" customFormat="1"/>
    <row r="330" s="2" customFormat="1"/>
    <row r="331" s="2" customFormat="1"/>
    <row r="332" s="2" customFormat="1"/>
    <row r="333" s="2" customFormat="1"/>
    <row r="334" s="2" customFormat="1"/>
    <row r="335" s="2" customFormat="1"/>
    <row r="336" s="2" customFormat="1"/>
    <row r="337" s="2" customFormat="1"/>
    <row r="338" s="2" customFormat="1"/>
    <row r="339" s="2" customFormat="1"/>
    <row r="340" s="2" customFormat="1"/>
    <row r="341" s="2" customFormat="1"/>
    <row r="342" s="2" customFormat="1"/>
    <row r="343" s="2" customFormat="1"/>
    <row r="344" s="2" customFormat="1"/>
    <row r="345" s="2" customFormat="1"/>
    <row r="346" s="2" customFormat="1"/>
    <row r="347" s="2" customFormat="1"/>
    <row r="348" s="2" customFormat="1"/>
    <row r="349" s="2" customFormat="1"/>
    <row r="350" s="2" customFormat="1"/>
    <row r="351" s="2" customFormat="1"/>
    <row r="352" s="2" customFormat="1"/>
    <row r="353" s="2" customFormat="1"/>
    <row r="354" s="2" customFormat="1"/>
    <row r="355" s="2" customFormat="1"/>
    <row r="356" s="2" customFormat="1"/>
    <row r="357" s="2" customFormat="1"/>
    <row r="358" s="2" customFormat="1"/>
    <row r="359" s="2" customFormat="1"/>
    <row r="360" s="2" customFormat="1"/>
    <row r="361" s="2" customFormat="1"/>
    <row r="362" s="2" customFormat="1"/>
    <row r="363" s="2" customFormat="1"/>
    <row r="364" s="2" customFormat="1"/>
    <row r="365" s="2" customFormat="1"/>
    <row r="366" s="2" customFormat="1"/>
    <row r="367" s="2" customFormat="1"/>
    <row r="368" s="2" customFormat="1"/>
    <row r="369" s="2" customFormat="1"/>
    <row r="370" s="2" customFormat="1"/>
    <row r="371" s="2" customFormat="1"/>
    <row r="372" s="2" customFormat="1"/>
    <row r="373" s="2" customFormat="1"/>
    <row r="374" s="2" customFormat="1"/>
    <row r="375" s="2" customFormat="1"/>
    <row r="376" s="2" customFormat="1"/>
    <row r="377" s="2" customFormat="1"/>
    <row r="378" s="2" customFormat="1"/>
    <row r="379" s="2" customFormat="1"/>
    <row r="380" s="2" customFormat="1"/>
    <row r="381" s="2" customFormat="1"/>
    <row r="382" s="2" customFormat="1"/>
    <row r="383" s="2" customFormat="1"/>
    <row r="384" s="2" customFormat="1"/>
    <row r="385" s="2" customFormat="1"/>
    <row r="386" s="2" customFormat="1"/>
    <row r="387" s="2" customFormat="1"/>
    <row r="388" s="2" customFormat="1"/>
    <row r="389" s="2" customFormat="1"/>
    <row r="390" s="2" customFormat="1"/>
    <row r="391" s="2" customFormat="1"/>
    <row r="392" s="2" customFormat="1"/>
    <row r="393" s="2" customFormat="1"/>
    <row r="394" s="2" customFormat="1"/>
    <row r="395" s="2" customFormat="1"/>
    <row r="396" s="2" customFormat="1"/>
    <row r="397" s="2" customFormat="1"/>
    <row r="398" s="2" customFormat="1"/>
    <row r="399" s="2" customFormat="1"/>
    <row r="400" s="2" customFormat="1"/>
    <row r="401" s="2" customFormat="1"/>
    <row r="402" s="2" customFormat="1"/>
    <row r="403" s="2" customFormat="1"/>
    <row r="404" s="2" customFormat="1"/>
    <row r="405" s="2" customFormat="1"/>
    <row r="406" s="2" customFormat="1"/>
    <row r="407" s="2" customFormat="1"/>
    <row r="408" s="2" customFormat="1"/>
    <row r="409" s="2" customFormat="1"/>
    <row r="410" s="2" customFormat="1"/>
    <row r="411" s="2" customFormat="1"/>
    <row r="412" s="2" customFormat="1"/>
    <row r="413" s="2" customFormat="1"/>
    <row r="414" s="2" customFormat="1"/>
    <row r="415" s="2" customFormat="1"/>
    <row r="416" s="2" customFormat="1"/>
    <row r="417" s="2" customFormat="1"/>
    <row r="418" s="2" customFormat="1"/>
    <row r="419" s="2" customFormat="1"/>
    <row r="420" s="2" customFormat="1"/>
    <row r="421" s="2" customFormat="1"/>
    <row r="422" s="2" customFormat="1"/>
    <row r="423" s="2" customFormat="1"/>
    <row r="424" s="2" customFormat="1"/>
    <row r="425" s="2" customFormat="1"/>
    <row r="426" s="2" customFormat="1"/>
    <row r="427" s="2" customFormat="1"/>
    <row r="428" s="2" customFormat="1"/>
    <row r="429" s="2" customFormat="1"/>
    <row r="430" s="2" customFormat="1"/>
    <row r="431" s="2" customFormat="1"/>
    <row r="432" s="2" customFormat="1"/>
    <row r="433" s="2" customFormat="1"/>
    <row r="434" s="2" customFormat="1"/>
    <row r="435" s="2" customFormat="1"/>
    <row r="436" s="2" customFormat="1"/>
    <row r="437" s="2" customFormat="1"/>
    <row r="438" s="2" customFormat="1"/>
    <row r="439" s="2" customFormat="1"/>
    <row r="440" s="2" customFormat="1"/>
    <row r="441" s="2" customFormat="1"/>
    <row r="442" s="2" customFormat="1"/>
    <row r="443" s="2" customFormat="1"/>
    <row r="444" s="2" customFormat="1"/>
    <row r="445" s="2" customFormat="1"/>
    <row r="446" s="2" customFormat="1"/>
    <row r="447" s="2" customFormat="1"/>
    <row r="448" s="2" customFormat="1"/>
    <row r="449" s="2" customFormat="1"/>
    <row r="450" s="2" customFormat="1"/>
    <row r="451" s="2" customFormat="1"/>
    <row r="452" s="2" customFormat="1"/>
    <row r="453" s="2" customFormat="1"/>
    <row r="454" s="2" customFormat="1"/>
    <row r="455" s="2" customFormat="1"/>
    <row r="456" s="2" customFormat="1"/>
    <row r="457" s="2" customFormat="1"/>
    <row r="458" s="2" customFormat="1"/>
    <row r="459" s="2" customFormat="1"/>
    <row r="460" s="2" customFormat="1"/>
    <row r="461" s="2" customFormat="1"/>
    <row r="462" s="2" customFormat="1"/>
    <row r="463" s="2" customFormat="1"/>
    <row r="464" s="2" customFormat="1"/>
    <row r="465" s="2" customFormat="1"/>
    <row r="466" s="2" customFormat="1"/>
    <row r="467" s="2" customFormat="1"/>
    <row r="468" s="2" customFormat="1"/>
    <row r="469" s="2" customFormat="1"/>
    <row r="470" s="2" customFormat="1"/>
    <row r="471" s="2" customFormat="1"/>
    <row r="472" s="2" customFormat="1"/>
    <row r="473" s="2" customFormat="1"/>
    <row r="474" s="2" customFormat="1"/>
    <row r="475" s="2" customFormat="1"/>
    <row r="476" s="2" customFormat="1"/>
    <row r="477" s="2" customFormat="1"/>
    <row r="478" s="2" customFormat="1"/>
    <row r="479" s="2" customFormat="1"/>
    <row r="480" s="2" customFormat="1"/>
    <row r="481" s="2" customFormat="1"/>
    <row r="482" s="2" customFormat="1"/>
    <row r="483" s="2" customFormat="1"/>
    <row r="484" s="2" customFormat="1"/>
    <row r="485" s="2" customFormat="1"/>
    <row r="486" s="2" customFormat="1"/>
    <row r="487" s="2" customFormat="1"/>
    <row r="488" s="2" customFormat="1"/>
    <row r="489" s="2" customFormat="1"/>
    <row r="490" s="2" customFormat="1"/>
    <row r="491" s="2" customFormat="1"/>
    <row r="492" s="2" customFormat="1"/>
    <row r="493" s="2" customFormat="1"/>
    <row r="494" s="2" customFormat="1"/>
    <row r="495" s="2" customFormat="1"/>
    <row r="496" s="2" customFormat="1"/>
    <row r="497" s="2" customFormat="1"/>
    <row r="498" s="2" customFormat="1"/>
    <row r="499" s="2" customFormat="1"/>
    <row r="500" s="2" customFormat="1"/>
    <row r="501" s="2" customFormat="1"/>
    <row r="502" s="2" customFormat="1"/>
    <row r="503" s="2" customFormat="1"/>
    <row r="504" s="2" customFormat="1"/>
    <row r="505" s="2" customFormat="1"/>
    <row r="506" s="2" customFormat="1"/>
    <row r="507" s="2" customFormat="1"/>
    <row r="508" s="2" customFormat="1"/>
    <row r="509" s="2" customFormat="1"/>
    <row r="510" s="2" customFormat="1"/>
    <row r="511" s="2" customFormat="1"/>
    <row r="512" s="2" customFormat="1"/>
    <row r="513" s="2" customFormat="1"/>
    <row r="514" s="2" customFormat="1"/>
    <row r="515" s="2" customFormat="1"/>
    <row r="516" s="2" customFormat="1"/>
    <row r="517" s="2" customFormat="1"/>
    <row r="518" s="2" customFormat="1"/>
    <row r="519" s="2" customFormat="1"/>
    <row r="520" s="2" customFormat="1"/>
    <row r="521" s="2" customFormat="1"/>
    <row r="522" s="2" customFormat="1"/>
    <row r="523" s="2" customFormat="1"/>
    <row r="524" s="2" customFormat="1"/>
    <row r="525" s="2" customFormat="1"/>
    <row r="526" s="2" customFormat="1"/>
    <row r="527" s="2" customFormat="1"/>
    <row r="528" s="2" customFormat="1"/>
    <row r="529" s="2" customFormat="1"/>
    <row r="530" s="2" customFormat="1"/>
    <row r="531" s="2" customFormat="1"/>
    <row r="532" s="2" customFormat="1"/>
    <row r="533" s="2" customFormat="1"/>
    <row r="534" s="2" customFormat="1"/>
    <row r="535" s="2" customFormat="1"/>
    <row r="536" s="2" customFormat="1"/>
    <row r="537" s="2" customFormat="1"/>
    <row r="538" s="2" customFormat="1"/>
    <row r="539" s="2" customFormat="1"/>
    <row r="540" s="2" customFormat="1"/>
    <row r="541" s="2" customFormat="1"/>
    <row r="542" s="2" customFormat="1"/>
    <row r="543" s="2" customFormat="1"/>
    <row r="544" s="2" customFormat="1"/>
    <row r="545" s="2" customFormat="1"/>
    <row r="546" s="2" customFormat="1"/>
    <row r="547" s="2" customFormat="1"/>
    <row r="548" s="2" customFormat="1"/>
    <row r="549" s="2" customFormat="1"/>
    <row r="550" s="2" customFormat="1"/>
    <row r="551" s="2" customFormat="1"/>
    <row r="552" s="2" customFormat="1"/>
    <row r="553" s="2" customFormat="1"/>
    <row r="554" s="2" customFormat="1"/>
    <row r="555" s="2" customFormat="1"/>
    <row r="556" s="2" customFormat="1"/>
    <row r="557" s="2" customFormat="1"/>
    <row r="558" s="2" customFormat="1"/>
    <row r="559" s="2" customFormat="1"/>
    <row r="560" s="2" customFormat="1"/>
    <row r="561" s="2" customFormat="1"/>
    <row r="562" s="2" customFormat="1"/>
    <row r="563" s="2" customFormat="1"/>
    <row r="564" s="2" customFormat="1"/>
    <row r="565" s="2" customFormat="1"/>
    <row r="566" s="2" customFormat="1"/>
    <row r="567" s="2" customFormat="1"/>
    <row r="568" s="2" customFormat="1"/>
    <row r="569" s="2" customFormat="1"/>
    <row r="570" s="2" customFormat="1"/>
    <row r="571" s="2" customFormat="1"/>
    <row r="572" s="2" customFormat="1"/>
    <row r="573" s="2" customFormat="1"/>
    <row r="574" s="2" customFormat="1"/>
    <row r="575" s="2" customFormat="1"/>
    <row r="576" s="2" customFormat="1"/>
    <row r="577" s="2" customFormat="1"/>
    <row r="578" s="2" customFormat="1"/>
    <row r="579" s="2" customFormat="1"/>
    <row r="580" s="2" customFormat="1"/>
    <row r="581" s="2" customFormat="1"/>
    <row r="582" s="2" customFormat="1"/>
    <row r="583" s="2" customFormat="1"/>
    <row r="584" s="2" customFormat="1"/>
    <row r="585" s="2" customFormat="1"/>
    <row r="586" s="2" customFormat="1"/>
    <row r="587" s="2" customFormat="1"/>
    <row r="588" s="2" customFormat="1"/>
    <row r="589" s="2" customFormat="1"/>
    <row r="590" s="2" customFormat="1"/>
    <row r="591" s="2" customFormat="1"/>
    <row r="592" s="2" customFormat="1"/>
    <row r="593" s="2" customFormat="1"/>
    <row r="594" s="2" customFormat="1"/>
    <row r="595" s="2" customFormat="1"/>
    <row r="596" s="2" customFormat="1"/>
    <row r="597" s="2" customFormat="1"/>
    <row r="598" s="2" customFormat="1"/>
    <row r="599" s="2" customFormat="1"/>
    <row r="600" s="2" customFormat="1"/>
    <row r="601" s="2" customFormat="1"/>
    <row r="602" s="2" customFormat="1"/>
    <row r="603" s="2" customFormat="1"/>
    <row r="604" s="2" customFormat="1"/>
    <row r="605" s="2" customFormat="1"/>
    <row r="606" s="2" customFormat="1"/>
    <row r="607" s="2" customFormat="1"/>
    <row r="608" s="2" customFormat="1"/>
    <row r="609" s="2" customFormat="1"/>
    <row r="610" s="2" customFormat="1"/>
    <row r="611" s="2" customFormat="1"/>
    <row r="612" s="2" customFormat="1"/>
    <row r="613" s="2" customFormat="1"/>
    <row r="614" s="2" customFormat="1"/>
    <row r="615" s="2" customFormat="1"/>
    <row r="616" s="2" customFormat="1"/>
    <row r="617" s="2" customFormat="1"/>
    <row r="618" s="2" customFormat="1"/>
    <row r="619" s="2" customFormat="1"/>
    <row r="620" s="2" customFormat="1"/>
    <row r="621" s="2" customFormat="1"/>
    <row r="622" s="2" customFormat="1"/>
    <row r="623" s="2" customFormat="1"/>
    <row r="624" s="2" customFormat="1"/>
    <row r="625" s="2" customFormat="1"/>
    <row r="626" s="2" customFormat="1"/>
    <row r="627" s="2" customFormat="1"/>
    <row r="628" s="2" customFormat="1"/>
    <row r="629" s="2" customFormat="1"/>
    <row r="630" s="2" customFormat="1"/>
    <row r="631" s="2" customFormat="1"/>
    <row r="632" s="2" customFormat="1"/>
    <row r="633" s="2" customFormat="1"/>
    <row r="634" s="2" customFormat="1"/>
    <row r="635" s="2" customFormat="1"/>
    <row r="636" s="2" customFormat="1"/>
    <row r="637" s="2" customFormat="1"/>
    <row r="638" s="2" customFormat="1"/>
    <row r="639" s="2" customFormat="1"/>
    <row r="640" s="2" customFormat="1"/>
    <row r="641" s="2" customFormat="1"/>
    <row r="642" s="2" customFormat="1"/>
    <row r="643" s="2" customFormat="1"/>
    <row r="644" s="2" customFormat="1"/>
    <row r="645" s="2" customFormat="1"/>
    <row r="646" s="2" customFormat="1"/>
    <row r="647" s="2" customFormat="1"/>
    <row r="648" s="2" customFormat="1"/>
    <row r="649" s="2" customFormat="1"/>
    <row r="650" s="2" customFormat="1"/>
    <row r="651" s="2" customFormat="1"/>
    <row r="652" s="2" customFormat="1"/>
    <row r="653" s="2" customFormat="1"/>
    <row r="654" s="2" customFormat="1"/>
    <row r="655" s="2" customFormat="1"/>
    <row r="656" s="2" customFormat="1"/>
    <row r="657" s="2" customFormat="1"/>
    <row r="658" s="2" customFormat="1"/>
    <row r="659" s="2" customFormat="1"/>
    <row r="660" s="2" customFormat="1"/>
    <row r="661" s="2" customFormat="1"/>
    <row r="662" s="2" customFormat="1"/>
    <row r="663" s="2" customFormat="1"/>
    <row r="664" s="2" customFormat="1"/>
    <row r="665" s="2" customFormat="1"/>
    <row r="666" s="2" customFormat="1"/>
    <row r="667" s="2" customFormat="1"/>
    <row r="668" s="2" customFormat="1"/>
    <row r="669" s="2" customFormat="1"/>
    <row r="670" s="2" customFormat="1"/>
    <row r="671" s="2" customFormat="1"/>
    <row r="672" s="2" customFormat="1"/>
    <row r="673" s="2" customFormat="1"/>
    <row r="674" s="2" customFormat="1"/>
    <row r="675" s="2" customFormat="1"/>
    <row r="676" s="2" customFormat="1"/>
    <row r="677" s="2" customFormat="1"/>
    <row r="678" s="2" customFormat="1"/>
    <row r="679" s="2" customFormat="1"/>
    <row r="680" s="2" customFormat="1"/>
    <row r="681" s="2" customFormat="1"/>
    <row r="682" s="2" customFormat="1"/>
    <row r="683" s="2" customFormat="1"/>
    <row r="684" s="2" customFormat="1"/>
    <row r="685" s="2" customFormat="1"/>
    <row r="686" s="2" customFormat="1"/>
    <row r="687" s="2" customFormat="1"/>
    <row r="688" s="2" customFormat="1"/>
    <row r="689" s="2" customFormat="1"/>
    <row r="690" s="2" customFormat="1"/>
    <row r="691" s="2" customFormat="1"/>
    <row r="692" s="2" customFormat="1"/>
    <row r="693" s="2" customFormat="1"/>
    <row r="694" s="2" customFormat="1"/>
    <row r="695" s="2" customFormat="1"/>
    <row r="696" s="2" customFormat="1"/>
    <row r="697" s="2" customFormat="1"/>
    <row r="698" s="2" customFormat="1"/>
    <row r="699" s="2" customFormat="1"/>
    <row r="700" s="2" customFormat="1"/>
    <row r="701" s="2" customFormat="1"/>
    <row r="702" s="2" customFormat="1"/>
    <row r="703" s="2" customFormat="1"/>
    <row r="704" s="2" customFormat="1"/>
    <row r="705" s="2" customFormat="1"/>
    <row r="706" s="2" customFormat="1"/>
    <row r="707" s="2" customFormat="1"/>
    <row r="708" s="2" customFormat="1"/>
    <row r="709" s="2" customFormat="1"/>
    <row r="710" s="2" customFormat="1"/>
    <row r="711" s="2" customFormat="1"/>
    <row r="712" s="2" customFormat="1"/>
    <row r="713" s="2" customFormat="1"/>
    <row r="714" s="2" customFormat="1"/>
    <row r="715" s="2" customFormat="1"/>
    <row r="716" s="2" customFormat="1"/>
    <row r="717" s="2" customFormat="1"/>
    <row r="718" s="2" customFormat="1"/>
    <row r="719" s="2" customFormat="1"/>
    <row r="720" s="2" customFormat="1"/>
    <row r="721" s="2" customFormat="1"/>
    <row r="722" s="2" customFormat="1"/>
    <row r="723" s="2" customFormat="1"/>
    <row r="724" s="2" customFormat="1"/>
    <row r="725" s="2" customFormat="1"/>
    <row r="726" s="2" customFormat="1"/>
    <row r="727" s="2" customFormat="1"/>
    <row r="728" s="2" customFormat="1"/>
    <row r="729" s="2" customFormat="1"/>
    <row r="730" s="2" customFormat="1"/>
    <row r="731" s="2" customFormat="1"/>
    <row r="732" s="2" customFormat="1"/>
    <row r="733" s="2" customFormat="1"/>
    <row r="734" s="2" customFormat="1"/>
    <row r="735" s="2" customFormat="1"/>
    <row r="736" s="2" customFormat="1"/>
    <row r="737" s="2" customFormat="1"/>
    <row r="738" s="2" customFormat="1"/>
    <row r="739" s="2" customFormat="1"/>
    <row r="740" s="2" customFormat="1"/>
    <row r="741" s="2" customFormat="1"/>
    <row r="742" s="2" customFormat="1"/>
    <row r="743" s="2" customFormat="1"/>
    <row r="744" s="2" customFormat="1"/>
    <row r="745" s="2" customFormat="1"/>
    <row r="746" s="2" customFormat="1"/>
    <row r="747" s="2" customFormat="1"/>
    <row r="748" s="2" customFormat="1"/>
    <row r="749" s="2" customFormat="1"/>
    <row r="750" s="2" customFormat="1"/>
    <row r="751" s="2" customFormat="1"/>
    <row r="752" s="2" customFormat="1"/>
    <row r="753" s="2" customFormat="1"/>
    <row r="754" s="2" customFormat="1"/>
    <row r="755" s="2" customFormat="1"/>
    <row r="756" s="2" customFormat="1"/>
    <row r="757" s="2" customFormat="1"/>
    <row r="758" s="2" customFormat="1"/>
    <row r="759" s="2" customFormat="1"/>
    <row r="760" s="2" customFormat="1"/>
    <row r="761" s="2" customFormat="1"/>
    <row r="762" s="2" customFormat="1"/>
    <row r="763" s="2" customFormat="1"/>
    <row r="764" s="2" customFormat="1"/>
    <row r="765" s="2" customFormat="1"/>
    <row r="766" s="2" customFormat="1"/>
    <row r="767" s="2" customFormat="1"/>
    <row r="768" s="2" customFormat="1"/>
    <row r="769" s="2" customFormat="1"/>
    <row r="770" s="2" customFormat="1"/>
    <row r="771" s="2" customFormat="1"/>
    <row r="772" s="2" customFormat="1"/>
    <row r="773" s="2" customFormat="1"/>
    <row r="774" s="2" customFormat="1"/>
    <row r="775" s="2" customFormat="1"/>
    <row r="776" s="2" customFormat="1"/>
    <row r="777" s="2" customFormat="1"/>
    <row r="778" s="2" customFormat="1"/>
    <row r="779" s="2" customFormat="1"/>
    <row r="780" s="2" customFormat="1"/>
    <row r="781" s="2" customFormat="1"/>
    <row r="782" s="2" customFormat="1"/>
    <row r="783" s="2" customFormat="1"/>
    <row r="784" s="2" customFormat="1"/>
    <row r="785" s="2" customFormat="1"/>
    <row r="786" s="2" customFormat="1"/>
    <row r="787" s="2" customFormat="1"/>
    <row r="788" s="2" customFormat="1"/>
    <row r="789" s="2" customFormat="1"/>
    <row r="790" s="2" customFormat="1"/>
    <row r="791" s="2" customFormat="1"/>
    <row r="792" s="2" customFormat="1"/>
    <row r="793" s="2" customFormat="1"/>
    <row r="794" s="2" customFormat="1"/>
    <row r="795" s="2" customFormat="1"/>
    <row r="796" s="2" customFormat="1"/>
    <row r="797" s="2" customFormat="1"/>
    <row r="798" s="2" customFormat="1"/>
    <row r="799" s="2" customFormat="1"/>
    <row r="800" s="2" customFormat="1"/>
    <row r="801" s="2" customFormat="1"/>
    <row r="802" s="2" customFormat="1"/>
    <row r="803" s="2" customFormat="1"/>
    <row r="804" s="2" customFormat="1"/>
    <row r="805" s="2" customFormat="1"/>
    <row r="806" s="2" customFormat="1"/>
    <row r="807" s="2" customFormat="1"/>
    <row r="808" s="2" customFormat="1"/>
    <row r="809" s="2" customFormat="1"/>
    <row r="810" s="2" customFormat="1"/>
    <row r="811" s="2" customFormat="1"/>
    <row r="812" s="2" customFormat="1"/>
    <row r="813" s="2" customFormat="1"/>
    <row r="814" s="2" customFormat="1"/>
    <row r="815" s="2" customFormat="1"/>
    <row r="816" s="2" customFormat="1"/>
    <row r="817" s="2" customFormat="1"/>
    <row r="818" s="2" customFormat="1"/>
    <row r="819" s="2" customFormat="1"/>
    <row r="820" s="2" customFormat="1"/>
    <row r="821" s="2" customFormat="1"/>
    <row r="822" s="2" customFormat="1"/>
    <row r="823" s="2" customFormat="1"/>
    <row r="824" s="2" customFormat="1"/>
    <row r="825" s="2" customFormat="1"/>
    <row r="826" s="2" customFormat="1"/>
    <row r="827" s="2" customFormat="1"/>
    <row r="828" s="2" customFormat="1"/>
    <row r="829" s="2" customFormat="1"/>
    <row r="830" s="2" customFormat="1"/>
    <row r="831" s="2" customFormat="1"/>
    <row r="832" s="2" customFormat="1"/>
    <row r="833" s="2" customFormat="1"/>
    <row r="834" s="2" customFormat="1"/>
    <row r="835" s="2" customFormat="1"/>
    <row r="836" s="2" customFormat="1"/>
    <row r="837" s="2" customFormat="1"/>
    <row r="838" s="2" customFormat="1"/>
    <row r="839" s="2" customFormat="1"/>
    <row r="840" s="2" customFormat="1"/>
    <row r="841" s="2" customFormat="1"/>
    <row r="842" s="2" customFormat="1"/>
    <row r="843" s="2" customFormat="1"/>
    <row r="844" s="2" customFormat="1"/>
    <row r="845" s="2" customFormat="1"/>
    <row r="846" s="2" customFormat="1"/>
    <row r="847" s="2" customFormat="1"/>
    <row r="848" s="2" customFormat="1"/>
    <row r="849" s="2" customFormat="1"/>
    <row r="850" s="2" customFormat="1"/>
    <row r="851" s="2" customFormat="1"/>
    <row r="852" s="2" customFormat="1"/>
    <row r="853" s="2" customFormat="1"/>
    <row r="854" s="2" customFormat="1"/>
    <row r="855" s="2" customFormat="1"/>
    <row r="856" s="2" customFormat="1"/>
    <row r="857" s="2" customFormat="1"/>
    <row r="858" s="2" customFormat="1"/>
    <row r="859" s="2" customFormat="1"/>
    <row r="860" s="2" customFormat="1"/>
    <row r="861" s="2" customFormat="1"/>
    <row r="862" s="2" customFormat="1"/>
    <row r="863" s="2" customFormat="1"/>
    <row r="864" s="2" customFormat="1"/>
    <row r="865" s="2" customFormat="1"/>
    <row r="866" s="2" customFormat="1"/>
    <row r="867" s="2" customFormat="1"/>
    <row r="868" s="2" customFormat="1"/>
    <row r="869" s="2" customFormat="1"/>
    <row r="870" s="2" customFormat="1"/>
    <row r="871" s="2" customFormat="1"/>
    <row r="872" s="2" customFormat="1"/>
    <row r="873" s="2" customFormat="1"/>
    <row r="874" s="2" customFormat="1"/>
    <row r="875" s="2" customFormat="1"/>
    <row r="876" s="2" customFormat="1"/>
    <row r="877" s="2" customFormat="1"/>
    <row r="878" s="2" customFormat="1"/>
    <row r="879" s="2" customFormat="1"/>
    <row r="880" s="2" customFormat="1"/>
    <row r="881" s="2" customFormat="1"/>
    <row r="882" s="2" customFormat="1"/>
    <row r="883" s="2" customFormat="1"/>
    <row r="884" s="2" customFormat="1"/>
    <row r="885" s="2" customFormat="1"/>
    <row r="886" s="2" customFormat="1"/>
    <row r="887" s="2" customFormat="1"/>
    <row r="888" s="2" customFormat="1"/>
    <row r="889" s="2" customFormat="1"/>
    <row r="890" s="2" customFormat="1"/>
    <row r="891" s="2" customFormat="1"/>
    <row r="892" s="2" customFormat="1"/>
    <row r="893" s="2" customFormat="1"/>
    <row r="894" s="2" customFormat="1"/>
    <row r="895" s="2" customFormat="1"/>
    <row r="896" s="2" customFormat="1"/>
    <row r="897" s="2" customFormat="1"/>
    <row r="898" s="2" customFormat="1"/>
    <row r="899" s="2" customFormat="1"/>
    <row r="900" s="2" customFormat="1"/>
    <row r="901" s="2" customFormat="1"/>
    <row r="902" s="2" customFormat="1"/>
    <row r="903" s="2" customFormat="1"/>
    <row r="904" s="2" customFormat="1"/>
    <row r="905" s="2" customFormat="1"/>
    <row r="906" s="2" customFormat="1"/>
    <row r="907" s="2" customFormat="1"/>
    <row r="908" s="2" customFormat="1"/>
    <row r="909" s="2" customFormat="1"/>
    <row r="910" s="2" customFormat="1"/>
    <row r="911" s="2" customFormat="1"/>
    <row r="912" s="2" customFormat="1"/>
    <row r="913" s="2" customFormat="1"/>
    <row r="914" s="2" customFormat="1"/>
    <row r="915" s="2" customFormat="1"/>
    <row r="916" s="2" customFormat="1"/>
    <row r="917" s="2" customFormat="1"/>
    <row r="918" s="2" customFormat="1"/>
    <row r="919" s="2" customFormat="1"/>
    <row r="920" s="2" customFormat="1"/>
    <row r="921" s="2" customFormat="1"/>
    <row r="922" s="2" customFormat="1"/>
    <row r="923" s="2" customFormat="1"/>
    <row r="924" s="2" customFormat="1"/>
    <row r="925" s="2" customFormat="1"/>
    <row r="926" s="2" customFormat="1"/>
    <row r="927" s="2" customFormat="1"/>
    <row r="928" s="2" customFormat="1"/>
    <row r="929" s="2" customFormat="1"/>
    <row r="930" s="2" customFormat="1"/>
    <row r="931" s="2" customFormat="1"/>
    <row r="932" s="2" customFormat="1"/>
    <row r="933" s="2" customFormat="1"/>
    <row r="934" s="2" customFormat="1"/>
    <row r="935" s="2" customFormat="1"/>
    <row r="936" s="2" customFormat="1"/>
    <row r="937" s="2" customFormat="1"/>
    <row r="938" s="2" customFormat="1"/>
    <row r="939" s="2" customFormat="1"/>
    <row r="940" s="2" customFormat="1"/>
    <row r="941" s="2" customFormat="1"/>
    <row r="942" s="2" customFormat="1"/>
    <row r="943" s="2" customFormat="1"/>
    <row r="944" s="2" customFormat="1"/>
    <row r="945" s="2" customFormat="1"/>
    <row r="946" s="2" customFormat="1"/>
    <row r="947" s="2" customFormat="1"/>
    <row r="948" s="2" customFormat="1"/>
    <row r="949" s="2" customFormat="1"/>
    <row r="950" s="2" customFormat="1"/>
    <row r="951" s="2" customFormat="1"/>
    <row r="952" s="2" customFormat="1"/>
    <row r="953" s="2" customFormat="1"/>
    <row r="954" s="2" customFormat="1"/>
    <row r="955" s="2" customFormat="1"/>
    <row r="956" s="2" customFormat="1"/>
    <row r="957" s="2" customFormat="1"/>
    <row r="958" s="2" customFormat="1"/>
    <row r="959" s="2" customFormat="1"/>
    <row r="960" s="2" customFormat="1"/>
    <row r="961" s="2" customFormat="1"/>
    <row r="962" s="2" customFormat="1"/>
    <row r="963" s="2" customFormat="1"/>
    <row r="964" s="2" customFormat="1"/>
    <row r="965" s="2" customFormat="1"/>
    <row r="966" s="2" customFormat="1"/>
    <row r="967" s="2" customFormat="1"/>
    <row r="968" s="2" customFormat="1"/>
    <row r="969" s="2" customFormat="1"/>
    <row r="970" s="2" customFormat="1"/>
    <row r="971" s="2" customFormat="1"/>
    <row r="972" s="2" customFormat="1"/>
    <row r="973" s="2" customFormat="1"/>
    <row r="974" s="2" customFormat="1"/>
    <row r="975" s="2" customFormat="1"/>
    <row r="976" s="2" customFormat="1"/>
    <row r="977" s="2" customFormat="1"/>
    <row r="978" s="2" customFormat="1"/>
    <row r="979" s="2" customFormat="1"/>
    <row r="980" s="2" customFormat="1"/>
    <row r="981" s="2" customFormat="1"/>
    <row r="982" s="2" customFormat="1"/>
    <row r="983" s="2" customFormat="1"/>
    <row r="984" s="2" customFormat="1"/>
    <row r="985" s="2" customFormat="1"/>
    <row r="986" s="2" customFormat="1"/>
    <row r="987" s="2" customFormat="1"/>
    <row r="988" s="2" customFormat="1"/>
    <row r="989" s="2" customFormat="1"/>
    <row r="990" s="2" customFormat="1"/>
    <row r="991" s="2" customFormat="1"/>
    <row r="992" s="2" customFormat="1"/>
    <row r="993" s="2" customFormat="1"/>
    <row r="994" s="2" customFormat="1"/>
    <row r="995" s="2" customFormat="1"/>
    <row r="996" s="2" customFormat="1"/>
    <row r="997" s="2" customFormat="1"/>
    <row r="998" s="2" customFormat="1"/>
    <row r="999" s="2" customFormat="1"/>
    <row r="1000" s="2" customFormat="1"/>
    <row r="1001" s="2" customFormat="1"/>
    <row r="1002" s="2" customFormat="1"/>
    <row r="1003" s="2" customFormat="1"/>
    <row r="1004" s="2" customFormat="1"/>
    <row r="1005" s="2" customFormat="1"/>
    <row r="1006" s="2" customFormat="1"/>
    <row r="1007" s="2" customFormat="1"/>
    <row r="1008" s="2" customFormat="1"/>
    <row r="1009" s="2" customFormat="1"/>
    <row r="1010" s="2" customFormat="1"/>
    <row r="1011" s="2" customFormat="1"/>
    <row r="1012" s="2" customFormat="1"/>
    <row r="1013" s="2" customFormat="1"/>
    <row r="1014" s="2" customFormat="1"/>
    <row r="1015" s="2" customFormat="1"/>
    <row r="1016" s="2" customFormat="1"/>
    <row r="1017" s="2" customFormat="1"/>
    <row r="1018" s="2" customFormat="1"/>
    <row r="1019" s="2" customFormat="1"/>
    <row r="1020" s="2" customFormat="1"/>
    <row r="1021" s="2" customFormat="1"/>
    <row r="1022" s="2" customFormat="1"/>
    <row r="1023" s="2" customFormat="1"/>
    <row r="1024" s="2" customFormat="1"/>
    <row r="1025" s="2" customFormat="1"/>
    <row r="1026" s="2" customFormat="1"/>
    <row r="1027" s="2" customFormat="1"/>
    <row r="1028" s="2" customFormat="1"/>
    <row r="1029" s="2" customFormat="1"/>
    <row r="1030" s="2" customFormat="1"/>
    <row r="1031" s="2" customFormat="1"/>
    <row r="1032" s="2" customFormat="1"/>
    <row r="1033" s="2" customFormat="1"/>
    <row r="1034" s="2" customFormat="1"/>
    <row r="1035" s="2" customFormat="1"/>
    <row r="1036" s="2" customFormat="1"/>
    <row r="1037" s="2" customFormat="1"/>
    <row r="1038" s="2" customFormat="1"/>
    <row r="1039" s="2" customFormat="1"/>
    <row r="1040" s="2" customFormat="1"/>
    <row r="1041" s="2" customFormat="1"/>
    <row r="1042" s="2" customFormat="1"/>
    <row r="1043" s="2" customFormat="1"/>
    <row r="1044" s="2" customFormat="1"/>
    <row r="1045" s="2" customFormat="1"/>
    <row r="1046" s="2" customFormat="1"/>
    <row r="1047" s="2" customFormat="1"/>
    <row r="1048" s="2" customFormat="1"/>
    <row r="1049" s="2" customFormat="1"/>
    <row r="1050" s="2" customFormat="1"/>
    <row r="1051" s="2" customFormat="1"/>
    <row r="1052" s="2" customFormat="1"/>
    <row r="1053" s="2" customFormat="1"/>
    <row r="1054" s="2" customFormat="1"/>
    <row r="1055" s="2" customFormat="1"/>
    <row r="1056" s="2" customFormat="1"/>
    <row r="1057" s="2" customFormat="1"/>
    <row r="1058" s="2" customFormat="1"/>
    <row r="1059" s="2" customFormat="1"/>
    <row r="1060" s="2" customFormat="1"/>
    <row r="1061" s="2" customFormat="1"/>
    <row r="1062" s="2" customFormat="1"/>
    <row r="1063" s="2" customFormat="1"/>
    <row r="1064" s="2" customFormat="1"/>
    <row r="1065" s="2" customFormat="1"/>
    <row r="1066" s="2" customFormat="1"/>
    <row r="1067" s="2" customFormat="1"/>
    <row r="1068" s="2" customFormat="1"/>
    <row r="1069" s="2" customFormat="1"/>
    <row r="1070" s="2" customFormat="1"/>
    <row r="1071" s="2" customFormat="1"/>
    <row r="1072" s="2" customFormat="1"/>
    <row r="1073" s="2" customFormat="1"/>
    <row r="1074" s="2" customFormat="1"/>
    <row r="1075" s="2" customFormat="1"/>
    <row r="1076" s="2" customFormat="1"/>
    <row r="1077" s="2" customFormat="1"/>
    <row r="1078" s="2" customFormat="1"/>
    <row r="1079" s="2" customFormat="1"/>
    <row r="1080" s="2" customFormat="1"/>
    <row r="1081" s="2" customFormat="1"/>
    <row r="1082" s="2" customFormat="1"/>
    <row r="1083" s="2" customFormat="1"/>
    <row r="1084" s="2" customFormat="1"/>
    <row r="1085" s="2" customFormat="1"/>
    <row r="1086" s="2" customFormat="1"/>
    <row r="1087" s="2" customFormat="1"/>
    <row r="1088" s="2" customFormat="1"/>
    <row r="1089" s="2" customFormat="1"/>
    <row r="1090" s="2" customFormat="1"/>
    <row r="1091" s="2" customFormat="1"/>
    <row r="1092" s="2" customFormat="1"/>
    <row r="1093" s="2" customFormat="1"/>
    <row r="1094" s="2" customFormat="1"/>
    <row r="1095" s="2" customFormat="1"/>
    <row r="1096" s="2" customFormat="1"/>
    <row r="1097" s="2" customFormat="1"/>
    <row r="1098" s="2" customFormat="1"/>
    <row r="1099" s="2" customFormat="1"/>
    <row r="1100" s="2" customFormat="1"/>
    <row r="1101" s="2" customFormat="1"/>
    <row r="1102" s="2" customFormat="1"/>
    <row r="1103" s="2" customFormat="1"/>
    <row r="1104" s="2" customFormat="1"/>
    <row r="1105" s="2" customFormat="1"/>
    <row r="1106" s="2" customFormat="1"/>
    <row r="1107" s="2" customFormat="1"/>
    <row r="1108" s="2" customFormat="1"/>
    <row r="1109" s="2" customFormat="1"/>
    <row r="1110" s="2" customFormat="1"/>
    <row r="1111" s="2" customFormat="1"/>
    <row r="1112" s="2" customFormat="1"/>
    <row r="1113" s="2" customFormat="1"/>
    <row r="1114" s="2" customFormat="1"/>
    <row r="1115" s="2" customFormat="1"/>
    <row r="1116" s="2" customFormat="1"/>
    <row r="1117" s="2" customFormat="1"/>
    <row r="1118" s="2" customFormat="1"/>
    <row r="1119" s="2" customFormat="1"/>
    <row r="1120" s="2" customFormat="1"/>
    <row r="1121" s="2" customFormat="1"/>
    <row r="1122" s="2" customFormat="1"/>
    <row r="1123" s="2" customFormat="1"/>
    <row r="1124" s="2" customFormat="1"/>
    <row r="1125" s="2" customFormat="1"/>
    <row r="1126" s="2" customFormat="1"/>
    <row r="1127" s="2" customFormat="1"/>
    <row r="1128" s="2" customFormat="1"/>
    <row r="1129" s="2" customFormat="1"/>
    <row r="1130" s="2" customFormat="1"/>
    <row r="1131" s="2" customFormat="1"/>
    <row r="1132" s="2" customFormat="1"/>
  </sheetData>
  <mergeCells count="16">
    <mergeCell ref="A18:D18"/>
    <mergeCell ref="A22:D22"/>
    <mergeCell ref="A28:D28"/>
    <mergeCell ref="A35:D35"/>
    <mergeCell ref="A7:B7"/>
    <mergeCell ref="C7:D7"/>
    <mergeCell ref="C10:D10"/>
    <mergeCell ref="A14:D14"/>
    <mergeCell ref="A10:B10"/>
    <mergeCell ref="A1:D3"/>
    <mergeCell ref="A5:D5"/>
    <mergeCell ref="A9:D9"/>
    <mergeCell ref="A13:D13"/>
    <mergeCell ref="A11:D11"/>
    <mergeCell ref="A8:B8"/>
    <mergeCell ref="C8:D8"/>
  </mergeCells>
  <hyperlinks>
    <hyperlink ref="A5:D5" location="'PACE Form'!A1" display="Click here to go back to PACE Form"/>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Sheet3"/>
  <dimension ref="A1:AK4020"/>
  <sheetViews>
    <sheetView workbookViewId="0">
      <selection activeCell="A315" sqref="A315"/>
    </sheetView>
  </sheetViews>
  <sheetFormatPr defaultRowHeight="15"/>
  <cols>
    <col min="1" max="1" width="44.140625" style="32" customWidth="1"/>
    <col min="2" max="2" width="85.28515625" style="32" customWidth="1"/>
    <col min="3" max="3" width="20.85546875" style="8" hidden="1" customWidth="1"/>
    <col min="4" max="4" width="21.85546875" style="8" hidden="1" customWidth="1"/>
    <col min="5" max="5" width="20.42578125" style="8" hidden="1" customWidth="1"/>
    <col min="6" max="6" width="19.28515625" style="8" hidden="1" customWidth="1"/>
    <col min="7" max="7" width="15.42578125" style="222" customWidth="1"/>
    <col min="8" max="8" width="17" style="222" customWidth="1"/>
    <col min="9" max="9" width="15.7109375" style="222" customWidth="1"/>
    <col min="10" max="16" width="9.140625" style="222" customWidth="1"/>
    <col min="17" max="23" width="9.140625" style="222"/>
    <col min="24" max="37" width="9.140625" style="132"/>
    <col min="38" max="16384" width="9.140625" style="10"/>
  </cols>
  <sheetData>
    <row r="1" spans="1:37" ht="12.75" customHeight="1">
      <c r="A1" s="578" t="s">
        <v>312</v>
      </c>
      <c r="B1" s="579"/>
    </row>
    <row r="2" spans="1:37" ht="12.75" customHeight="1">
      <c r="A2" s="580"/>
      <c r="B2" s="581"/>
    </row>
    <row r="3" spans="1:37" s="13" customFormat="1" ht="36" customHeight="1" thickBot="1">
      <c r="A3" s="580"/>
      <c r="B3" s="581"/>
      <c r="C3" s="11"/>
      <c r="D3" s="8"/>
      <c r="E3" s="8"/>
      <c r="F3" s="8"/>
      <c r="G3" s="222"/>
      <c r="H3" s="222"/>
      <c r="I3" s="222"/>
      <c r="J3" s="222"/>
      <c r="K3" s="223"/>
      <c r="L3" s="223"/>
      <c r="M3" s="223"/>
      <c r="N3" s="223"/>
      <c r="O3" s="223"/>
      <c r="P3" s="223"/>
      <c r="Q3" s="223"/>
      <c r="R3" s="223"/>
      <c r="S3" s="223"/>
      <c r="T3" s="223"/>
      <c r="U3" s="223"/>
      <c r="V3" s="223"/>
      <c r="W3" s="223"/>
      <c r="X3" s="133"/>
      <c r="Y3" s="133"/>
      <c r="Z3" s="133"/>
      <c r="AA3" s="133"/>
      <c r="AB3" s="133"/>
      <c r="AC3" s="133"/>
      <c r="AD3" s="133"/>
      <c r="AE3" s="133"/>
      <c r="AF3" s="133"/>
      <c r="AG3" s="133"/>
      <c r="AH3" s="133"/>
      <c r="AI3" s="133"/>
      <c r="AJ3" s="133"/>
      <c r="AK3" s="133"/>
    </row>
    <row r="4" spans="1:37" s="1" customFormat="1" ht="17.25" customHeight="1" thickBot="1">
      <c r="A4" s="333" t="s">
        <v>91</v>
      </c>
      <c r="B4" s="334"/>
      <c r="C4" s="218"/>
      <c r="D4" s="218"/>
      <c r="E4" s="218"/>
      <c r="F4" s="218"/>
      <c r="G4" s="224"/>
      <c r="H4" s="224"/>
      <c r="I4" s="224"/>
      <c r="J4" s="224"/>
      <c r="K4" s="224"/>
      <c r="L4" s="225"/>
      <c r="M4" s="225"/>
      <c r="N4" s="225"/>
      <c r="O4" s="225"/>
      <c r="P4" s="225"/>
      <c r="Q4" s="225"/>
      <c r="R4" s="225"/>
      <c r="S4" s="225"/>
      <c r="T4" s="225"/>
      <c r="U4" s="225"/>
      <c r="V4" s="225"/>
      <c r="W4" s="225"/>
      <c r="X4" s="134"/>
      <c r="Y4" s="134"/>
      <c r="Z4" s="134"/>
      <c r="AA4" s="134"/>
      <c r="AB4" s="134"/>
      <c r="AC4" s="134"/>
      <c r="AD4" s="134"/>
      <c r="AE4" s="134"/>
      <c r="AF4" s="134"/>
      <c r="AG4" s="134"/>
      <c r="AH4" s="134"/>
      <c r="AI4" s="134"/>
      <c r="AJ4" s="134"/>
      <c r="AK4" s="134"/>
    </row>
    <row r="5" spans="1:37" ht="16.5" thickBot="1">
      <c r="A5" s="582" t="s">
        <v>58</v>
      </c>
      <c r="B5" s="583"/>
    </row>
    <row r="6" spans="1:37" ht="30.75" customHeight="1" thickBot="1">
      <c r="A6" s="589" t="s">
        <v>69</v>
      </c>
      <c r="B6" s="590"/>
    </row>
    <row r="7" spans="1:37" ht="16.5" thickBot="1">
      <c r="A7" s="586" t="s">
        <v>102</v>
      </c>
      <c r="B7" s="587"/>
    </row>
    <row r="8" spans="1:37" ht="15" hidden="1" customHeight="1" thickBot="1">
      <c r="A8" s="591" t="s">
        <v>64</v>
      </c>
      <c r="B8" s="592"/>
    </row>
    <row r="9" spans="1:37" s="60" customFormat="1" ht="15.75" customHeight="1" thickBot="1">
      <c r="A9" s="187" t="s">
        <v>313</v>
      </c>
      <c r="B9" s="219" t="s">
        <v>59</v>
      </c>
      <c r="C9" s="59"/>
      <c r="D9" s="59"/>
      <c r="E9" s="59"/>
      <c r="F9" s="59"/>
      <c r="G9" s="226"/>
      <c r="H9" s="226"/>
      <c r="I9" s="226"/>
      <c r="J9" s="226"/>
      <c r="K9" s="226"/>
      <c r="L9" s="226"/>
      <c r="M9" s="226"/>
      <c r="N9" s="226"/>
      <c r="O9" s="226"/>
      <c r="P9" s="226"/>
      <c r="Q9" s="226"/>
      <c r="R9" s="226"/>
      <c r="S9" s="226"/>
      <c r="T9" s="226"/>
      <c r="U9" s="226"/>
      <c r="V9" s="226"/>
      <c r="W9" s="226"/>
      <c r="X9" s="135"/>
      <c r="Y9" s="135"/>
      <c r="Z9" s="135"/>
      <c r="AA9" s="135"/>
      <c r="AB9" s="135"/>
      <c r="AC9" s="135"/>
      <c r="AD9" s="135"/>
      <c r="AE9" s="135"/>
      <c r="AF9" s="135"/>
      <c r="AG9" s="135"/>
      <c r="AH9" s="135"/>
      <c r="AI9" s="135"/>
      <c r="AJ9" s="135"/>
      <c r="AK9" s="135"/>
    </row>
    <row r="10" spans="1:37" s="60" customFormat="1" ht="9" customHeight="1">
      <c r="A10" s="188"/>
      <c r="B10" s="220"/>
      <c r="C10" s="59"/>
      <c r="D10" s="59"/>
      <c r="E10" s="59"/>
      <c r="F10" s="59"/>
      <c r="G10" s="226"/>
      <c r="H10" s="226"/>
      <c r="I10" s="226"/>
      <c r="J10" s="226"/>
      <c r="K10" s="226"/>
      <c r="L10" s="226"/>
      <c r="M10" s="226"/>
      <c r="N10" s="226"/>
      <c r="O10" s="226"/>
      <c r="P10" s="226"/>
      <c r="Q10" s="226"/>
      <c r="R10" s="226"/>
      <c r="S10" s="226"/>
      <c r="T10" s="226"/>
      <c r="U10" s="226"/>
      <c r="V10" s="226"/>
      <c r="W10" s="226"/>
      <c r="X10" s="135"/>
      <c r="Y10" s="135"/>
      <c r="Z10" s="135"/>
      <c r="AA10" s="135"/>
      <c r="AB10" s="135"/>
      <c r="AC10" s="135"/>
      <c r="AD10" s="135"/>
      <c r="AE10" s="135"/>
      <c r="AF10" s="135"/>
      <c r="AG10" s="135"/>
      <c r="AH10" s="135"/>
      <c r="AI10" s="135"/>
      <c r="AJ10" s="135"/>
      <c r="AK10" s="135"/>
    </row>
    <row r="11" spans="1:37" ht="9.75" customHeight="1" thickBot="1">
      <c r="A11" s="228"/>
      <c r="B11" s="42"/>
    </row>
    <row r="12" spans="1:37" ht="37.5" customHeight="1" thickBot="1">
      <c r="A12" s="584" t="s">
        <v>133</v>
      </c>
      <c r="B12" s="585"/>
      <c r="C12" s="40"/>
      <c r="D12" s="40"/>
      <c r="E12" s="41"/>
    </row>
    <row r="13" spans="1:37" ht="13.5" thickBot="1">
      <c r="A13" s="335" t="s">
        <v>60</v>
      </c>
      <c r="B13" s="336" t="s">
        <v>61</v>
      </c>
      <c r="C13" s="39" t="e">
        <f>COUNTIF(#REF!,"=P")</f>
        <v>#REF!</v>
      </c>
      <c r="D13" s="39" t="e">
        <f>COUNTIF(#REF!,"=D")</f>
        <v>#REF!</v>
      </c>
      <c r="E13" s="42" t="e">
        <f>COUNTIF(#REF!,"=I")</f>
        <v>#REF!</v>
      </c>
      <c r="F13" s="8" t="e">
        <f>COUNTIF(#REF!,"=N")</f>
        <v>#REF!</v>
      </c>
    </row>
    <row r="14" spans="1:37" s="211" customFormat="1" ht="15.75" hidden="1" customHeight="1">
      <c r="A14" s="302"/>
      <c r="B14" s="264"/>
      <c r="C14" s="233"/>
      <c r="D14" s="233"/>
      <c r="E14" s="234"/>
      <c r="F14" s="209"/>
      <c r="G14" s="227"/>
      <c r="H14" s="227"/>
      <c r="I14" s="227"/>
      <c r="J14" s="227"/>
      <c r="K14" s="227"/>
      <c r="L14" s="227"/>
      <c r="M14" s="227"/>
      <c r="N14" s="227"/>
      <c r="O14" s="227"/>
      <c r="P14" s="227"/>
      <c r="Q14" s="227"/>
      <c r="R14" s="227"/>
      <c r="S14" s="227"/>
      <c r="T14" s="227"/>
      <c r="U14" s="227"/>
      <c r="V14" s="227"/>
      <c r="W14" s="227"/>
      <c r="X14" s="210"/>
      <c r="Y14" s="210"/>
      <c r="Z14" s="210"/>
      <c r="AA14" s="210"/>
      <c r="AB14" s="210"/>
      <c r="AC14" s="210"/>
      <c r="AD14" s="210"/>
      <c r="AE14" s="210"/>
      <c r="AF14" s="210"/>
      <c r="AG14" s="210"/>
      <c r="AH14" s="210"/>
      <c r="AI14" s="210"/>
      <c r="AJ14" s="210"/>
      <c r="AK14" s="210"/>
    </row>
    <row r="15" spans="1:37" s="211" customFormat="1" ht="15.75" hidden="1" customHeight="1">
      <c r="A15" s="263"/>
      <c r="B15" s="216"/>
      <c r="C15" s="214"/>
      <c r="D15" s="214"/>
      <c r="E15" s="235"/>
      <c r="F15" s="209" t="e">
        <f>COUNTIF(#REF!,"=N")</f>
        <v>#REF!</v>
      </c>
      <c r="G15" s="227"/>
      <c r="H15" s="227"/>
      <c r="I15" s="227"/>
      <c r="J15" s="227"/>
      <c r="K15" s="227"/>
      <c r="L15" s="227"/>
      <c r="M15" s="227"/>
      <c r="N15" s="227"/>
      <c r="O15" s="227"/>
      <c r="P15" s="227"/>
      <c r="Q15" s="227"/>
      <c r="R15" s="227"/>
      <c r="S15" s="227"/>
      <c r="T15" s="227"/>
      <c r="U15" s="227"/>
      <c r="V15" s="227"/>
      <c r="W15" s="227"/>
      <c r="X15" s="210"/>
      <c r="Y15" s="210"/>
      <c r="Z15" s="210"/>
      <c r="AA15" s="210"/>
      <c r="AB15" s="210"/>
      <c r="AC15" s="210"/>
      <c r="AD15" s="210"/>
      <c r="AE15" s="210"/>
      <c r="AF15" s="210"/>
      <c r="AG15" s="210"/>
      <c r="AH15" s="210"/>
      <c r="AI15" s="210"/>
      <c r="AJ15" s="210"/>
      <c r="AK15" s="210"/>
    </row>
    <row r="16" spans="1:37" s="211" customFormat="1" ht="15.75" hidden="1" customHeight="1">
      <c r="A16" s="217"/>
      <c r="B16" s="216"/>
      <c r="C16" s="214"/>
      <c r="D16" s="214"/>
      <c r="E16" s="235"/>
      <c r="F16" s="209"/>
      <c r="G16" s="227"/>
      <c r="H16" s="227"/>
      <c r="I16" s="227"/>
      <c r="J16" s="227"/>
      <c r="K16" s="227"/>
      <c r="L16" s="227"/>
      <c r="M16" s="227"/>
      <c r="N16" s="227"/>
      <c r="O16" s="227"/>
      <c r="P16" s="227"/>
      <c r="Q16" s="227"/>
      <c r="R16" s="227"/>
      <c r="S16" s="227"/>
      <c r="T16" s="227"/>
      <c r="U16" s="227"/>
      <c r="V16" s="227"/>
      <c r="W16" s="227"/>
      <c r="X16" s="210"/>
      <c r="Y16" s="210"/>
      <c r="Z16" s="210"/>
      <c r="AA16" s="210"/>
      <c r="AB16" s="210"/>
      <c r="AC16" s="210"/>
      <c r="AD16" s="210"/>
      <c r="AE16" s="210"/>
      <c r="AF16" s="210"/>
      <c r="AG16" s="210"/>
      <c r="AH16" s="210"/>
      <c r="AI16" s="210"/>
      <c r="AJ16" s="210"/>
      <c r="AK16" s="210"/>
    </row>
    <row r="17" spans="1:37" s="211" customFormat="1" ht="15.75" hidden="1" customHeight="1">
      <c r="A17" s="217"/>
      <c r="B17" s="216"/>
      <c r="C17" s="214"/>
      <c r="D17" s="214"/>
      <c r="E17" s="235"/>
      <c r="F17" s="209"/>
      <c r="G17" s="227"/>
      <c r="H17" s="227"/>
      <c r="I17" s="227"/>
      <c r="J17" s="227"/>
      <c r="K17" s="227"/>
      <c r="L17" s="227"/>
      <c r="M17" s="227"/>
      <c r="N17" s="227"/>
      <c r="O17" s="227"/>
      <c r="P17" s="227"/>
      <c r="Q17" s="227"/>
      <c r="R17" s="227"/>
      <c r="S17" s="227"/>
      <c r="T17" s="227"/>
      <c r="U17" s="227"/>
      <c r="V17" s="227"/>
      <c r="W17" s="227"/>
      <c r="X17" s="210"/>
      <c r="Y17" s="210"/>
      <c r="Z17" s="210"/>
      <c r="AA17" s="210"/>
      <c r="AB17" s="210"/>
      <c r="AC17" s="210"/>
      <c r="AD17" s="210"/>
      <c r="AE17" s="210"/>
      <c r="AF17" s="210"/>
      <c r="AG17" s="210"/>
      <c r="AH17" s="210"/>
      <c r="AI17" s="210"/>
      <c r="AJ17" s="210"/>
      <c r="AK17" s="210"/>
    </row>
    <row r="18" spans="1:37" s="211" customFormat="1" ht="15.75" hidden="1" customHeight="1">
      <c r="A18" s="217"/>
      <c r="B18" s="216"/>
      <c r="C18" s="109"/>
      <c r="D18" s="109"/>
      <c r="E18" s="221"/>
      <c r="F18" s="209"/>
      <c r="G18" s="227"/>
      <c r="H18" s="227"/>
      <c r="I18" s="227"/>
      <c r="J18" s="227"/>
      <c r="K18" s="227"/>
      <c r="L18" s="227"/>
      <c r="M18" s="227"/>
      <c r="N18" s="227"/>
      <c r="O18" s="227"/>
      <c r="P18" s="227"/>
      <c r="Q18" s="227"/>
      <c r="R18" s="227"/>
      <c r="S18" s="227"/>
      <c r="T18" s="227"/>
      <c r="U18" s="227"/>
      <c r="V18" s="227"/>
      <c r="W18" s="227"/>
      <c r="X18" s="210"/>
      <c r="Y18" s="210"/>
      <c r="Z18" s="210"/>
      <c r="AA18" s="210"/>
      <c r="AB18" s="210"/>
      <c r="AC18" s="210"/>
      <c r="AD18" s="210"/>
      <c r="AE18" s="210"/>
      <c r="AF18" s="210"/>
      <c r="AG18" s="210"/>
      <c r="AH18" s="210"/>
      <c r="AI18" s="210"/>
      <c r="AJ18" s="210"/>
      <c r="AK18" s="210"/>
    </row>
    <row r="19" spans="1:37" s="211" customFormat="1" ht="15.75" hidden="1" customHeight="1">
      <c r="A19" s="217"/>
      <c r="B19" s="216"/>
      <c r="C19" s="109"/>
      <c r="D19" s="109"/>
      <c r="E19" s="221"/>
      <c r="F19" s="209" t="e">
        <f>COUNTIF(#REF!,"=N")</f>
        <v>#REF!</v>
      </c>
      <c r="G19" s="227"/>
      <c r="H19" s="227"/>
      <c r="I19" s="227"/>
      <c r="J19" s="227"/>
      <c r="K19" s="227"/>
      <c r="L19" s="227"/>
      <c r="M19" s="227"/>
      <c r="N19" s="227"/>
      <c r="O19" s="227"/>
      <c r="P19" s="227"/>
      <c r="Q19" s="227"/>
      <c r="R19" s="227"/>
      <c r="S19" s="227"/>
      <c r="T19" s="227"/>
      <c r="U19" s="227"/>
      <c r="V19" s="227"/>
      <c r="W19" s="227"/>
      <c r="X19" s="210"/>
      <c r="Y19" s="210"/>
      <c r="Z19" s="210"/>
      <c r="AA19" s="210"/>
      <c r="AB19" s="210"/>
      <c r="AC19" s="210"/>
      <c r="AD19" s="210"/>
      <c r="AE19" s="210"/>
      <c r="AF19" s="210"/>
      <c r="AG19" s="210"/>
      <c r="AH19" s="210"/>
      <c r="AI19" s="210"/>
      <c r="AJ19" s="210"/>
      <c r="AK19" s="210"/>
    </row>
    <row r="20" spans="1:37" s="211" customFormat="1" ht="15.75" hidden="1" customHeight="1">
      <c r="A20" s="217"/>
      <c r="B20" s="216"/>
      <c r="C20" s="109"/>
      <c r="D20" s="109"/>
      <c r="E20" s="221"/>
      <c r="F20" s="209"/>
      <c r="G20" s="227"/>
      <c r="H20" s="227"/>
      <c r="I20" s="227"/>
      <c r="J20" s="227"/>
      <c r="K20" s="227"/>
      <c r="L20" s="227"/>
      <c r="M20" s="227"/>
      <c r="N20" s="227"/>
      <c r="O20" s="227"/>
      <c r="P20" s="227"/>
      <c r="Q20" s="227"/>
      <c r="R20" s="227"/>
      <c r="S20" s="227"/>
      <c r="T20" s="227"/>
      <c r="U20" s="227"/>
      <c r="V20" s="227"/>
      <c r="W20" s="227"/>
      <c r="X20" s="210"/>
      <c r="Y20" s="210"/>
      <c r="Z20" s="210"/>
      <c r="AA20" s="210"/>
      <c r="AB20" s="210"/>
      <c r="AC20" s="210"/>
      <c r="AD20" s="210"/>
      <c r="AE20" s="210"/>
      <c r="AF20" s="210"/>
      <c r="AG20" s="210"/>
      <c r="AH20" s="210"/>
      <c r="AI20" s="210"/>
      <c r="AJ20" s="210"/>
      <c r="AK20" s="210"/>
    </row>
    <row r="21" spans="1:37" s="211" customFormat="1" ht="15.75" hidden="1" customHeight="1">
      <c r="A21" s="217"/>
      <c r="B21" s="216"/>
      <c r="C21" s="229"/>
      <c r="D21" s="229"/>
      <c r="E21" s="230"/>
      <c r="F21" s="209"/>
      <c r="G21" s="227"/>
      <c r="H21" s="227"/>
      <c r="I21" s="227"/>
      <c r="J21" s="227"/>
      <c r="K21" s="227"/>
      <c r="L21" s="227"/>
      <c r="M21" s="227"/>
      <c r="N21" s="227"/>
      <c r="O21" s="227"/>
      <c r="P21" s="227"/>
      <c r="Q21" s="227"/>
      <c r="R21" s="227"/>
      <c r="S21" s="227"/>
      <c r="T21" s="227"/>
      <c r="U21" s="227"/>
      <c r="V21" s="227"/>
      <c r="W21" s="227"/>
      <c r="X21" s="210"/>
      <c r="Y21" s="210"/>
      <c r="Z21" s="210"/>
      <c r="AA21" s="210"/>
      <c r="AB21" s="210"/>
      <c r="AC21" s="210"/>
      <c r="AD21" s="210"/>
      <c r="AE21" s="210"/>
      <c r="AF21" s="210"/>
      <c r="AG21" s="210"/>
      <c r="AH21" s="210"/>
      <c r="AI21" s="210"/>
      <c r="AJ21" s="210"/>
      <c r="AK21" s="210"/>
    </row>
    <row r="22" spans="1:37" s="211" customFormat="1" ht="15.75" hidden="1" customHeight="1">
      <c r="A22" s="217"/>
      <c r="B22" s="216"/>
      <c r="C22" s="229"/>
      <c r="D22" s="229"/>
      <c r="E22" s="230"/>
      <c r="F22" s="209"/>
      <c r="G22" s="227"/>
      <c r="H22" s="227"/>
      <c r="I22" s="227"/>
      <c r="J22" s="227"/>
      <c r="K22" s="227"/>
      <c r="L22" s="227"/>
      <c r="M22" s="227"/>
      <c r="N22" s="227"/>
      <c r="O22" s="227"/>
      <c r="P22" s="227"/>
      <c r="Q22" s="227"/>
      <c r="R22" s="227"/>
      <c r="S22" s="227"/>
      <c r="T22" s="227"/>
      <c r="U22" s="227"/>
      <c r="V22" s="227"/>
      <c r="W22" s="227"/>
      <c r="X22" s="210"/>
      <c r="Y22" s="210"/>
      <c r="Z22" s="210"/>
      <c r="AA22" s="210"/>
      <c r="AB22" s="210"/>
      <c r="AC22" s="210"/>
      <c r="AD22" s="210"/>
      <c r="AE22" s="210"/>
      <c r="AF22" s="210"/>
      <c r="AG22" s="210"/>
      <c r="AH22" s="210"/>
      <c r="AI22" s="210"/>
      <c r="AJ22" s="210"/>
      <c r="AK22" s="210"/>
    </row>
    <row r="23" spans="1:37" s="211" customFormat="1" ht="15.75" hidden="1" customHeight="1">
      <c r="A23" s="217"/>
      <c r="B23" s="216"/>
      <c r="C23" s="229"/>
      <c r="D23" s="229"/>
      <c r="E23" s="230"/>
      <c r="F23" s="209" t="e">
        <f>COUNTIF(#REF!,"=N")</f>
        <v>#REF!</v>
      </c>
      <c r="G23" s="227"/>
      <c r="H23" s="227"/>
      <c r="I23" s="227"/>
      <c r="J23" s="227"/>
      <c r="K23" s="227"/>
      <c r="L23" s="227"/>
      <c r="M23" s="227"/>
      <c r="N23" s="227"/>
      <c r="O23" s="227"/>
      <c r="P23" s="227"/>
      <c r="Q23" s="227"/>
      <c r="R23" s="227"/>
      <c r="S23" s="227"/>
      <c r="T23" s="227"/>
      <c r="U23" s="227"/>
      <c r="V23" s="227"/>
      <c r="W23" s="227"/>
      <c r="X23" s="210"/>
      <c r="Y23" s="210"/>
      <c r="Z23" s="210"/>
      <c r="AA23" s="210"/>
      <c r="AB23" s="210"/>
      <c r="AC23" s="210"/>
      <c r="AD23" s="210"/>
      <c r="AE23" s="210"/>
      <c r="AF23" s="210"/>
      <c r="AG23" s="210"/>
      <c r="AH23" s="210"/>
      <c r="AI23" s="210"/>
      <c r="AJ23" s="210"/>
      <c r="AK23" s="210"/>
    </row>
    <row r="24" spans="1:37" s="211" customFormat="1" ht="15.75" hidden="1" customHeight="1">
      <c r="A24" s="217"/>
      <c r="B24" s="213"/>
      <c r="C24" s="229"/>
      <c r="D24" s="229"/>
      <c r="E24" s="230"/>
      <c r="F24" s="209"/>
      <c r="G24" s="227"/>
      <c r="H24" s="227"/>
      <c r="I24" s="227"/>
      <c r="J24" s="227"/>
      <c r="K24" s="227"/>
      <c r="L24" s="227"/>
      <c r="M24" s="227"/>
      <c r="N24" s="227"/>
      <c r="O24" s="227"/>
      <c r="P24" s="227"/>
      <c r="Q24" s="227"/>
      <c r="R24" s="227"/>
      <c r="S24" s="227"/>
      <c r="T24" s="227"/>
      <c r="U24" s="227"/>
      <c r="V24" s="227"/>
      <c r="W24" s="227"/>
      <c r="X24" s="210"/>
      <c r="Y24" s="210"/>
      <c r="Z24" s="210"/>
      <c r="AA24" s="210"/>
      <c r="AB24" s="210"/>
      <c r="AC24" s="210"/>
      <c r="AD24" s="210"/>
      <c r="AE24" s="210"/>
      <c r="AF24" s="210"/>
      <c r="AG24" s="210"/>
      <c r="AH24" s="210"/>
      <c r="AI24" s="210"/>
      <c r="AJ24" s="210"/>
      <c r="AK24" s="210"/>
    </row>
    <row r="25" spans="1:37" s="211" customFormat="1" ht="15.75" hidden="1" customHeight="1">
      <c r="A25" s="217"/>
      <c r="B25" s="213"/>
      <c r="C25" s="229"/>
      <c r="D25" s="229"/>
      <c r="E25" s="230"/>
      <c r="F25" s="209"/>
      <c r="G25" s="227"/>
      <c r="H25" s="227"/>
      <c r="I25" s="227"/>
      <c r="J25" s="227"/>
      <c r="K25" s="227"/>
      <c r="L25" s="227"/>
      <c r="M25" s="227"/>
      <c r="N25" s="227"/>
      <c r="O25" s="227"/>
      <c r="P25" s="227"/>
      <c r="Q25" s="227"/>
      <c r="R25" s="227"/>
      <c r="S25" s="227"/>
      <c r="T25" s="227"/>
      <c r="U25" s="227"/>
      <c r="V25" s="227"/>
      <c r="W25" s="227"/>
      <c r="X25" s="210"/>
      <c r="Y25" s="210"/>
      <c r="Z25" s="210"/>
      <c r="AA25" s="210"/>
      <c r="AB25" s="210"/>
      <c r="AC25" s="210"/>
      <c r="AD25" s="210"/>
      <c r="AE25" s="210"/>
      <c r="AF25" s="210"/>
      <c r="AG25" s="210"/>
      <c r="AH25" s="210"/>
      <c r="AI25" s="210"/>
      <c r="AJ25" s="210"/>
      <c r="AK25" s="210"/>
    </row>
    <row r="26" spans="1:37" s="211" customFormat="1" ht="15.75" hidden="1" customHeight="1">
      <c r="A26" s="217"/>
      <c r="B26" s="213"/>
      <c r="C26" s="229"/>
      <c r="D26" s="229"/>
      <c r="E26" s="230"/>
      <c r="F26" s="209"/>
      <c r="G26" s="227"/>
      <c r="H26" s="227"/>
      <c r="I26" s="227"/>
      <c r="J26" s="227"/>
      <c r="K26" s="227"/>
      <c r="L26" s="227"/>
      <c r="M26" s="227"/>
      <c r="N26" s="227"/>
      <c r="O26" s="227"/>
      <c r="P26" s="227"/>
      <c r="Q26" s="227"/>
      <c r="R26" s="227"/>
      <c r="S26" s="227"/>
      <c r="T26" s="227"/>
      <c r="U26" s="227"/>
      <c r="V26" s="227"/>
      <c r="W26" s="227"/>
      <c r="X26" s="210"/>
      <c r="Y26" s="210"/>
      <c r="Z26" s="210"/>
      <c r="AA26" s="210"/>
      <c r="AB26" s="210"/>
      <c r="AC26" s="210"/>
      <c r="AD26" s="210"/>
      <c r="AE26" s="210"/>
      <c r="AF26" s="210"/>
      <c r="AG26" s="210"/>
      <c r="AH26" s="210"/>
      <c r="AI26" s="210"/>
      <c r="AJ26" s="210"/>
      <c r="AK26" s="210"/>
    </row>
    <row r="27" spans="1:37" s="211" customFormat="1" ht="15.75" hidden="1" customHeight="1">
      <c r="A27" s="217"/>
      <c r="B27" s="213"/>
      <c r="C27" s="229"/>
      <c r="D27" s="229"/>
      <c r="E27" s="230"/>
      <c r="F27" s="209"/>
      <c r="G27" s="227"/>
      <c r="H27" s="227"/>
      <c r="I27" s="227"/>
      <c r="J27" s="227"/>
      <c r="K27" s="227"/>
      <c r="L27" s="227"/>
      <c r="M27" s="227"/>
      <c r="N27" s="227"/>
      <c r="O27" s="227"/>
      <c r="P27" s="227"/>
      <c r="Q27" s="227"/>
      <c r="R27" s="227"/>
      <c r="S27" s="227"/>
      <c r="T27" s="227"/>
      <c r="U27" s="227"/>
      <c r="V27" s="227"/>
      <c r="W27" s="227"/>
      <c r="X27" s="210"/>
      <c r="Y27" s="210"/>
      <c r="Z27" s="210"/>
      <c r="AA27" s="210"/>
      <c r="AB27" s="210"/>
      <c r="AC27" s="210"/>
      <c r="AD27" s="210"/>
      <c r="AE27" s="210"/>
      <c r="AF27" s="210"/>
      <c r="AG27" s="210"/>
      <c r="AH27" s="210"/>
      <c r="AI27" s="210"/>
      <c r="AJ27" s="210"/>
      <c r="AK27" s="210"/>
    </row>
    <row r="28" spans="1:37" s="211" customFormat="1" ht="15.75" hidden="1" customHeight="1">
      <c r="A28" s="217"/>
      <c r="B28" s="213"/>
      <c r="C28" s="229"/>
      <c r="D28" s="229"/>
      <c r="E28" s="230"/>
      <c r="F28" s="209" t="e">
        <f>COUNTIF(#REF!,"=N")</f>
        <v>#REF!</v>
      </c>
      <c r="G28" s="227"/>
      <c r="H28" s="227"/>
      <c r="I28" s="227"/>
      <c r="J28" s="227"/>
      <c r="K28" s="227"/>
      <c r="L28" s="227"/>
      <c r="M28" s="227"/>
      <c r="N28" s="227"/>
      <c r="O28" s="227"/>
      <c r="P28" s="227"/>
      <c r="Q28" s="227"/>
      <c r="R28" s="227"/>
      <c r="S28" s="227"/>
      <c r="T28" s="227"/>
      <c r="U28" s="227"/>
      <c r="V28" s="227"/>
      <c r="W28" s="227"/>
      <c r="X28" s="210"/>
      <c r="Y28" s="210"/>
      <c r="Z28" s="210"/>
      <c r="AA28" s="210"/>
      <c r="AB28" s="210"/>
      <c r="AC28" s="210"/>
      <c r="AD28" s="210"/>
      <c r="AE28" s="210"/>
      <c r="AF28" s="210"/>
      <c r="AG28" s="210"/>
      <c r="AH28" s="210"/>
      <c r="AI28" s="210"/>
      <c r="AJ28" s="210"/>
      <c r="AK28" s="210"/>
    </row>
    <row r="29" spans="1:37" s="211" customFormat="1" ht="15.75" hidden="1" customHeight="1">
      <c r="A29" s="217"/>
      <c r="B29" s="213"/>
      <c r="C29" s="229"/>
      <c r="D29" s="229"/>
      <c r="E29" s="230"/>
      <c r="F29" s="209"/>
      <c r="G29" s="227"/>
      <c r="H29" s="227"/>
      <c r="I29" s="227"/>
      <c r="J29" s="227"/>
      <c r="K29" s="227"/>
      <c r="L29" s="227"/>
      <c r="M29" s="227"/>
      <c r="N29" s="227"/>
      <c r="O29" s="227"/>
      <c r="P29" s="227"/>
      <c r="Q29" s="227"/>
      <c r="R29" s="227"/>
      <c r="S29" s="227"/>
      <c r="T29" s="227"/>
      <c r="U29" s="227"/>
      <c r="V29" s="227"/>
      <c r="W29" s="227"/>
      <c r="X29" s="210"/>
      <c r="Y29" s="210"/>
      <c r="Z29" s="210"/>
      <c r="AA29" s="210"/>
      <c r="AB29" s="210"/>
      <c r="AC29" s="210"/>
      <c r="AD29" s="210"/>
      <c r="AE29" s="210"/>
      <c r="AF29" s="210"/>
      <c r="AG29" s="210"/>
      <c r="AH29" s="210"/>
      <c r="AI29" s="210"/>
      <c r="AJ29" s="210"/>
      <c r="AK29" s="210"/>
    </row>
    <row r="30" spans="1:37" s="211" customFormat="1" ht="15.75" hidden="1" customHeight="1">
      <c r="A30" s="217"/>
      <c r="B30" s="213"/>
      <c r="C30" s="229"/>
      <c r="D30" s="229"/>
      <c r="E30" s="230"/>
      <c r="F30" s="209"/>
      <c r="G30" s="227"/>
      <c r="H30" s="227"/>
      <c r="I30" s="227"/>
      <c r="J30" s="227"/>
      <c r="K30" s="227"/>
      <c r="L30" s="227"/>
      <c r="M30" s="227"/>
      <c r="N30" s="227"/>
      <c r="O30" s="227"/>
      <c r="P30" s="227"/>
      <c r="Q30" s="227"/>
      <c r="R30" s="227"/>
      <c r="S30" s="227"/>
      <c r="T30" s="227"/>
      <c r="U30" s="227"/>
      <c r="V30" s="227"/>
      <c r="W30" s="227"/>
      <c r="X30" s="210"/>
      <c r="Y30" s="210"/>
      <c r="Z30" s="210"/>
      <c r="AA30" s="210"/>
      <c r="AB30" s="210"/>
      <c r="AC30" s="210"/>
      <c r="AD30" s="210"/>
      <c r="AE30" s="210"/>
      <c r="AF30" s="210"/>
      <c r="AG30" s="210"/>
      <c r="AH30" s="210"/>
      <c r="AI30" s="210"/>
      <c r="AJ30" s="210"/>
      <c r="AK30" s="210"/>
    </row>
    <row r="31" spans="1:37" s="211" customFormat="1" ht="15.75" hidden="1" customHeight="1">
      <c r="A31" s="217"/>
      <c r="B31" s="213"/>
      <c r="C31" s="229"/>
      <c r="D31" s="229"/>
      <c r="E31" s="230"/>
      <c r="F31" s="209"/>
      <c r="G31" s="227"/>
      <c r="H31" s="227"/>
      <c r="I31" s="227"/>
      <c r="J31" s="227"/>
      <c r="K31" s="227"/>
      <c r="L31" s="227"/>
      <c r="M31" s="227"/>
      <c r="N31" s="227"/>
      <c r="O31" s="227"/>
      <c r="P31" s="227"/>
      <c r="Q31" s="227"/>
      <c r="R31" s="227"/>
      <c r="S31" s="227"/>
      <c r="T31" s="227"/>
      <c r="U31" s="227"/>
      <c r="V31" s="227"/>
      <c r="W31" s="227"/>
      <c r="X31" s="210"/>
      <c r="Y31" s="210"/>
      <c r="Z31" s="210"/>
      <c r="AA31" s="210"/>
      <c r="AB31" s="210"/>
      <c r="AC31" s="210"/>
      <c r="AD31" s="210"/>
      <c r="AE31" s="210"/>
      <c r="AF31" s="210"/>
      <c r="AG31" s="210"/>
      <c r="AH31" s="210"/>
      <c r="AI31" s="210"/>
      <c r="AJ31" s="210"/>
      <c r="AK31" s="210"/>
    </row>
    <row r="32" spans="1:37" s="211" customFormat="1" ht="15.75" hidden="1" customHeight="1">
      <c r="A32" s="217"/>
      <c r="B32" s="213"/>
      <c r="C32" s="229"/>
      <c r="D32" s="229"/>
      <c r="E32" s="230"/>
      <c r="F32" s="209" t="e">
        <f>COUNTIF(#REF!,"=N")</f>
        <v>#REF!</v>
      </c>
      <c r="G32" s="227"/>
      <c r="H32" s="227"/>
      <c r="I32" s="227"/>
      <c r="J32" s="227"/>
      <c r="K32" s="227"/>
      <c r="L32" s="227"/>
      <c r="M32" s="227"/>
      <c r="N32" s="227"/>
      <c r="O32" s="227"/>
      <c r="P32" s="227"/>
      <c r="Q32" s="227"/>
      <c r="R32" s="227"/>
      <c r="S32" s="227"/>
      <c r="T32" s="227"/>
      <c r="U32" s="227"/>
      <c r="V32" s="227"/>
      <c r="W32" s="227"/>
      <c r="X32" s="210"/>
      <c r="Y32" s="210"/>
      <c r="Z32" s="210"/>
      <c r="AA32" s="210"/>
      <c r="AB32" s="210"/>
      <c r="AC32" s="210"/>
      <c r="AD32" s="210"/>
      <c r="AE32" s="210"/>
      <c r="AF32" s="210"/>
      <c r="AG32" s="210"/>
      <c r="AH32" s="210"/>
      <c r="AI32" s="210"/>
      <c r="AJ32" s="210"/>
      <c r="AK32" s="210"/>
    </row>
    <row r="33" spans="1:37" s="211" customFormat="1" ht="15.75" hidden="1" customHeight="1">
      <c r="A33" s="217"/>
      <c r="B33" s="213"/>
      <c r="C33" s="229"/>
      <c r="D33" s="229"/>
      <c r="E33" s="230"/>
      <c r="F33" s="209"/>
      <c r="G33" s="227"/>
      <c r="H33" s="227"/>
      <c r="I33" s="227"/>
      <c r="J33" s="227"/>
      <c r="K33" s="227"/>
      <c r="L33" s="227"/>
      <c r="M33" s="227"/>
      <c r="N33" s="227"/>
      <c r="O33" s="227"/>
      <c r="P33" s="227"/>
      <c r="Q33" s="227"/>
      <c r="R33" s="227"/>
      <c r="S33" s="227"/>
      <c r="T33" s="227"/>
      <c r="U33" s="227"/>
      <c r="V33" s="227"/>
      <c r="W33" s="227"/>
      <c r="X33" s="210"/>
      <c r="Y33" s="210"/>
      <c r="Z33" s="210"/>
      <c r="AA33" s="210"/>
      <c r="AB33" s="210"/>
      <c r="AC33" s="210"/>
      <c r="AD33" s="210"/>
      <c r="AE33" s="210"/>
      <c r="AF33" s="210"/>
      <c r="AG33" s="210"/>
      <c r="AH33" s="210"/>
      <c r="AI33" s="210"/>
      <c r="AJ33" s="210"/>
      <c r="AK33" s="210"/>
    </row>
    <row r="34" spans="1:37" s="211" customFormat="1" ht="15.75" hidden="1" customHeight="1">
      <c r="A34" s="217"/>
      <c r="B34" s="213"/>
      <c r="C34" s="229"/>
      <c r="D34" s="229"/>
      <c r="E34" s="230"/>
      <c r="F34" s="209"/>
      <c r="G34" s="227"/>
      <c r="H34" s="227"/>
      <c r="I34" s="227"/>
      <c r="J34" s="227"/>
      <c r="K34" s="227"/>
      <c r="L34" s="227"/>
      <c r="M34" s="227"/>
      <c r="N34" s="227"/>
      <c r="O34" s="227"/>
      <c r="P34" s="227"/>
      <c r="Q34" s="227"/>
      <c r="R34" s="227"/>
      <c r="S34" s="227"/>
      <c r="T34" s="227"/>
      <c r="U34" s="227"/>
      <c r="V34" s="227"/>
      <c r="W34" s="227"/>
      <c r="X34" s="210"/>
      <c r="Y34" s="210"/>
      <c r="Z34" s="210"/>
      <c r="AA34" s="210"/>
      <c r="AB34" s="210"/>
      <c r="AC34" s="210"/>
      <c r="AD34" s="210"/>
      <c r="AE34" s="210"/>
      <c r="AF34" s="210"/>
      <c r="AG34" s="210"/>
      <c r="AH34" s="210"/>
      <c r="AI34" s="210"/>
      <c r="AJ34" s="210"/>
      <c r="AK34" s="210"/>
    </row>
    <row r="35" spans="1:37" s="211" customFormat="1" ht="15.75" hidden="1" customHeight="1">
      <c r="A35" s="217"/>
      <c r="B35" s="213"/>
      <c r="C35" s="229"/>
      <c r="D35" s="229"/>
      <c r="E35" s="230"/>
      <c r="F35" s="209"/>
      <c r="G35" s="227"/>
      <c r="H35" s="227"/>
      <c r="I35" s="227"/>
      <c r="J35" s="227"/>
      <c r="K35" s="227"/>
      <c r="L35" s="227"/>
      <c r="M35" s="227"/>
      <c r="N35" s="227"/>
      <c r="O35" s="227"/>
      <c r="P35" s="227"/>
      <c r="Q35" s="227"/>
      <c r="R35" s="227"/>
      <c r="S35" s="227"/>
      <c r="T35" s="227"/>
      <c r="U35" s="227"/>
      <c r="V35" s="227"/>
      <c r="W35" s="227"/>
      <c r="X35" s="210"/>
      <c r="Y35" s="210"/>
      <c r="Z35" s="210"/>
      <c r="AA35" s="210"/>
      <c r="AB35" s="210"/>
      <c r="AC35" s="210"/>
      <c r="AD35" s="210"/>
      <c r="AE35" s="210"/>
      <c r="AF35" s="210"/>
      <c r="AG35" s="210"/>
      <c r="AH35" s="210"/>
      <c r="AI35" s="210"/>
      <c r="AJ35" s="210"/>
      <c r="AK35" s="210"/>
    </row>
    <row r="36" spans="1:37" s="211" customFormat="1" ht="15.75" hidden="1" customHeight="1">
      <c r="A36" s="217"/>
      <c r="B36" s="213"/>
      <c r="C36" s="229"/>
      <c r="D36" s="229"/>
      <c r="E36" s="230"/>
      <c r="F36" s="209"/>
      <c r="G36" s="227"/>
      <c r="H36" s="227"/>
      <c r="I36" s="227"/>
      <c r="J36" s="227"/>
      <c r="K36" s="227"/>
      <c r="L36" s="227"/>
      <c r="M36" s="227"/>
      <c r="N36" s="227"/>
      <c r="O36" s="227"/>
      <c r="P36" s="227"/>
      <c r="Q36" s="227"/>
      <c r="R36" s="227"/>
      <c r="S36" s="227"/>
      <c r="T36" s="227"/>
      <c r="U36" s="227"/>
      <c r="V36" s="227"/>
      <c r="W36" s="227"/>
      <c r="X36" s="210"/>
      <c r="Y36" s="210"/>
      <c r="Z36" s="210"/>
      <c r="AA36" s="210"/>
      <c r="AB36" s="210"/>
      <c r="AC36" s="210"/>
      <c r="AD36" s="210"/>
      <c r="AE36" s="210"/>
      <c r="AF36" s="210"/>
      <c r="AG36" s="210"/>
      <c r="AH36" s="210"/>
      <c r="AI36" s="210"/>
      <c r="AJ36" s="210"/>
      <c r="AK36" s="210"/>
    </row>
    <row r="37" spans="1:37" s="211" customFormat="1" ht="15.75" hidden="1" customHeight="1">
      <c r="A37" s="217"/>
      <c r="B37" s="213"/>
      <c r="C37" s="229"/>
      <c r="D37" s="229"/>
      <c r="E37" s="230"/>
      <c r="F37" s="209"/>
      <c r="G37" s="227"/>
      <c r="H37" s="227"/>
      <c r="I37" s="227"/>
      <c r="J37" s="227"/>
      <c r="K37" s="227"/>
      <c r="L37" s="227"/>
      <c r="M37" s="227"/>
      <c r="N37" s="227"/>
      <c r="O37" s="227"/>
      <c r="P37" s="227"/>
      <c r="Q37" s="227"/>
      <c r="R37" s="227"/>
      <c r="S37" s="227"/>
      <c r="T37" s="227"/>
      <c r="U37" s="227"/>
      <c r="V37" s="227"/>
      <c r="W37" s="227"/>
      <c r="X37" s="210"/>
      <c r="Y37" s="210"/>
      <c r="Z37" s="210"/>
      <c r="AA37" s="210"/>
      <c r="AB37" s="210"/>
      <c r="AC37" s="210"/>
      <c r="AD37" s="210"/>
      <c r="AE37" s="210"/>
      <c r="AF37" s="210"/>
      <c r="AG37" s="210"/>
      <c r="AH37" s="210"/>
      <c r="AI37" s="210"/>
      <c r="AJ37" s="210"/>
      <c r="AK37" s="210"/>
    </row>
    <row r="38" spans="1:37" s="211" customFormat="1" ht="15.75" hidden="1" customHeight="1">
      <c r="A38" s="217"/>
      <c r="B38" s="213"/>
      <c r="C38" s="229"/>
      <c r="D38" s="229"/>
      <c r="E38" s="230"/>
      <c r="F38" s="209"/>
      <c r="G38" s="227"/>
      <c r="H38" s="227"/>
      <c r="I38" s="227"/>
      <c r="J38" s="227"/>
      <c r="K38" s="227"/>
      <c r="L38" s="227"/>
      <c r="M38" s="227"/>
      <c r="N38" s="227"/>
      <c r="O38" s="227"/>
      <c r="P38" s="227"/>
      <c r="Q38" s="227"/>
      <c r="R38" s="227"/>
      <c r="S38" s="227"/>
      <c r="T38" s="227"/>
      <c r="U38" s="227"/>
      <c r="V38" s="227"/>
      <c r="W38" s="227"/>
      <c r="X38" s="210"/>
      <c r="Y38" s="210"/>
      <c r="Z38" s="210"/>
      <c r="AA38" s="210"/>
      <c r="AB38" s="210"/>
      <c r="AC38" s="210"/>
      <c r="AD38" s="210"/>
      <c r="AE38" s="210"/>
      <c r="AF38" s="210"/>
      <c r="AG38" s="210"/>
      <c r="AH38" s="210"/>
      <c r="AI38" s="210"/>
      <c r="AJ38" s="210"/>
      <c r="AK38" s="210"/>
    </row>
    <row r="39" spans="1:37" s="211" customFormat="1" ht="15.75" hidden="1" customHeight="1">
      <c r="A39" s="217"/>
      <c r="B39" s="213"/>
      <c r="C39" s="229"/>
      <c r="D39" s="229"/>
      <c r="E39" s="230"/>
      <c r="F39" s="209"/>
      <c r="G39" s="227"/>
      <c r="H39" s="227"/>
      <c r="I39" s="227"/>
      <c r="J39" s="227"/>
      <c r="K39" s="227"/>
      <c r="L39" s="227"/>
      <c r="M39" s="227"/>
      <c r="N39" s="227"/>
      <c r="O39" s="227"/>
      <c r="P39" s="227"/>
      <c r="Q39" s="227"/>
      <c r="R39" s="227"/>
      <c r="S39" s="227"/>
      <c r="T39" s="227"/>
      <c r="U39" s="227"/>
      <c r="V39" s="227"/>
      <c r="W39" s="227"/>
      <c r="X39" s="210"/>
      <c r="Y39" s="210"/>
      <c r="Z39" s="210"/>
      <c r="AA39" s="210"/>
      <c r="AB39" s="210"/>
      <c r="AC39" s="210"/>
      <c r="AD39" s="210"/>
      <c r="AE39" s="210"/>
      <c r="AF39" s="210"/>
      <c r="AG39" s="210"/>
      <c r="AH39" s="210"/>
      <c r="AI39" s="210"/>
      <c r="AJ39" s="210"/>
      <c r="AK39" s="210"/>
    </row>
    <row r="40" spans="1:37" s="211" customFormat="1" ht="15.75" hidden="1" customHeight="1">
      <c r="A40" s="217"/>
      <c r="B40" s="213"/>
      <c r="C40" s="229"/>
      <c r="D40" s="229"/>
      <c r="E40" s="230"/>
      <c r="F40" s="209" t="e">
        <f>COUNTIF(#REF!,"=N")</f>
        <v>#REF!</v>
      </c>
      <c r="G40" s="227"/>
      <c r="H40" s="227"/>
      <c r="I40" s="227"/>
      <c r="J40" s="227"/>
      <c r="K40" s="227"/>
      <c r="L40" s="227"/>
      <c r="M40" s="227"/>
      <c r="N40" s="227"/>
      <c r="O40" s="227"/>
      <c r="P40" s="227"/>
      <c r="Q40" s="227"/>
      <c r="R40" s="227"/>
      <c r="S40" s="227"/>
      <c r="T40" s="227"/>
      <c r="U40" s="227"/>
      <c r="V40" s="227"/>
      <c r="W40" s="227"/>
      <c r="X40" s="210"/>
      <c r="Y40" s="210"/>
      <c r="Z40" s="210"/>
      <c r="AA40" s="210"/>
      <c r="AB40" s="210"/>
      <c r="AC40" s="210"/>
      <c r="AD40" s="210"/>
      <c r="AE40" s="210"/>
      <c r="AF40" s="210"/>
      <c r="AG40" s="210"/>
      <c r="AH40" s="210"/>
      <c r="AI40" s="210"/>
      <c r="AJ40" s="210"/>
      <c r="AK40" s="210"/>
    </row>
    <row r="41" spans="1:37" s="211" customFormat="1" ht="15.75" hidden="1" customHeight="1">
      <c r="A41" s="217"/>
      <c r="B41" s="213"/>
      <c r="C41" s="229"/>
      <c r="D41" s="229"/>
      <c r="E41" s="230"/>
      <c r="F41" s="209"/>
      <c r="G41" s="227"/>
      <c r="H41" s="227"/>
      <c r="I41" s="227"/>
      <c r="J41" s="227"/>
      <c r="K41" s="227"/>
      <c r="L41" s="227"/>
      <c r="M41" s="227"/>
      <c r="N41" s="227"/>
      <c r="O41" s="227"/>
      <c r="P41" s="227"/>
      <c r="Q41" s="227"/>
      <c r="R41" s="227"/>
      <c r="S41" s="227"/>
      <c r="T41" s="227"/>
      <c r="U41" s="227"/>
      <c r="V41" s="227"/>
      <c r="W41" s="227"/>
      <c r="X41" s="210"/>
      <c r="Y41" s="210"/>
      <c r="Z41" s="210"/>
      <c r="AA41" s="210"/>
      <c r="AB41" s="210"/>
      <c r="AC41" s="210"/>
      <c r="AD41" s="210"/>
      <c r="AE41" s="210"/>
      <c r="AF41" s="210"/>
      <c r="AG41" s="210"/>
      <c r="AH41" s="210"/>
      <c r="AI41" s="210"/>
      <c r="AJ41" s="210"/>
      <c r="AK41" s="210"/>
    </row>
    <row r="42" spans="1:37" s="211" customFormat="1" ht="15.75" hidden="1" customHeight="1">
      <c r="A42" s="217"/>
      <c r="B42" s="213"/>
      <c r="C42" s="229"/>
      <c r="D42" s="229"/>
      <c r="E42" s="230"/>
      <c r="F42" s="209"/>
      <c r="G42" s="227"/>
      <c r="H42" s="227"/>
      <c r="I42" s="227"/>
      <c r="J42" s="227"/>
      <c r="K42" s="227"/>
      <c r="L42" s="227"/>
      <c r="M42" s="227"/>
      <c r="N42" s="227"/>
      <c r="O42" s="227"/>
      <c r="P42" s="227"/>
      <c r="Q42" s="227"/>
      <c r="R42" s="227"/>
      <c r="S42" s="227"/>
      <c r="T42" s="227"/>
      <c r="U42" s="227"/>
      <c r="V42" s="227"/>
      <c r="W42" s="227"/>
      <c r="X42" s="210"/>
      <c r="Y42" s="210"/>
      <c r="Z42" s="210"/>
      <c r="AA42" s="210"/>
      <c r="AB42" s="210"/>
      <c r="AC42" s="210"/>
      <c r="AD42" s="210"/>
      <c r="AE42" s="210"/>
      <c r="AF42" s="210"/>
      <c r="AG42" s="210"/>
      <c r="AH42" s="210"/>
      <c r="AI42" s="210"/>
      <c r="AJ42" s="210"/>
      <c r="AK42" s="210"/>
    </row>
    <row r="43" spans="1:37" s="211" customFormat="1" ht="15.75" hidden="1" customHeight="1">
      <c r="A43" s="217"/>
      <c r="B43" s="213"/>
      <c r="C43" s="229"/>
      <c r="D43" s="229"/>
      <c r="E43" s="230"/>
      <c r="F43" s="209"/>
      <c r="G43" s="227"/>
      <c r="H43" s="227"/>
      <c r="I43" s="227"/>
      <c r="J43" s="227"/>
      <c r="K43" s="227"/>
      <c r="L43" s="227"/>
      <c r="M43" s="227"/>
      <c r="N43" s="227"/>
      <c r="O43" s="227"/>
      <c r="P43" s="227"/>
      <c r="Q43" s="227"/>
      <c r="R43" s="227"/>
      <c r="S43" s="227"/>
      <c r="T43" s="227"/>
      <c r="U43" s="227"/>
      <c r="V43" s="227"/>
      <c r="W43" s="227"/>
      <c r="X43" s="210"/>
      <c r="Y43" s="210"/>
      <c r="Z43" s="210"/>
      <c r="AA43" s="210"/>
      <c r="AB43" s="210"/>
      <c r="AC43" s="210"/>
      <c r="AD43" s="210"/>
      <c r="AE43" s="210"/>
      <c r="AF43" s="210"/>
      <c r="AG43" s="210"/>
      <c r="AH43" s="210"/>
      <c r="AI43" s="210"/>
      <c r="AJ43" s="210"/>
      <c r="AK43" s="210"/>
    </row>
    <row r="44" spans="1:37" s="211" customFormat="1" ht="15.75" hidden="1" customHeight="1">
      <c r="A44" s="217"/>
      <c r="B44" s="213"/>
      <c r="C44" s="229"/>
      <c r="D44" s="229"/>
      <c r="E44" s="230"/>
      <c r="F44" s="209" t="e">
        <f>COUNTIF(#REF!,"=N")</f>
        <v>#REF!</v>
      </c>
      <c r="G44" s="227"/>
      <c r="H44" s="227"/>
      <c r="I44" s="227"/>
      <c r="J44" s="227"/>
      <c r="K44" s="227"/>
      <c r="L44" s="227"/>
      <c r="M44" s="227"/>
      <c r="N44" s="227"/>
      <c r="O44" s="227"/>
      <c r="P44" s="227"/>
      <c r="Q44" s="227"/>
      <c r="R44" s="227"/>
      <c r="S44" s="227"/>
      <c r="T44" s="227"/>
      <c r="U44" s="227"/>
      <c r="V44" s="227"/>
      <c r="W44" s="227"/>
      <c r="X44" s="210"/>
      <c r="Y44" s="210"/>
      <c r="Z44" s="210"/>
      <c r="AA44" s="210"/>
      <c r="AB44" s="210"/>
      <c r="AC44" s="210"/>
      <c r="AD44" s="210"/>
      <c r="AE44" s="210"/>
      <c r="AF44" s="210"/>
      <c r="AG44" s="210"/>
      <c r="AH44" s="210"/>
      <c r="AI44" s="210"/>
      <c r="AJ44" s="210"/>
      <c r="AK44" s="210"/>
    </row>
    <row r="45" spans="1:37" s="211" customFormat="1" ht="15.75" hidden="1" customHeight="1">
      <c r="A45" s="217"/>
      <c r="B45" s="213"/>
      <c r="C45" s="229"/>
      <c r="D45" s="229"/>
      <c r="E45" s="230"/>
      <c r="F45" s="209"/>
      <c r="G45" s="227"/>
      <c r="H45" s="227"/>
      <c r="I45" s="227"/>
      <c r="J45" s="227"/>
      <c r="K45" s="227"/>
      <c r="L45" s="227"/>
      <c r="M45" s="227"/>
      <c r="N45" s="227"/>
      <c r="O45" s="227"/>
      <c r="P45" s="227"/>
      <c r="Q45" s="227"/>
      <c r="R45" s="227"/>
      <c r="S45" s="227"/>
      <c r="T45" s="227"/>
      <c r="U45" s="227"/>
      <c r="V45" s="227"/>
      <c r="W45" s="227"/>
      <c r="X45" s="210"/>
      <c r="Y45" s="210"/>
      <c r="Z45" s="210"/>
      <c r="AA45" s="210"/>
      <c r="AB45" s="210"/>
      <c r="AC45" s="210"/>
      <c r="AD45" s="210"/>
      <c r="AE45" s="210"/>
      <c r="AF45" s="210"/>
      <c r="AG45" s="210"/>
      <c r="AH45" s="210"/>
      <c r="AI45" s="210"/>
      <c r="AJ45" s="210"/>
      <c r="AK45" s="210"/>
    </row>
    <row r="46" spans="1:37" s="211" customFormat="1" ht="15.75" hidden="1" customHeight="1">
      <c r="A46" s="217"/>
      <c r="B46" s="213"/>
      <c r="C46" s="229"/>
      <c r="D46" s="229"/>
      <c r="E46" s="230"/>
      <c r="F46" s="209"/>
      <c r="G46" s="227"/>
      <c r="H46" s="227"/>
      <c r="I46" s="227"/>
      <c r="J46" s="227"/>
      <c r="K46" s="227"/>
      <c r="L46" s="227"/>
      <c r="M46" s="227"/>
      <c r="N46" s="227"/>
      <c r="O46" s="227"/>
      <c r="P46" s="227"/>
      <c r="Q46" s="227"/>
      <c r="R46" s="227"/>
      <c r="S46" s="227"/>
      <c r="T46" s="227"/>
      <c r="U46" s="227"/>
      <c r="V46" s="227"/>
      <c r="W46" s="227"/>
      <c r="X46" s="210"/>
      <c r="Y46" s="210"/>
      <c r="Z46" s="210"/>
      <c r="AA46" s="210"/>
      <c r="AB46" s="210"/>
      <c r="AC46" s="210"/>
      <c r="AD46" s="210"/>
      <c r="AE46" s="210"/>
      <c r="AF46" s="210"/>
      <c r="AG46" s="210"/>
      <c r="AH46" s="210"/>
      <c r="AI46" s="210"/>
      <c r="AJ46" s="210"/>
      <c r="AK46" s="210"/>
    </row>
    <row r="47" spans="1:37" s="211" customFormat="1" ht="15.75" hidden="1" customHeight="1">
      <c r="A47" s="217"/>
      <c r="B47" s="213"/>
      <c r="C47" s="229"/>
      <c r="D47" s="229"/>
      <c r="E47" s="230"/>
      <c r="F47" s="209"/>
      <c r="G47" s="227"/>
      <c r="H47" s="227"/>
      <c r="I47" s="227"/>
      <c r="J47" s="227"/>
      <c r="K47" s="227"/>
      <c r="L47" s="227"/>
      <c r="M47" s="227"/>
      <c r="N47" s="227"/>
      <c r="O47" s="227"/>
      <c r="P47" s="227"/>
      <c r="Q47" s="227"/>
      <c r="R47" s="227"/>
      <c r="S47" s="227"/>
      <c r="T47" s="227"/>
      <c r="U47" s="227"/>
      <c r="V47" s="227"/>
      <c r="W47" s="227"/>
      <c r="X47" s="210"/>
      <c r="Y47" s="210"/>
      <c r="Z47" s="210"/>
      <c r="AA47" s="210"/>
      <c r="AB47" s="210"/>
      <c r="AC47" s="210"/>
      <c r="AD47" s="210"/>
      <c r="AE47" s="210"/>
      <c r="AF47" s="210"/>
      <c r="AG47" s="210"/>
      <c r="AH47" s="210"/>
      <c r="AI47" s="210"/>
      <c r="AJ47" s="210"/>
      <c r="AK47" s="210"/>
    </row>
    <row r="48" spans="1:37" s="211" customFormat="1" ht="15.75" hidden="1" customHeight="1">
      <c r="A48" s="217"/>
      <c r="B48" s="213"/>
      <c r="C48" s="229"/>
      <c r="D48" s="229"/>
      <c r="E48" s="230"/>
      <c r="F48" s="209" t="e">
        <f>COUNTIF(#REF!,"=N")</f>
        <v>#REF!</v>
      </c>
      <c r="G48" s="227"/>
      <c r="H48" s="227"/>
      <c r="I48" s="227"/>
      <c r="J48" s="227"/>
      <c r="K48" s="227"/>
      <c r="L48" s="227"/>
      <c r="M48" s="227"/>
      <c r="N48" s="227"/>
      <c r="O48" s="227"/>
      <c r="P48" s="227"/>
      <c r="Q48" s="227"/>
      <c r="R48" s="227"/>
      <c r="S48" s="227"/>
      <c r="T48" s="227"/>
      <c r="U48" s="227"/>
      <c r="V48" s="227"/>
      <c r="W48" s="227"/>
      <c r="X48" s="210"/>
      <c r="Y48" s="210"/>
      <c r="Z48" s="210"/>
      <c r="AA48" s="210"/>
      <c r="AB48" s="210"/>
      <c r="AC48" s="210"/>
      <c r="AD48" s="210"/>
      <c r="AE48" s="210"/>
      <c r="AF48" s="210"/>
      <c r="AG48" s="210"/>
      <c r="AH48" s="210"/>
      <c r="AI48" s="210"/>
      <c r="AJ48" s="210"/>
      <c r="AK48" s="210"/>
    </row>
    <row r="49" spans="1:37" s="211" customFormat="1" ht="15.75" hidden="1" customHeight="1">
      <c r="A49" s="217"/>
      <c r="B49" s="213"/>
      <c r="C49" s="229"/>
      <c r="D49" s="229"/>
      <c r="E49" s="230"/>
      <c r="F49" s="209"/>
      <c r="G49" s="227"/>
      <c r="H49" s="227"/>
      <c r="I49" s="227"/>
      <c r="J49" s="227"/>
      <c r="K49" s="227"/>
      <c r="L49" s="227"/>
      <c r="M49" s="227"/>
      <c r="N49" s="227"/>
      <c r="O49" s="227"/>
      <c r="P49" s="227"/>
      <c r="Q49" s="227"/>
      <c r="R49" s="227"/>
      <c r="S49" s="227"/>
      <c r="T49" s="227"/>
      <c r="U49" s="227"/>
      <c r="V49" s="227"/>
      <c r="W49" s="227"/>
      <c r="X49" s="210"/>
      <c r="Y49" s="210"/>
      <c r="Z49" s="210"/>
      <c r="AA49" s="210"/>
      <c r="AB49" s="210"/>
      <c r="AC49" s="210"/>
      <c r="AD49" s="210"/>
      <c r="AE49" s="210"/>
      <c r="AF49" s="210"/>
      <c r="AG49" s="210"/>
      <c r="AH49" s="210"/>
      <c r="AI49" s="210"/>
      <c r="AJ49" s="210"/>
      <c r="AK49" s="210"/>
    </row>
    <row r="50" spans="1:37" s="211" customFormat="1" ht="15.75" hidden="1" customHeight="1">
      <c r="A50" s="217"/>
      <c r="B50" s="213"/>
      <c r="C50" s="229"/>
      <c r="D50" s="229"/>
      <c r="E50" s="230"/>
      <c r="F50" s="209"/>
      <c r="G50" s="227"/>
      <c r="H50" s="227"/>
      <c r="I50" s="227"/>
      <c r="J50" s="227"/>
      <c r="K50" s="227"/>
      <c r="L50" s="227"/>
      <c r="M50" s="227"/>
      <c r="N50" s="227"/>
      <c r="O50" s="227"/>
      <c r="P50" s="227"/>
      <c r="Q50" s="227"/>
      <c r="R50" s="227"/>
      <c r="S50" s="227"/>
      <c r="T50" s="227"/>
      <c r="U50" s="227"/>
      <c r="V50" s="227"/>
      <c r="W50" s="227"/>
      <c r="X50" s="210"/>
      <c r="Y50" s="210"/>
      <c r="Z50" s="210"/>
      <c r="AA50" s="210"/>
      <c r="AB50" s="210"/>
      <c r="AC50" s="210"/>
      <c r="AD50" s="210"/>
      <c r="AE50" s="210"/>
      <c r="AF50" s="210"/>
      <c r="AG50" s="210"/>
      <c r="AH50" s="210"/>
      <c r="AI50" s="210"/>
      <c r="AJ50" s="210"/>
      <c r="AK50" s="210"/>
    </row>
    <row r="51" spans="1:37" s="211" customFormat="1" ht="15.75" hidden="1" customHeight="1">
      <c r="A51" s="217"/>
      <c r="B51" s="213"/>
      <c r="C51" s="229"/>
      <c r="D51" s="229"/>
      <c r="E51" s="230"/>
      <c r="F51" s="209"/>
      <c r="G51" s="227"/>
      <c r="H51" s="227"/>
      <c r="I51" s="227"/>
      <c r="J51" s="227"/>
      <c r="K51" s="227"/>
      <c r="L51" s="227"/>
      <c r="M51" s="227"/>
      <c r="N51" s="227"/>
      <c r="O51" s="227"/>
      <c r="P51" s="227"/>
      <c r="Q51" s="227"/>
      <c r="R51" s="227"/>
      <c r="S51" s="227"/>
      <c r="T51" s="227"/>
      <c r="U51" s="227"/>
      <c r="V51" s="227"/>
      <c r="W51" s="227"/>
      <c r="X51" s="210"/>
      <c r="Y51" s="210"/>
      <c r="Z51" s="210"/>
      <c r="AA51" s="210"/>
      <c r="AB51" s="210"/>
      <c r="AC51" s="210"/>
      <c r="AD51" s="210"/>
      <c r="AE51" s="210"/>
      <c r="AF51" s="210"/>
      <c r="AG51" s="210"/>
      <c r="AH51" s="210"/>
      <c r="AI51" s="210"/>
      <c r="AJ51" s="210"/>
      <c r="AK51" s="210"/>
    </row>
    <row r="52" spans="1:37" s="211" customFormat="1" ht="15.75" hidden="1" customHeight="1">
      <c r="A52" s="217"/>
      <c r="B52" s="213"/>
      <c r="C52" s="229"/>
      <c r="D52" s="229"/>
      <c r="E52" s="230"/>
      <c r="F52" s="209"/>
      <c r="G52" s="227"/>
      <c r="H52" s="227"/>
      <c r="I52" s="227"/>
      <c r="J52" s="227"/>
      <c r="K52" s="227"/>
      <c r="L52" s="227"/>
      <c r="M52" s="227"/>
      <c r="N52" s="227"/>
      <c r="O52" s="227"/>
      <c r="P52" s="227"/>
      <c r="Q52" s="227"/>
      <c r="R52" s="227"/>
      <c r="S52" s="227"/>
      <c r="T52" s="227"/>
      <c r="U52" s="227"/>
      <c r="V52" s="227"/>
      <c r="W52" s="227"/>
      <c r="X52" s="210"/>
      <c r="Y52" s="210"/>
      <c r="Z52" s="210"/>
      <c r="AA52" s="210"/>
      <c r="AB52" s="210"/>
      <c r="AC52" s="210"/>
      <c r="AD52" s="210"/>
      <c r="AE52" s="210"/>
      <c r="AF52" s="210"/>
      <c r="AG52" s="210"/>
      <c r="AH52" s="210"/>
      <c r="AI52" s="210"/>
      <c r="AJ52" s="210"/>
      <c r="AK52" s="210"/>
    </row>
    <row r="53" spans="1:37" s="211" customFormat="1" ht="15.75" hidden="1" customHeight="1">
      <c r="A53" s="130"/>
      <c r="B53" s="213"/>
      <c r="C53" s="229"/>
      <c r="D53" s="229"/>
      <c r="E53" s="230"/>
      <c r="F53" s="209" t="e">
        <f>COUNTIF(#REF!,"=N")</f>
        <v>#REF!</v>
      </c>
      <c r="G53" s="227"/>
      <c r="H53" s="227"/>
      <c r="I53" s="227"/>
      <c r="J53" s="227"/>
      <c r="K53" s="227"/>
      <c r="L53" s="227"/>
      <c r="M53" s="227"/>
      <c r="N53" s="227"/>
      <c r="O53" s="227"/>
      <c r="P53" s="227"/>
      <c r="Q53" s="227"/>
      <c r="R53" s="227"/>
      <c r="S53" s="227"/>
      <c r="T53" s="227"/>
      <c r="U53" s="227"/>
      <c r="V53" s="227"/>
      <c r="W53" s="227"/>
      <c r="X53" s="210"/>
      <c r="Y53" s="210"/>
      <c r="Z53" s="210"/>
      <c r="AA53" s="210"/>
      <c r="AB53" s="210"/>
      <c r="AC53" s="210"/>
      <c r="AD53" s="210"/>
      <c r="AE53" s="210"/>
      <c r="AF53" s="210"/>
      <c r="AG53" s="210"/>
      <c r="AH53" s="210"/>
      <c r="AI53" s="210"/>
      <c r="AJ53" s="210"/>
      <c r="AK53" s="210"/>
    </row>
    <row r="54" spans="1:37" s="211" customFormat="1" ht="15.75" hidden="1" customHeight="1">
      <c r="A54" s="130"/>
      <c r="B54" s="213"/>
      <c r="C54" s="229"/>
      <c r="D54" s="229"/>
      <c r="E54" s="230"/>
      <c r="F54" s="209"/>
      <c r="G54" s="227"/>
      <c r="H54" s="227"/>
      <c r="I54" s="227"/>
      <c r="J54" s="227"/>
      <c r="K54" s="227"/>
      <c r="L54" s="227"/>
      <c r="M54" s="227"/>
      <c r="N54" s="227"/>
      <c r="O54" s="227"/>
      <c r="P54" s="227"/>
      <c r="Q54" s="227"/>
      <c r="R54" s="227"/>
      <c r="S54" s="227"/>
      <c r="T54" s="227"/>
      <c r="U54" s="227"/>
      <c r="V54" s="227"/>
      <c r="W54" s="227"/>
      <c r="X54" s="210"/>
      <c r="Y54" s="210"/>
      <c r="Z54" s="210"/>
      <c r="AA54" s="210"/>
      <c r="AB54" s="210"/>
      <c r="AC54" s="210"/>
      <c r="AD54" s="210"/>
      <c r="AE54" s="210"/>
      <c r="AF54" s="210"/>
      <c r="AG54" s="210"/>
      <c r="AH54" s="210"/>
      <c r="AI54" s="210"/>
      <c r="AJ54" s="210"/>
      <c r="AK54" s="210"/>
    </row>
    <row r="55" spans="1:37" s="211" customFormat="1" ht="15.75" hidden="1" customHeight="1">
      <c r="A55" s="130"/>
      <c r="B55" s="213"/>
      <c r="C55" s="229"/>
      <c r="D55" s="229"/>
      <c r="E55" s="230"/>
      <c r="F55" s="209"/>
      <c r="G55" s="227"/>
      <c r="H55" s="227"/>
      <c r="I55" s="227"/>
      <c r="J55" s="227"/>
      <c r="K55" s="227"/>
      <c r="L55" s="227"/>
      <c r="M55" s="227"/>
      <c r="N55" s="227"/>
      <c r="O55" s="227"/>
      <c r="P55" s="227"/>
      <c r="Q55" s="227"/>
      <c r="R55" s="227"/>
      <c r="S55" s="227"/>
      <c r="T55" s="227"/>
      <c r="U55" s="227"/>
      <c r="V55" s="227"/>
      <c r="W55" s="227"/>
      <c r="X55" s="210"/>
      <c r="Y55" s="210"/>
      <c r="Z55" s="210"/>
      <c r="AA55" s="210"/>
      <c r="AB55" s="210"/>
      <c r="AC55" s="210"/>
      <c r="AD55" s="210"/>
      <c r="AE55" s="210"/>
      <c r="AF55" s="210"/>
      <c r="AG55" s="210"/>
      <c r="AH55" s="210"/>
      <c r="AI55" s="210"/>
      <c r="AJ55" s="210"/>
      <c r="AK55" s="210"/>
    </row>
    <row r="56" spans="1:37" s="211" customFormat="1" ht="15.75" hidden="1" customHeight="1">
      <c r="A56" s="130"/>
      <c r="B56" s="213"/>
      <c r="C56" s="229"/>
      <c r="D56" s="229"/>
      <c r="E56" s="230"/>
      <c r="F56" s="209"/>
      <c r="G56" s="227"/>
      <c r="H56" s="227"/>
      <c r="I56" s="227"/>
      <c r="J56" s="227"/>
      <c r="K56" s="227"/>
      <c r="L56" s="227"/>
      <c r="M56" s="227"/>
      <c r="N56" s="227"/>
      <c r="O56" s="227"/>
      <c r="P56" s="227"/>
      <c r="Q56" s="227"/>
      <c r="R56" s="227"/>
      <c r="S56" s="227"/>
      <c r="T56" s="227"/>
      <c r="U56" s="227"/>
      <c r="V56" s="227"/>
      <c r="W56" s="227"/>
      <c r="X56" s="210"/>
      <c r="Y56" s="210"/>
      <c r="Z56" s="210"/>
      <c r="AA56" s="210"/>
      <c r="AB56" s="210"/>
      <c r="AC56" s="210"/>
      <c r="AD56" s="210"/>
      <c r="AE56" s="210"/>
      <c r="AF56" s="210"/>
      <c r="AG56" s="210"/>
      <c r="AH56" s="210"/>
      <c r="AI56" s="210"/>
      <c r="AJ56" s="210"/>
      <c r="AK56" s="210"/>
    </row>
    <row r="57" spans="1:37" s="211" customFormat="1" ht="15.75" hidden="1" customHeight="1">
      <c r="A57" s="130"/>
      <c r="B57" s="213"/>
      <c r="C57" s="229"/>
      <c r="D57" s="229"/>
      <c r="E57" s="230"/>
      <c r="F57" s="209" t="e">
        <f>COUNTIF(#REF!,"=N")</f>
        <v>#REF!</v>
      </c>
      <c r="G57" s="227"/>
      <c r="H57" s="227"/>
      <c r="I57" s="227"/>
      <c r="J57" s="227"/>
      <c r="K57" s="227"/>
      <c r="L57" s="227"/>
      <c r="M57" s="227"/>
      <c r="N57" s="227"/>
      <c r="O57" s="227"/>
      <c r="P57" s="227"/>
      <c r="Q57" s="227"/>
      <c r="R57" s="227"/>
      <c r="S57" s="227"/>
      <c r="T57" s="227"/>
      <c r="U57" s="227"/>
      <c r="V57" s="227"/>
      <c r="W57" s="227"/>
      <c r="X57" s="210"/>
      <c r="Y57" s="210"/>
      <c r="Z57" s="210"/>
      <c r="AA57" s="210"/>
      <c r="AB57" s="210"/>
      <c r="AC57" s="210"/>
      <c r="AD57" s="210"/>
      <c r="AE57" s="210"/>
      <c r="AF57" s="210"/>
      <c r="AG57" s="210"/>
      <c r="AH57" s="210"/>
      <c r="AI57" s="210"/>
      <c r="AJ57" s="210"/>
      <c r="AK57" s="210"/>
    </row>
    <row r="58" spans="1:37" s="211" customFormat="1" ht="15.75" hidden="1" customHeight="1">
      <c r="A58" s="130"/>
      <c r="B58" s="213"/>
      <c r="C58" s="229"/>
      <c r="D58" s="229"/>
      <c r="E58" s="230"/>
      <c r="F58" s="209"/>
      <c r="G58" s="227"/>
      <c r="H58" s="227"/>
      <c r="I58" s="227"/>
      <c r="J58" s="227"/>
      <c r="K58" s="227"/>
      <c r="L58" s="227"/>
      <c r="M58" s="227"/>
      <c r="N58" s="227"/>
      <c r="O58" s="227"/>
      <c r="P58" s="227"/>
      <c r="Q58" s="227"/>
      <c r="R58" s="227"/>
      <c r="S58" s="227"/>
      <c r="T58" s="227"/>
      <c r="U58" s="227"/>
      <c r="V58" s="227"/>
      <c r="W58" s="227"/>
      <c r="X58" s="210"/>
      <c r="Y58" s="210"/>
      <c r="Z58" s="210"/>
      <c r="AA58" s="210"/>
      <c r="AB58" s="210"/>
      <c r="AC58" s="210"/>
      <c r="AD58" s="210"/>
      <c r="AE58" s="210"/>
      <c r="AF58" s="210"/>
      <c r="AG58" s="210"/>
      <c r="AH58" s="210"/>
      <c r="AI58" s="210"/>
      <c r="AJ58" s="210"/>
      <c r="AK58" s="210"/>
    </row>
    <row r="59" spans="1:37" s="211" customFormat="1" ht="15.75" hidden="1" customHeight="1">
      <c r="A59" s="130"/>
      <c r="B59" s="213"/>
      <c r="C59" s="229"/>
      <c r="D59" s="229"/>
      <c r="E59" s="230"/>
      <c r="F59" s="209"/>
      <c r="G59" s="227"/>
      <c r="H59" s="227"/>
      <c r="I59" s="227"/>
      <c r="J59" s="227"/>
      <c r="K59" s="227"/>
      <c r="L59" s="227"/>
      <c r="M59" s="227"/>
      <c r="N59" s="227"/>
      <c r="O59" s="227"/>
      <c r="P59" s="227"/>
      <c r="Q59" s="227"/>
      <c r="R59" s="227"/>
      <c r="S59" s="227"/>
      <c r="T59" s="227"/>
      <c r="U59" s="227"/>
      <c r="V59" s="227"/>
      <c r="W59" s="227"/>
      <c r="X59" s="210"/>
      <c r="Y59" s="210"/>
      <c r="Z59" s="210"/>
      <c r="AA59" s="210"/>
      <c r="AB59" s="210"/>
      <c r="AC59" s="210"/>
      <c r="AD59" s="210"/>
      <c r="AE59" s="210"/>
      <c r="AF59" s="210"/>
      <c r="AG59" s="210"/>
      <c r="AH59" s="210"/>
      <c r="AI59" s="210"/>
      <c r="AJ59" s="210"/>
      <c r="AK59" s="210"/>
    </row>
    <row r="60" spans="1:37" s="211" customFormat="1" ht="15.75" hidden="1" customHeight="1">
      <c r="A60" s="130"/>
      <c r="B60" s="213"/>
      <c r="C60" s="229"/>
      <c r="D60" s="229"/>
      <c r="E60" s="230"/>
      <c r="F60" s="209"/>
      <c r="G60" s="227"/>
      <c r="H60" s="227"/>
      <c r="I60" s="227"/>
      <c r="J60" s="227"/>
      <c r="K60" s="227"/>
      <c r="L60" s="227"/>
      <c r="M60" s="227"/>
      <c r="N60" s="227"/>
      <c r="O60" s="227"/>
      <c r="P60" s="227"/>
      <c r="Q60" s="227"/>
      <c r="R60" s="227"/>
      <c r="S60" s="227"/>
      <c r="T60" s="227"/>
      <c r="U60" s="227"/>
      <c r="V60" s="227"/>
      <c r="W60" s="227"/>
      <c r="X60" s="210"/>
      <c r="Y60" s="210"/>
      <c r="Z60" s="210"/>
      <c r="AA60" s="210"/>
      <c r="AB60" s="210"/>
      <c r="AC60" s="210"/>
      <c r="AD60" s="210"/>
      <c r="AE60" s="210"/>
      <c r="AF60" s="210"/>
      <c r="AG60" s="210"/>
      <c r="AH60" s="210"/>
      <c r="AI60" s="210"/>
      <c r="AJ60" s="210"/>
      <c r="AK60" s="210"/>
    </row>
    <row r="61" spans="1:37" s="211" customFormat="1" ht="15.75" hidden="1" customHeight="1">
      <c r="A61" s="130"/>
      <c r="B61" s="213"/>
      <c r="C61" s="229"/>
      <c r="D61" s="229"/>
      <c r="E61" s="230"/>
      <c r="F61" s="209"/>
      <c r="G61" s="227"/>
      <c r="H61" s="227"/>
      <c r="I61" s="227"/>
      <c r="J61" s="227"/>
      <c r="K61" s="227"/>
      <c r="L61" s="227"/>
      <c r="M61" s="227"/>
      <c r="N61" s="227"/>
      <c r="O61" s="227"/>
      <c r="P61" s="227"/>
      <c r="Q61" s="227"/>
      <c r="R61" s="227"/>
      <c r="S61" s="227"/>
      <c r="T61" s="227"/>
      <c r="U61" s="227"/>
      <c r="V61" s="227"/>
      <c r="W61" s="227"/>
      <c r="X61" s="210"/>
      <c r="Y61" s="210"/>
      <c r="Z61" s="210"/>
      <c r="AA61" s="210"/>
      <c r="AB61" s="210"/>
      <c r="AC61" s="210"/>
      <c r="AD61" s="210"/>
      <c r="AE61" s="210"/>
      <c r="AF61" s="210"/>
      <c r="AG61" s="210"/>
      <c r="AH61" s="210"/>
      <c r="AI61" s="210"/>
      <c r="AJ61" s="210"/>
      <c r="AK61" s="210"/>
    </row>
    <row r="62" spans="1:37" s="211" customFormat="1" ht="15.75" hidden="1" customHeight="1">
      <c r="A62" s="130"/>
      <c r="B62" s="213"/>
      <c r="C62" s="229"/>
      <c r="D62" s="229"/>
      <c r="E62" s="230"/>
      <c r="F62" s="209"/>
      <c r="G62" s="227"/>
      <c r="H62" s="227"/>
      <c r="I62" s="227"/>
      <c r="J62" s="227"/>
      <c r="K62" s="227"/>
      <c r="L62" s="227"/>
      <c r="M62" s="227"/>
      <c r="N62" s="227"/>
      <c r="O62" s="227"/>
      <c r="P62" s="227"/>
      <c r="Q62" s="227"/>
      <c r="R62" s="227"/>
      <c r="S62" s="227"/>
      <c r="T62" s="227"/>
      <c r="U62" s="227"/>
      <c r="V62" s="227"/>
      <c r="W62" s="227"/>
      <c r="X62" s="210"/>
      <c r="Y62" s="210"/>
      <c r="Z62" s="210"/>
      <c r="AA62" s="210"/>
      <c r="AB62" s="210"/>
      <c r="AC62" s="210"/>
      <c r="AD62" s="210"/>
      <c r="AE62" s="210"/>
      <c r="AF62" s="210"/>
      <c r="AG62" s="210"/>
      <c r="AH62" s="210"/>
      <c r="AI62" s="210"/>
      <c r="AJ62" s="210"/>
      <c r="AK62" s="210"/>
    </row>
    <row r="63" spans="1:37" s="211" customFormat="1" ht="15.75" hidden="1" customHeight="1">
      <c r="A63" s="130"/>
      <c r="B63" s="213"/>
      <c r="C63" s="229"/>
      <c r="D63" s="229"/>
      <c r="E63" s="230"/>
      <c r="F63" s="209"/>
      <c r="G63" s="227"/>
      <c r="H63" s="227"/>
      <c r="I63" s="227"/>
      <c r="J63" s="227"/>
      <c r="K63" s="227"/>
      <c r="L63" s="227"/>
      <c r="M63" s="227"/>
      <c r="N63" s="227"/>
      <c r="O63" s="227"/>
      <c r="P63" s="227"/>
      <c r="Q63" s="227"/>
      <c r="R63" s="227"/>
      <c r="S63" s="227"/>
      <c r="T63" s="227"/>
      <c r="U63" s="227"/>
      <c r="V63" s="227"/>
      <c r="W63" s="227"/>
      <c r="X63" s="210"/>
      <c r="Y63" s="210"/>
      <c r="Z63" s="210"/>
      <c r="AA63" s="210"/>
      <c r="AB63" s="210"/>
      <c r="AC63" s="210"/>
      <c r="AD63" s="210"/>
      <c r="AE63" s="210"/>
      <c r="AF63" s="210"/>
      <c r="AG63" s="210"/>
      <c r="AH63" s="210"/>
      <c r="AI63" s="210"/>
      <c r="AJ63" s="210"/>
      <c r="AK63" s="210"/>
    </row>
    <row r="64" spans="1:37" s="211" customFormat="1" ht="15.75" hidden="1" customHeight="1">
      <c r="A64" s="130"/>
      <c r="B64" s="213"/>
      <c r="C64" s="229"/>
      <c r="D64" s="229"/>
      <c r="E64" s="230"/>
      <c r="F64" s="209" t="e">
        <f>COUNTIF(#REF!,"=N")</f>
        <v>#REF!</v>
      </c>
      <c r="G64" s="227"/>
      <c r="H64" s="227"/>
      <c r="I64" s="227"/>
      <c r="J64" s="227"/>
      <c r="K64" s="227"/>
      <c r="L64" s="227"/>
      <c r="M64" s="227"/>
      <c r="N64" s="227"/>
      <c r="O64" s="227"/>
      <c r="P64" s="227"/>
      <c r="Q64" s="227"/>
      <c r="R64" s="227"/>
      <c r="S64" s="227"/>
      <c r="T64" s="227"/>
      <c r="U64" s="227"/>
      <c r="V64" s="227"/>
      <c r="W64" s="227"/>
      <c r="X64" s="210"/>
      <c r="Y64" s="210"/>
      <c r="Z64" s="210"/>
      <c r="AA64" s="210"/>
      <c r="AB64" s="210"/>
      <c r="AC64" s="210"/>
      <c r="AD64" s="210"/>
      <c r="AE64" s="210"/>
      <c r="AF64" s="210"/>
      <c r="AG64" s="210"/>
      <c r="AH64" s="210"/>
      <c r="AI64" s="210"/>
      <c r="AJ64" s="210"/>
      <c r="AK64" s="210"/>
    </row>
    <row r="65" spans="1:37" s="211" customFormat="1" ht="15.75" hidden="1" customHeight="1">
      <c r="A65" s="130"/>
      <c r="B65" s="213"/>
      <c r="C65" s="229"/>
      <c r="D65" s="229"/>
      <c r="E65" s="230"/>
      <c r="F65" s="209"/>
      <c r="G65" s="227"/>
      <c r="H65" s="227"/>
      <c r="I65" s="227"/>
      <c r="J65" s="227"/>
      <c r="K65" s="227"/>
      <c r="L65" s="227"/>
      <c r="M65" s="227"/>
      <c r="N65" s="227"/>
      <c r="O65" s="227"/>
      <c r="P65" s="227"/>
      <c r="Q65" s="227"/>
      <c r="R65" s="227"/>
      <c r="S65" s="227"/>
      <c r="T65" s="227"/>
      <c r="U65" s="227"/>
      <c r="V65" s="227"/>
      <c r="W65" s="227"/>
      <c r="X65" s="210"/>
      <c r="Y65" s="210"/>
      <c r="Z65" s="210"/>
      <c r="AA65" s="210"/>
      <c r="AB65" s="210"/>
      <c r="AC65" s="210"/>
      <c r="AD65" s="210"/>
      <c r="AE65" s="210"/>
      <c r="AF65" s="210"/>
      <c r="AG65" s="210"/>
      <c r="AH65" s="210"/>
      <c r="AI65" s="210"/>
      <c r="AJ65" s="210"/>
      <c r="AK65" s="210"/>
    </row>
    <row r="66" spans="1:37" s="211" customFormat="1" ht="15.75" hidden="1" customHeight="1">
      <c r="A66" s="130"/>
      <c r="B66" s="213"/>
      <c r="C66" s="229"/>
      <c r="D66" s="229"/>
      <c r="E66" s="230"/>
      <c r="F66" s="209"/>
      <c r="G66" s="227"/>
      <c r="H66" s="227"/>
      <c r="I66" s="227"/>
      <c r="J66" s="227"/>
      <c r="K66" s="227"/>
      <c r="L66" s="227"/>
      <c r="M66" s="227"/>
      <c r="N66" s="227"/>
      <c r="O66" s="227"/>
      <c r="P66" s="227"/>
      <c r="Q66" s="227"/>
      <c r="R66" s="227"/>
      <c r="S66" s="227"/>
      <c r="T66" s="227"/>
      <c r="U66" s="227"/>
      <c r="V66" s="227"/>
      <c r="W66" s="227"/>
      <c r="X66" s="210"/>
      <c r="Y66" s="210"/>
      <c r="Z66" s="210"/>
      <c r="AA66" s="210"/>
      <c r="AB66" s="210"/>
      <c r="AC66" s="210"/>
      <c r="AD66" s="210"/>
      <c r="AE66" s="210"/>
      <c r="AF66" s="210"/>
      <c r="AG66" s="210"/>
      <c r="AH66" s="210"/>
      <c r="AI66" s="210"/>
      <c r="AJ66" s="210"/>
      <c r="AK66" s="210"/>
    </row>
    <row r="67" spans="1:37" s="211" customFormat="1" ht="15.75" hidden="1" customHeight="1">
      <c r="A67" s="130"/>
      <c r="B67" s="213"/>
      <c r="C67" s="229"/>
      <c r="D67" s="229"/>
      <c r="E67" s="230"/>
      <c r="F67" s="209"/>
      <c r="G67" s="227"/>
      <c r="H67" s="227"/>
      <c r="I67" s="227"/>
      <c r="J67" s="227"/>
      <c r="K67" s="227"/>
      <c r="L67" s="227"/>
      <c r="M67" s="227"/>
      <c r="N67" s="227"/>
      <c r="O67" s="227"/>
      <c r="P67" s="227"/>
      <c r="Q67" s="227"/>
      <c r="R67" s="227"/>
      <c r="S67" s="227"/>
      <c r="T67" s="227"/>
      <c r="U67" s="227"/>
      <c r="V67" s="227"/>
      <c r="W67" s="227"/>
      <c r="X67" s="210"/>
      <c r="Y67" s="210"/>
      <c r="Z67" s="210"/>
      <c r="AA67" s="210"/>
      <c r="AB67" s="210"/>
      <c r="AC67" s="210"/>
      <c r="AD67" s="210"/>
      <c r="AE67" s="210"/>
      <c r="AF67" s="210"/>
      <c r="AG67" s="210"/>
      <c r="AH67" s="210"/>
      <c r="AI67" s="210"/>
      <c r="AJ67" s="210"/>
      <c r="AK67" s="210"/>
    </row>
    <row r="68" spans="1:37" s="211" customFormat="1" ht="15.75" hidden="1" customHeight="1">
      <c r="A68" s="130"/>
      <c r="B68" s="213"/>
      <c r="C68" s="229"/>
      <c r="D68" s="229"/>
      <c r="E68" s="230"/>
      <c r="F68" s="209" t="e">
        <f>COUNTIF(#REF!,"=N")</f>
        <v>#REF!</v>
      </c>
      <c r="G68" s="227"/>
      <c r="H68" s="227"/>
      <c r="I68" s="227"/>
      <c r="J68" s="227"/>
      <c r="K68" s="227"/>
      <c r="L68" s="227"/>
      <c r="M68" s="227"/>
      <c r="N68" s="227"/>
      <c r="O68" s="227"/>
      <c r="P68" s="227"/>
      <c r="Q68" s="227"/>
      <c r="R68" s="227"/>
      <c r="S68" s="227"/>
      <c r="T68" s="227"/>
      <c r="U68" s="227"/>
      <c r="V68" s="227"/>
      <c r="W68" s="227"/>
      <c r="X68" s="210"/>
      <c r="Y68" s="210"/>
      <c r="Z68" s="210"/>
      <c r="AA68" s="210"/>
      <c r="AB68" s="210"/>
      <c r="AC68" s="210"/>
      <c r="AD68" s="210"/>
      <c r="AE68" s="210"/>
      <c r="AF68" s="210"/>
      <c r="AG68" s="210"/>
      <c r="AH68" s="210"/>
      <c r="AI68" s="210"/>
      <c r="AJ68" s="210"/>
      <c r="AK68" s="210"/>
    </row>
    <row r="69" spans="1:37" s="211" customFormat="1" ht="15.75" hidden="1" customHeight="1">
      <c r="A69" s="130"/>
      <c r="B69" s="213"/>
      <c r="C69" s="229"/>
      <c r="D69" s="229"/>
      <c r="E69" s="230"/>
      <c r="F69" s="209"/>
      <c r="G69" s="227"/>
      <c r="H69" s="227"/>
      <c r="I69" s="227"/>
      <c r="J69" s="227"/>
      <c r="K69" s="227"/>
      <c r="L69" s="227"/>
      <c r="M69" s="227"/>
      <c r="N69" s="227"/>
      <c r="O69" s="227"/>
      <c r="P69" s="227"/>
      <c r="Q69" s="227"/>
      <c r="R69" s="227"/>
      <c r="S69" s="227"/>
      <c r="T69" s="227"/>
      <c r="U69" s="227"/>
      <c r="V69" s="227"/>
      <c r="W69" s="227"/>
      <c r="X69" s="210"/>
      <c r="Y69" s="210"/>
      <c r="Z69" s="210"/>
      <c r="AA69" s="210"/>
      <c r="AB69" s="210"/>
      <c r="AC69" s="210"/>
      <c r="AD69" s="210"/>
      <c r="AE69" s="210"/>
      <c r="AF69" s="210"/>
      <c r="AG69" s="210"/>
      <c r="AH69" s="210"/>
      <c r="AI69" s="210"/>
      <c r="AJ69" s="210"/>
      <c r="AK69" s="210"/>
    </row>
    <row r="70" spans="1:37" s="211" customFormat="1" ht="15.75" hidden="1" customHeight="1">
      <c r="A70" s="130"/>
      <c r="B70" s="213"/>
      <c r="C70" s="229"/>
      <c r="D70" s="229"/>
      <c r="E70" s="230"/>
      <c r="F70" s="209"/>
      <c r="G70" s="227"/>
      <c r="H70" s="227"/>
      <c r="I70" s="227"/>
      <c r="J70" s="227"/>
      <c r="K70" s="227"/>
      <c r="L70" s="227"/>
      <c r="M70" s="227"/>
      <c r="N70" s="227"/>
      <c r="O70" s="227"/>
      <c r="P70" s="227"/>
      <c r="Q70" s="227"/>
      <c r="R70" s="227"/>
      <c r="S70" s="227"/>
      <c r="T70" s="227"/>
      <c r="U70" s="227"/>
      <c r="V70" s="227"/>
      <c r="W70" s="227"/>
      <c r="X70" s="210"/>
      <c r="Y70" s="210"/>
      <c r="Z70" s="210"/>
      <c r="AA70" s="210"/>
      <c r="AB70" s="210"/>
      <c r="AC70" s="210"/>
      <c r="AD70" s="210"/>
      <c r="AE70" s="210"/>
      <c r="AF70" s="210"/>
      <c r="AG70" s="210"/>
      <c r="AH70" s="210"/>
      <c r="AI70" s="210"/>
      <c r="AJ70" s="210"/>
      <c r="AK70" s="210"/>
    </row>
    <row r="71" spans="1:37" s="211" customFormat="1" ht="15.75" hidden="1" customHeight="1">
      <c r="A71" s="130"/>
      <c r="B71" s="213"/>
      <c r="C71" s="229"/>
      <c r="D71" s="229"/>
      <c r="E71" s="230"/>
      <c r="F71" s="209"/>
      <c r="G71" s="227"/>
      <c r="H71" s="227"/>
      <c r="I71" s="227"/>
      <c r="J71" s="227"/>
      <c r="K71" s="227"/>
      <c r="L71" s="227"/>
      <c r="M71" s="227"/>
      <c r="N71" s="227"/>
      <c r="O71" s="227"/>
      <c r="P71" s="227"/>
      <c r="Q71" s="227"/>
      <c r="R71" s="227"/>
      <c r="S71" s="227"/>
      <c r="T71" s="227"/>
      <c r="U71" s="227"/>
      <c r="V71" s="227"/>
      <c r="W71" s="227"/>
      <c r="X71" s="210"/>
      <c r="Y71" s="210"/>
      <c r="Z71" s="210"/>
      <c r="AA71" s="210"/>
      <c r="AB71" s="210"/>
      <c r="AC71" s="210"/>
      <c r="AD71" s="210"/>
      <c r="AE71" s="210"/>
      <c r="AF71" s="210"/>
      <c r="AG71" s="210"/>
      <c r="AH71" s="210"/>
      <c r="AI71" s="210"/>
      <c r="AJ71" s="210"/>
      <c r="AK71" s="210"/>
    </row>
    <row r="72" spans="1:37" s="211" customFormat="1" ht="15.75" hidden="1" customHeight="1">
      <c r="A72" s="130"/>
      <c r="B72" s="213"/>
      <c r="C72" s="229"/>
      <c r="D72" s="229"/>
      <c r="E72" s="230"/>
      <c r="F72" s="209" t="e">
        <f>COUNTIF(#REF!,"=N")</f>
        <v>#REF!</v>
      </c>
      <c r="G72" s="227"/>
      <c r="H72" s="227"/>
      <c r="I72" s="227"/>
      <c r="J72" s="227"/>
      <c r="K72" s="227"/>
      <c r="L72" s="227"/>
      <c r="M72" s="227"/>
      <c r="N72" s="227"/>
      <c r="O72" s="227"/>
      <c r="P72" s="227"/>
      <c r="Q72" s="227"/>
      <c r="R72" s="227"/>
      <c r="S72" s="227"/>
      <c r="T72" s="227"/>
      <c r="U72" s="227"/>
      <c r="V72" s="227"/>
      <c r="W72" s="227"/>
      <c r="X72" s="210"/>
      <c r="Y72" s="210"/>
      <c r="Z72" s="210"/>
      <c r="AA72" s="210"/>
      <c r="AB72" s="210"/>
      <c r="AC72" s="210"/>
      <c r="AD72" s="210"/>
      <c r="AE72" s="210"/>
      <c r="AF72" s="210"/>
      <c r="AG72" s="210"/>
      <c r="AH72" s="210"/>
      <c r="AI72" s="210"/>
      <c r="AJ72" s="210"/>
      <c r="AK72" s="210"/>
    </row>
    <row r="73" spans="1:37" s="211" customFormat="1" ht="15.75" hidden="1" customHeight="1">
      <c r="A73" s="130"/>
      <c r="B73" s="213"/>
      <c r="C73" s="229"/>
      <c r="D73" s="229"/>
      <c r="E73" s="230"/>
      <c r="F73" s="209"/>
      <c r="G73" s="227"/>
      <c r="H73" s="227"/>
      <c r="I73" s="227"/>
      <c r="J73" s="227"/>
      <c r="K73" s="227"/>
      <c r="L73" s="227"/>
      <c r="M73" s="227"/>
      <c r="N73" s="227"/>
      <c r="O73" s="227"/>
      <c r="P73" s="227"/>
      <c r="Q73" s="227"/>
      <c r="R73" s="227"/>
      <c r="S73" s="227"/>
      <c r="T73" s="227"/>
      <c r="U73" s="227"/>
      <c r="V73" s="227"/>
      <c r="W73" s="227"/>
      <c r="X73" s="210"/>
      <c r="Y73" s="210"/>
      <c r="Z73" s="210"/>
      <c r="AA73" s="210"/>
      <c r="AB73" s="210"/>
      <c r="AC73" s="210"/>
      <c r="AD73" s="210"/>
      <c r="AE73" s="210"/>
      <c r="AF73" s="210"/>
      <c r="AG73" s="210"/>
      <c r="AH73" s="210"/>
      <c r="AI73" s="210"/>
      <c r="AJ73" s="210"/>
      <c r="AK73" s="210"/>
    </row>
    <row r="74" spans="1:37" s="211" customFormat="1" ht="15.75" hidden="1" customHeight="1">
      <c r="A74" s="130"/>
      <c r="B74" s="213"/>
      <c r="C74" s="229"/>
      <c r="D74" s="229"/>
      <c r="E74" s="230"/>
      <c r="F74" s="209"/>
      <c r="G74" s="227"/>
      <c r="H74" s="227"/>
      <c r="I74" s="227"/>
      <c r="J74" s="227"/>
      <c r="K74" s="227"/>
      <c r="L74" s="227"/>
      <c r="M74" s="227"/>
      <c r="N74" s="227"/>
      <c r="O74" s="227"/>
      <c r="P74" s="227"/>
      <c r="Q74" s="227"/>
      <c r="R74" s="227"/>
      <c r="S74" s="227"/>
      <c r="T74" s="227"/>
      <c r="U74" s="227"/>
      <c r="V74" s="227"/>
      <c r="W74" s="227"/>
      <c r="X74" s="210"/>
      <c r="Y74" s="210"/>
      <c r="Z74" s="210"/>
      <c r="AA74" s="210"/>
      <c r="AB74" s="210"/>
      <c r="AC74" s="210"/>
      <c r="AD74" s="210"/>
      <c r="AE74" s="210"/>
      <c r="AF74" s="210"/>
      <c r="AG74" s="210"/>
      <c r="AH74" s="210"/>
      <c r="AI74" s="210"/>
      <c r="AJ74" s="210"/>
      <c r="AK74" s="210"/>
    </row>
    <row r="75" spans="1:37" s="211" customFormat="1" ht="15.75" hidden="1" customHeight="1">
      <c r="A75" s="130"/>
      <c r="B75" s="213"/>
      <c r="C75" s="229"/>
      <c r="D75" s="229"/>
      <c r="E75" s="230"/>
      <c r="F75" s="209"/>
      <c r="G75" s="227"/>
      <c r="H75" s="227"/>
      <c r="I75" s="227"/>
      <c r="J75" s="227"/>
      <c r="K75" s="227"/>
      <c r="L75" s="227"/>
      <c r="M75" s="227"/>
      <c r="N75" s="227"/>
      <c r="O75" s="227"/>
      <c r="P75" s="227"/>
      <c r="Q75" s="227"/>
      <c r="R75" s="227"/>
      <c r="S75" s="227"/>
      <c r="T75" s="227"/>
      <c r="U75" s="227"/>
      <c r="V75" s="227"/>
      <c r="W75" s="227"/>
      <c r="X75" s="210"/>
      <c r="Y75" s="210"/>
      <c r="Z75" s="210"/>
      <c r="AA75" s="210"/>
      <c r="AB75" s="210"/>
      <c r="AC75" s="210"/>
      <c r="AD75" s="210"/>
      <c r="AE75" s="210"/>
      <c r="AF75" s="210"/>
      <c r="AG75" s="210"/>
      <c r="AH75" s="210"/>
      <c r="AI75" s="210"/>
      <c r="AJ75" s="210"/>
      <c r="AK75" s="210"/>
    </row>
    <row r="76" spans="1:37" s="211" customFormat="1" ht="15.75" hidden="1" customHeight="1">
      <c r="A76" s="130"/>
      <c r="B76" s="213"/>
      <c r="C76" s="229"/>
      <c r="D76" s="229"/>
      <c r="E76" s="230"/>
      <c r="F76" s="209"/>
      <c r="G76" s="227"/>
      <c r="H76" s="227"/>
      <c r="I76" s="227"/>
      <c r="J76" s="227"/>
      <c r="K76" s="227"/>
      <c r="L76" s="227"/>
      <c r="M76" s="227"/>
      <c r="N76" s="227"/>
      <c r="O76" s="227"/>
      <c r="P76" s="227"/>
      <c r="Q76" s="227"/>
      <c r="R76" s="227"/>
      <c r="S76" s="227"/>
      <c r="T76" s="227"/>
      <c r="U76" s="227"/>
      <c r="V76" s="227"/>
      <c r="W76" s="227"/>
      <c r="X76" s="210"/>
      <c r="Y76" s="210"/>
      <c r="Z76" s="210"/>
      <c r="AA76" s="210"/>
      <c r="AB76" s="210"/>
      <c r="AC76" s="210"/>
      <c r="AD76" s="210"/>
      <c r="AE76" s="210"/>
      <c r="AF76" s="210"/>
      <c r="AG76" s="210"/>
      <c r="AH76" s="210"/>
      <c r="AI76" s="210"/>
      <c r="AJ76" s="210"/>
      <c r="AK76" s="210"/>
    </row>
    <row r="77" spans="1:37" s="211" customFormat="1" ht="15.75" hidden="1" customHeight="1">
      <c r="A77" s="130"/>
      <c r="B77" s="213"/>
      <c r="C77" s="229"/>
      <c r="D77" s="229"/>
      <c r="E77" s="230"/>
      <c r="F77" s="209" t="e">
        <f>COUNTIF(#REF!,"=N")</f>
        <v>#REF!</v>
      </c>
      <c r="G77" s="227"/>
      <c r="H77" s="227"/>
      <c r="I77" s="227"/>
      <c r="J77" s="227"/>
      <c r="K77" s="227"/>
      <c r="L77" s="227"/>
      <c r="M77" s="227"/>
      <c r="N77" s="227"/>
      <c r="O77" s="227"/>
      <c r="P77" s="227"/>
      <c r="Q77" s="227"/>
      <c r="R77" s="227"/>
      <c r="S77" s="227"/>
      <c r="T77" s="227"/>
      <c r="U77" s="227"/>
      <c r="V77" s="227"/>
      <c r="W77" s="227"/>
      <c r="X77" s="210"/>
      <c r="Y77" s="210"/>
      <c r="Z77" s="210"/>
      <c r="AA77" s="210"/>
      <c r="AB77" s="210"/>
      <c r="AC77" s="210"/>
      <c r="AD77" s="210"/>
      <c r="AE77" s="210"/>
      <c r="AF77" s="210"/>
      <c r="AG77" s="210"/>
      <c r="AH77" s="210"/>
      <c r="AI77" s="210"/>
      <c r="AJ77" s="210"/>
      <c r="AK77" s="210"/>
    </row>
    <row r="78" spans="1:37" s="211" customFormat="1" ht="15.75" hidden="1" customHeight="1">
      <c r="A78" s="130"/>
      <c r="B78" s="213"/>
      <c r="C78" s="229"/>
      <c r="D78" s="229"/>
      <c r="E78" s="230"/>
      <c r="F78" s="209"/>
      <c r="G78" s="227"/>
      <c r="H78" s="227"/>
      <c r="I78" s="227"/>
      <c r="J78" s="227"/>
      <c r="K78" s="227"/>
      <c r="L78" s="227"/>
      <c r="M78" s="227"/>
      <c r="N78" s="227"/>
      <c r="O78" s="227"/>
      <c r="P78" s="227"/>
      <c r="Q78" s="227"/>
      <c r="R78" s="227"/>
      <c r="S78" s="227"/>
      <c r="T78" s="227"/>
      <c r="U78" s="227"/>
      <c r="V78" s="227"/>
      <c r="W78" s="227"/>
      <c r="X78" s="210"/>
      <c r="Y78" s="210"/>
      <c r="Z78" s="210"/>
      <c r="AA78" s="210"/>
      <c r="AB78" s="210"/>
      <c r="AC78" s="210"/>
      <c r="AD78" s="210"/>
      <c r="AE78" s="210"/>
      <c r="AF78" s="210"/>
      <c r="AG78" s="210"/>
      <c r="AH78" s="210"/>
      <c r="AI78" s="210"/>
      <c r="AJ78" s="210"/>
      <c r="AK78" s="210"/>
    </row>
    <row r="79" spans="1:37" s="211" customFormat="1" ht="15.75" hidden="1" customHeight="1">
      <c r="A79" s="130"/>
      <c r="B79" s="213"/>
      <c r="C79" s="229"/>
      <c r="D79" s="229"/>
      <c r="E79" s="230"/>
      <c r="F79" s="209"/>
      <c r="G79" s="227"/>
      <c r="H79" s="227"/>
      <c r="I79" s="227"/>
      <c r="J79" s="227"/>
      <c r="K79" s="227"/>
      <c r="L79" s="227"/>
      <c r="M79" s="227"/>
      <c r="N79" s="227"/>
      <c r="O79" s="227"/>
      <c r="P79" s="227"/>
      <c r="Q79" s="227"/>
      <c r="R79" s="227"/>
      <c r="S79" s="227"/>
      <c r="T79" s="227"/>
      <c r="U79" s="227"/>
      <c r="V79" s="227"/>
      <c r="W79" s="227"/>
      <c r="X79" s="210"/>
      <c r="Y79" s="210"/>
      <c r="Z79" s="210"/>
      <c r="AA79" s="210"/>
      <c r="AB79" s="210"/>
      <c r="AC79" s="210"/>
      <c r="AD79" s="210"/>
      <c r="AE79" s="210"/>
      <c r="AF79" s="210"/>
      <c r="AG79" s="210"/>
      <c r="AH79" s="210"/>
      <c r="AI79" s="210"/>
      <c r="AJ79" s="210"/>
      <c r="AK79" s="210"/>
    </row>
    <row r="80" spans="1:37" s="211" customFormat="1" ht="15.75" hidden="1" customHeight="1">
      <c r="A80" s="130"/>
      <c r="B80" s="213"/>
      <c r="C80" s="229"/>
      <c r="D80" s="229"/>
      <c r="E80" s="230"/>
      <c r="F80" s="209"/>
      <c r="G80" s="227"/>
      <c r="H80" s="227"/>
      <c r="I80" s="227"/>
      <c r="J80" s="227"/>
      <c r="K80" s="227"/>
      <c r="L80" s="227"/>
      <c r="M80" s="227"/>
      <c r="N80" s="227"/>
      <c r="O80" s="227"/>
      <c r="P80" s="227"/>
      <c r="Q80" s="227"/>
      <c r="R80" s="227"/>
      <c r="S80" s="227"/>
      <c r="T80" s="227"/>
      <c r="U80" s="227"/>
      <c r="V80" s="227"/>
      <c r="W80" s="227"/>
      <c r="X80" s="210"/>
      <c r="Y80" s="210"/>
      <c r="Z80" s="210"/>
      <c r="AA80" s="210"/>
      <c r="AB80" s="210"/>
      <c r="AC80" s="210"/>
      <c r="AD80" s="210"/>
      <c r="AE80" s="210"/>
      <c r="AF80" s="210"/>
      <c r="AG80" s="210"/>
      <c r="AH80" s="210"/>
      <c r="AI80" s="210"/>
      <c r="AJ80" s="210"/>
      <c r="AK80" s="210"/>
    </row>
    <row r="81" spans="1:37" s="211" customFormat="1" ht="15.75" hidden="1" customHeight="1">
      <c r="A81" s="130"/>
      <c r="B81" s="213"/>
      <c r="C81" s="229"/>
      <c r="D81" s="229"/>
      <c r="E81" s="230"/>
      <c r="F81" s="209" t="e">
        <f>COUNTIF(#REF!,"=N")</f>
        <v>#REF!</v>
      </c>
      <c r="G81" s="227"/>
      <c r="H81" s="227"/>
      <c r="I81" s="227"/>
      <c r="J81" s="227"/>
      <c r="K81" s="227"/>
      <c r="L81" s="227"/>
      <c r="M81" s="227"/>
      <c r="N81" s="227"/>
      <c r="O81" s="227"/>
      <c r="P81" s="227"/>
      <c r="Q81" s="227"/>
      <c r="R81" s="227"/>
      <c r="S81" s="227"/>
      <c r="T81" s="227"/>
      <c r="U81" s="227"/>
      <c r="V81" s="227"/>
      <c r="W81" s="227"/>
      <c r="X81" s="210"/>
      <c r="Y81" s="210"/>
      <c r="Z81" s="210"/>
      <c r="AA81" s="210"/>
      <c r="AB81" s="210"/>
      <c r="AC81" s="210"/>
      <c r="AD81" s="210"/>
      <c r="AE81" s="210"/>
      <c r="AF81" s="210"/>
      <c r="AG81" s="210"/>
      <c r="AH81" s="210"/>
      <c r="AI81" s="210"/>
      <c r="AJ81" s="210"/>
      <c r="AK81" s="210"/>
    </row>
    <row r="82" spans="1:37" s="211" customFormat="1" ht="15.75" hidden="1" customHeight="1">
      <c r="A82" s="130"/>
      <c r="B82" s="213"/>
      <c r="C82" s="229"/>
      <c r="D82" s="229"/>
      <c r="E82" s="230"/>
      <c r="F82" s="209"/>
      <c r="G82" s="227"/>
      <c r="H82" s="227"/>
      <c r="I82" s="227"/>
      <c r="J82" s="227"/>
      <c r="K82" s="227"/>
      <c r="L82" s="227"/>
      <c r="M82" s="227"/>
      <c r="N82" s="227"/>
      <c r="O82" s="227"/>
      <c r="P82" s="227"/>
      <c r="Q82" s="227"/>
      <c r="R82" s="227"/>
      <c r="S82" s="227"/>
      <c r="T82" s="227"/>
      <c r="U82" s="227"/>
      <c r="V82" s="227"/>
      <c r="W82" s="227"/>
      <c r="X82" s="210"/>
      <c r="Y82" s="210"/>
      <c r="Z82" s="210"/>
      <c r="AA82" s="210"/>
      <c r="AB82" s="210"/>
      <c r="AC82" s="210"/>
      <c r="AD82" s="210"/>
      <c r="AE82" s="210"/>
      <c r="AF82" s="210"/>
      <c r="AG82" s="210"/>
      <c r="AH82" s="210"/>
      <c r="AI82" s="210"/>
      <c r="AJ82" s="210"/>
      <c r="AK82" s="210"/>
    </row>
    <row r="83" spans="1:37" s="211" customFormat="1" ht="15.75" hidden="1" customHeight="1">
      <c r="A83" s="130"/>
      <c r="B83" s="213"/>
      <c r="C83" s="229"/>
      <c r="D83" s="229"/>
      <c r="E83" s="230"/>
      <c r="F83" s="209"/>
      <c r="G83" s="227"/>
      <c r="H83" s="227"/>
      <c r="I83" s="227"/>
      <c r="J83" s="227"/>
      <c r="K83" s="227"/>
      <c r="L83" s="227"/>
      <c r="M83" s="227"/>
      <c r="N83" s="227"/>
      <c r="O83" s="227"/>
      <c r="P83" s="227"/>
      <c r="Q83" s="227"/>
      <c r="R83" s="227"/>
      <c r="S83" s="227"/>
      <c r="T83" s="227"/>
      <c r="U83" s="227"/>
      <c r="V83" s="227"/>
      <c r="W83" s="227"/>
      <c r="X83" s="210"/>
      <c r="Y83" s="210"/>
      <c r="Z83" s="210"/>
      <c r="AA83" s="210"/>
      <c r="AB83" s="210"/>
      <c r="AC83" s="210"/>
      <c r="AD83" s="210"/>
      <c r="AE83" s="210"/>
      <c r="AF83" s="210"/>
      <c r="AG83" s="210"/>
      <c r="AH83" s="210"/>
      <c r="AI83" s="210"/>
      <c r="AJ83" s="210"/>
      <c r="AK83" s="210"/>
    </row>
    <row r="84" spans="1:37" s="211" customFormat="1" ht="15.75" hidden="1" customHeight="1">
      <c r="A84" s="130"/>
      <c r="B84" s="213"/>
      <c r="C84" s="229"/>
      <c r="D84" s="229"/>
      <c r="E84" s="230"/>
      <c r="F84" s="209"/>
      <c r="G84" s="227"/>
      <c r="H84" s="227"/>
      <c r="I84" s="227"/>
      <c r="J84" s="227"/>
      <c r="K84" s="227"/>
      <c r="L84" s="227"/>
      <c r="M84" s="227"/>
      <c r="N84" s="227"/>
      <c r="O84" s="227"/>
      <c r="P84" s="227"/>
      <c r="Q84" s="227"/>
      <c r="R84" s="227"/>
      <c r="S84" s="227"/>
      <c r="T84" s="227"/>
      <c r="U84" s="227"/>
      <c r="V84" s="227"/>
      <c r="W84" s="227"/>
      <c r="X84" s="210"/>
      <c r="Y84" s="210"/>
      <c r="Z84" s="210"/>
      <c r="AA84" s="210"/>
      <c r="AB84" s="210"/>
      <c r="AC84" s="210"/>
      <c r="AD84" s="210"/>
      <c r="AE84" s="210"/>
      <c r="AF84" s="210"/>
      <c r="AG84" s="210"/>
      <c r="AH84" s="210"/>
      <c r="AI84" s="210"/>
      <c r="AJ84" s="210"/>
      <c r="AK84" s="210"/>
    </row>
    <row r="85" spans="1:37" s="211" customFormat="1" ht="15.75" hidden="1" customHeight="1">
      <c r="A85" s="130"/>
      <c r="B85" s="213"/>
      <c r="C85" s="229"/>
      <c r="D85" s="229"/>
      <c r="E85" s="230"/>
      <c r="F85" s="209"/>
      <c r="G85" s="227"/>
      <c r="H85" s="227"/>
      <c r="I85" s="227"/>
      <c r="J85" s="227"/>
      <c r="K85" s="227"/>
      <c r="L85" s="227"/>
      <c r="M85" s="227"/>
      <c r="N85" s="227"/>
      <c r="O85" s="227"/>
      <c r="P85" s="227"/>
      <c r="Q85" s="227"/>
      <c r="R85" s="227"/>
      <c r="S85" s="227"/>
      <c r="T85" s="227"/>
      <c r="U85" s="227"/>
      <c r="V85" s="227"/>
      <c r="W85" s="227"/>
      <c r="X85" s="210"/>
      <c r="Y85" s="210"/>
      <c r="Z85" s="210"/>
      <c r="AA85" s="210"/>
      <c r="AB85" s="210"/>
      <c r="AC85" s="210"/>
      <c r="AD85" s="210"/>
      <c r="AE85" s="210"/>
      <c r="AF85" s="210"/>
      <c r="AG85" s="210"/>
      <c r="AH85" s="210"/>
      <c r="AI85" s="210"/>
      <c r="AJ85" s="210"/>
      <c r="AK85" s="210"/>
    </row>
    <row r="86" spans="1:37" s="211" customFormat="1" ht="15.75" hidden="1" customHeight="1">
      <c r="A86" s="130"/>
      <c r="B86" s="213"/>
      <c r="C86" s="229"/>
      <c r="D86" s="229"/>
      <c r="E86" s="230"/>
      <c r="F86" s="209"/>
      <c r="G86" s="227"/>
      <c r="H86" s="227"/>
      <c r="I86" s="227"/>
      <c r="J86" s="227"/>
      <c r="K86" s="227"/>
      <c r="L86" s="227"/>
      <c r="M86" s="227"/>
      <c r="N86" s="227"/>
      <c r="O86" s="227"/>
      <c r="P86" s="227"/>
      <c r="Q86" s="227"/>
      <c r="R86" s="227"/>
      <c r="S86" s="227"/>
      <c r="T86" s="227"/>
      <c r="U86" s="227"/>
      <c r="V86" s="227"/>
      <c r="W86" s="227"/>
      <c r="X86" s="210"/>
      <c r="Y86" s="210"/>
      <c r="Z86" s="210"/>
      <c r="AA86" s="210"/>
      <c r="AB86" s="210"/>
      <c r="AC86" s="210"/>
      <c r="AD86" s="210"/>
      <c r="AE86" s="210"/>
      <c r="AF86" s="210"/>
      <c r="AG86" s="210"/>
      <c r="AH86" s="210"/>
      <c r="AI86" s="210"/>
      <c r="AJ86" s="210"/>
      <c r="AK86" s="210"/>
    </row>
    <row r="87" spans="1:37" s="211" customFormat="1" ht="15.75" hidden="1" customHeight="1">
      <c r="A87" s="130"/>
      <c r="B87" s="213"/>
      <c r="C87" s="229"/>
      <c r="D87" s="229"/>
      <c r="E87" s="230"/>
      <c r="F87" s="209"/>
      <c r="G87" s="227"/>
      <c r="H87" s="227"/>
      <c r="I87" s="227"/>
      <c r="J87" s="227"/>
      <c r="K87" s="227"/>
      <c r="L87" s="227"/>
      <c r="M87" s="227"/>
      <c r="N87" s="227"/>
      <c r="O87" s="227"/>
      <c r="P87" s="227"/>
      <c r="Q87" s="227"/>
      <c r="R87" s="227"/>
      <c r="S87" s="227"/>
      <c r="T87" s="227"/>
      <c r="U87" s="227"/>
      <c r="V87" s="227"/>
      <c r="W87" s="227"/>
      <c r="X87" s="210"/>
      <c r="Y87" s="210"/>
      <c r="Z87" s="210"/>
      <c r="AA87" s="210"/>
      <c r="AB87" s="210"/>
      <c r="AC87" s="210"/>
      <c r="AD87" s="210"/>
      <c r="AE87" s="210"/>
      <c r="AF87" s="210"/>
      <c r="AG87" s="210"/>
      <c r="AH87" s="210"/>
      <c r="AI87" s="210"/>
      <c r="AJ87" s="210"/>
      <c r="AK87" s="210"/>
    </row>
    <row r="88" spans="1:37" s="211" customFormat="1" ht="15.75" hidden="1" customHeight="1">
      <c r="A88" s="130"/>
      <c r="B88" s="213"/>
      <c r="C88" s="229"/>
      <c r="D88" s="229"/>
      <c r="E88" s="230"/>
      <c r="F88" s="209"/>
      <c r="G88" s="227"/>
      <c r="H88" s="227"/>
      <c r="I88" s="227"/>
      <c r="J88" s="227"/>
      <c r="K88" s="227"/>
      <c r="L88" s="227"/>
      <c r="M88" s="227"/>
      <c r="N88" s="227"/>
      <c r="O88" s="227"/>
      <c r="P88" s="227"/>
      <c r="Q88" s="227"/>
      <c r="R88" s="227"/>
      <c r="S88" s="227"/>
      <c r="T88" s="227"/>
      <c r="U88" s="227"/>
      <c r="V88" s="227"/>
      <c r="W88" s="227"/>
      <c r="X88" s="210"/>
      <c r="Y88" s="210"/>
      <c r="Z88" s="210"/>
      <c r="AA88" s="210"/>
      <c r="AB88" s="210"/>
      <c r="AC88" s="210"/>
      <c r="AD88" s="210"/>
      <c r="AE88" s="210"/>
      <c r="AF88" s="210"/>
      <c r="AG88" s="210"/>
      <c r="AH88" s="210"/>
      <c r="AI88" s="210"/>
      <c r="AJ88" s="210"/>
      <c r="AK88" s="210"/>
    </row>
    <row r="89" spans="1:37" s="211" customFormat="1" ht="15.75" hidden="1" customHeight="1">
      <c r="A89" s="130"/>
      <c r="B89" s="213"/>
      <c r="C89" s="229"/>
      <c r="D89" s="229"/>
      <c r="E89" s="230"/>
      <c r="F89" s="209" t="e">
        <f>COUNTIF(#REF!,"=N")</f>
        <v>#REF!</v>
      </c>
      <c r="G89" s="227"/>
      <c r="H89" s="227"/>
      <c r="I89" s="227"/>
      <c r="J89" s="227"/>
      <c r="K89" s="227"/>
      <c r="L89" s="227"/>
      <c r="M89" s="227"/>
      <c r="N89" s="227"/>
      <c r="O89" s="227"/>
      <c r="P89" s="227"/>
      <c r="Q89" s="227"/>
      <c r="R89" s="227"/>
      <c r="S89" s="227"/>
      <c r="T89" s="227"/>
      <c r="U89" s="227"/>
      <c r="V89" s="227"/>
      <c r="W89" s="227"/>
      <c r="X89" s="210"/>
      <c r="Y89" s="210"/>
      <c r="Z89" s="210"/>
      <c r="AA89" s="210"/>
      <c r="AB89" s="210"/>
      <c r="AC89" s="210"/>
      <c r="AD89" s="210"/>
      <c r="AE89" s="210"/>
      <c r="AF89" s="210"/>
      <c r="AG89" s="210"/>
      <c r="AH89" s="210"/>
      <c r="AI89" s="210"/>
      <c r="AJ89" s="210"/>
      <c r="AK89" s="210"/>
    </row>
    <row r="90" spans="1:37" s="211" customFormat="1" ht="15.75" hidden="1" customHeight="1">
      <c r="A90" s="130"/>
      <c r="B90" s="213"/>
      <c r="C90" s="229"/>
      <c r="D90" s="229"/>
      <c r="E90" s="230"/>
      <c r="F90" s="209"/>
      <c r="G90" s="227"/>
      <c r="H90" s="227"/>
      <c r="I90" s="227"/>
      <c r="J90" s="227"/>
      <c r="K90" s="227"/>
      <c r="L90" s="227"/>
      <c r="M90" s="227"/>
      <c r="N90" s="227"/>
      <c r="O90" s="227"/>
      <c r="P90" s="227"/>
      <c r="Q90" s="227"/>
      <c r="R90" s="227"/>
      <c r="S90" s="227"/>
      <c r="T90" s="227"/>
      <c r="U90" s="227"/>
      <c r="V90" s="227"/>
      <c r="W90" s="227"/>
      <c r="X90" s="210"/>
      <c r="Y90" s="210"/>
      <c r="Z90" s="210"/>
      <c r="AA90" s="210"/>
      <c r="AB90" s="210"/>
      <c r="AC90" s="210"/>
      <c r="AD90" s="210"/>
      <c r="AE90" s="210"/>
      <c r="AF90" s="210"/>
      <c r="AG90" s="210"/>
      <c r="AH90" s="210"/>
      <c r="AI90" s="210"/>
      <c r="AJ90" s="210"/>
      <c r="AK90" s="210"/>
    </row>
    <row r="91" spans="1:37" s="211" customFormat="1" ht="15.75" hidden="1" customHeight="1">
      <c r="A91" s="130"/>
      <c r="B91" s="213"/>
      <c r="C91" s="229"/>
      <c r="D91" s="229"/>
      <c r="E91" s="230"/>
      <c r="F91" s="209"/>
      <c r="G91" s="227"/>
      <c r="H91" s="227"/>
      <c r="I91" s="227"/>
      <c r="J91" s="227"/>
      <c r="K91" s="227"/>
      <c r="L91" s="227"/>
      <c r="M91" s="227"/>
      <c r="N91" s="227"/>
      <c r="O91" s="227"/>
      <c r="P91" s="227"/>
      <c r="Q91" s="227"/>
      <c r="R91" s="227"/>
      <c r="S91" s="227"/>
      <c r="T91" s="227"/>
      <c r="U91" s="227"/>
      <c r="V91" s="227"/>
      <c r="W91" s="227"/>
      <c r="X91" s="210"/>
      <c r="Y91" s="210"/>
      <c r="Z91" s="210"/>
      <c r="AA91" s="210"/>
      <c r="AB91" s="210"/>
      <c r="AC91" s="210"/>
      <c r="AD91" s="210"/>
      <c r="AE91" s="210"/>
      <c r="AF91" s="210"/>
      <c r="AG91" s="210"/>
      <c r="AH91" s="210"/>
      <c r="AI91" s="210"/>
      <c r="AJ91" s="210"/>
      <c r="AK91" s="210"/>
    </row>
    <row r="92" spans="1:37" s="211" customFormat="1" ht="15.75" hidden="1" customHeight="1">
      <c r="A92" s="130"/>
      <c r="B92" s="213"/>
      <c r="C92" s="229"/>
      <c r="D92" s="229"/>
      <c r="E92" s="230"/>
      <c r="F92" s="209"/>
      <c r="G92" s="227"/>
      <c r="H92" s="227"/>
      <c r="I92" s="227"/>
      <c r="J92" s="227"/>
      <c r="K92" s="227"/>
      <c r="L92" s="227"/>
      <c r="M92" s="227"/>
      <c r="N92" s="227"/>
      <c r="O92" s="227"/>
      <c r="P92" s="227"/>
      <c r="Q92" s="227"/>
      <c r="R92" s="227"/>
      <c r="S92" s="227"/>
      <c r="T92" s="227"/>
      <c r="U92" s="227"/>
      <c r="V92" s="227"/>
      <c r="W92" s="227"/>
      <c r="X92" s="210"/>
      <c r="Y92" s="210"/>
      <c r="Z92" s="210"/>
      <c r="AA92" s="210"/>
      <c r="AB92" s="210"/>
      <c r="AC92" s="210"/>
      <c r="AD92" s="210"/>
      <c r="AE92" s="210"/>
      <c r="AF92" s="210"/>
      <c r="AG92" s="210"/>
      <c r="AH92" s="210"/>
      <c r="AI92" s="210"/>
      <c r="AJ92" s="210"/>
      <c r="AK92" s="210"/>
    </row>
    <row r="93" spans="1:37" s="211" customFormat="1" ht="15.75" hidden="1" customHeight="1">
      <c r="A93" s="130"/>
      <c r="B93" s="213"/>
      <c r="C93" s="229"/>
      <c r="D93" s="229"/>
      <c r="E93" s="230"/>
      <c r="F93" s="209" t="e">
        <f>COUNTIF(#REF!,"=N")</f>
        <v>#REF!</v>
      </c>
      <c r="G93" s="227"/>
      <c r="H93" s="227"/>
      <c r="I93" s="227"/>
      <c r="J93" s="227"/>
      <c r="K93" s="227"/>
      <c r="L93" s="227"/>
      <c r="M93" s="227"/>
      <c r="N93" s="227"/>
      <c r="O93" s="227"/>
      <c r="P93" s="227"/>
      <c r="Q93" s="227"/>
      <c r="R93" s="227"/>
      <c r="S93" s="227"/>
      <c r="T93" s="227"/>
      <c r="U93" s="227"/>
      <c r="V93" s="227"/>
      <c r="W93" s="227"/>
      <c r="X93" s="210"/>
      <c r="Y93" s="210"/>
      <c r="Z93" s="210"/>
      <c r="AA93" s="210"/>
      <c r="AB93" s="210"/>
      <c r="AC93" s="210"/>
      <c r="AD93" s="210"/>
      <c r="AE93" s="210"/>
      <c r="AF93" s="210"/>
      <c r="AG93" s="210"/>
      <c r="AH93" s="210"/>
      <c r="AI93" s="210"/>
      <c r="AJ93" s="210"/>
      <c r="AK93" s="210"/>
    </row>
    <row r="94" spans="1:37" s="211" customFormat="1" ht="15.75" hidden="1" customHeight="1">
      <c r="A94" s="130"/>
      <c r="B94" s="213"/>
      <c r="C94" s="229"/>
      <c r="D94" s="229"/>
      <c r="E94" s="230"/>
      <c r="F94" s="209"/>
      <c r="G94" s="227"/>
      <c r="H94" s="227"/>
      <c r="I94" s="227"/>
      <c r="J94" s="227"/>
      <c r="K94" s="227"/>
      <c r="L94" s="227"/>
      <c r="M94" s="227"/>
      <c r="N94" s="227"/>
      <c r="O94" s="227"/>
      <c r="P94" s="227"/>
      <c r="Q94" s="227"/>
      <c r="R94" s="227"/>
      <c r="S94" s="227"/>
      <c r="T94" s="227"/>
      <c r="U94" s="227"/>
      <c r="V94" s="227"/>
      <c r="W94" s="227"/>
      <c r="X94" s="210"/>
      <c r="Y94" s="210"/>
      <c r="Z94" s="210"/>
      <c r="AA94" s="210"/>
      <c r="AB94" s="210"/>
      <c r="AC94" s="210"/>
      <c r="AD94" s="210"/>
      <c r="AE94" s="210"/>
      <c r="AF94" s="210"/>
      <c r="AG94" s="210"/>
      <c r="AH94" s="210"/>
      <c r="AI94" s="210"/>
      <c r="AJ94" s="210"/>
      <c r="AK94" s="210"/>
    </row>
    <row r="95" spans="1:37" s="211" customFormat="1" ht="15.75" hidden="1" customHeight="1">
      <c r="A95" s="130"/>
      <c r="B95" s="213"/>
      <c r="C95" s="229"/>
      <c r="D95" s="229"/>
      <c r="E95" s="230"/>
      <c r="F95" s="209"/>
      <c r="G95" s="227"/>
      <c r="H95" s="227"/>
      <c r="I95" s="227"/>
      <c r="J95" s="227"/>
      <c r="K95" s="227"/>
      <c r="L95" s="227"/>
      <c r="M95" s="227"/>
      <c r="N95" s="227"/>
      <c r="O95" s="227"/>
      <c r="P95" s="227"/>
      <c r="Q95" s="227"/>
      <c r="R95" s="227"/>
      <c r="S95" s="227"/>
      <c r="T95" s="227"/>
      <c r="U95" s="227"/>
      <c r="V95" s="227"/>
      <c r="W95" s="227"/>
      <c r="X95" s="210"/>
      <c r="Y95" s="210"/>
      <c r="Z95" s="210"/>
      <c r="AA95" s="210"/>
      <c r="AB95" s="210"/>
      <c r="AC95" s="210"/>
      <c r="AD95" s="210"/>
      <c r="AE95" s="210"/>
      <c r="AF95" s="210"/>
      <c r="AG95" s="210"/>
      <c r="AH95" s="210"/>
      <c r="AI95" s="210"/>
      <c r="AJ95" s="210"/>
      <c r="AK95" s="210"/>
    </row>
    <row r="96" spans="1:37" s="211" customFormat="1" ht="15.75" hidden="1" customHeight="1">
      <c r="A96" s="130"/>
      <c r="B96" s="213"/>
      <c r="C96" s="229"/>
      <c r="D96" s="229"/>
      <c r="E96" s="230"/>
      <c r="F96" s="209"/>
      <c r="G96" s="227"/>
      <c r="H96" s="227"/>
      <c r="I96" s="227"/>
      <c r="J96" s="227"/>
      <c r="K96" s="227"/>
      <c r="L96" s="227"/>
      <c r="M96" s="227"/>
      <c r="N96" s="227"/>
      <c r="O96" s="227"/>
      <c r="P96" s="227"/>
      <c r="Q96" s="227"/>
      <c r="R96" s="227"/>
      <c r="S96" s="227"/>
      <c r="T96" s="227"/>
      <c r="U96" s="227"/>
      <c r="V96" s="227"/>
      <c r="W96" s="227"/>
      <c r="X96" s="210"/>
      <c r="Y96" s="210"/>
      <c r="Z96" s="210"/>
      <c r="AA96" s="210"/>
      <c r="AB96" s="210"/>
      <c r="AC96" s="210"/>
      <c r="AD96" s="210"/>
      <c r="AE96" s="210"/>
      <c r="AF96" s="210"/>
      <c r="AG96" s="210"/>
      <c r="AH96" s="210"/>
      <c r="AI96" s="210"/>
      <c r="AJ96" s="210"/>
      <c r="AK96" s="210"/>
    </row>
    <row r="97" spans="1:37" s="211" customFormat="1" ht="15.75" hidden="1" customHeight="1">
      <c r="A97" s="130"/>
      <c r="B97" s="213"/>
      <c r="C97" s="229"/>
      <c r="D97" s="229"/>
      <c r="E97" s="230"/>
      <c r="F97" s="209" t="e">
        <f>COUNTIF(#REF!,"=N")</f>
        <v>#REF!</v>
      </c>
      <c r="G97" s="227"/>
      <c r="H97" s="227"/>
      <c r="I97" s="227"/>
      <c r="J97" s="227"/>
      <c r="K97" s="227"/>
      <c r="L97" s="227"/>
      <c r="M97" s="227"/>
      <c r="N97" s="227"/>
      <c r="O97" s="227"/>
      <c r="P97" s="227"/>
      <c r="Q97" s="227"/>
      <c r="R97" s="227"/>
      <c r="S97" s="227"/>
      <c r="T97" s="227"/>
      <c r="U97" s="227"/>
      <c r="V97" s="227"/>
      <c r="W97" s="227"/>
      <c r="X97" s="210"/>
      <c r="Y97" s="210"/>
      <c r="Z97" s="210"/>
      <c r="AA97" s="210"/>
      <c r="AB97" s="210"/>
      <c r="AC97" s="210"/>
      <c r="AD97" s="210"/>
      <c r="AE97" s="210"/>
      <c r="AF97" s="210"/>
      <c r="AG97" s="210"/>
      <c r="AH97" s="210"/>
      <c r="AI97" s="210"/>
      <c r="AJ97" s="210"/>
      <c r="AK97" s="210"/>
    </row>
    <row r="98" spans="1:37" s="211" customFormat="1" ht="15.75" hidden="1" customHeight="1">
      <c r="A98" s="130"/>
      <c r="B98" s="213"/>
      <c r="C98" s="229"/>
      <c r="D98" s="229"/>
      <c r="E98" s="230"/>
      <c r="F98" s="209"/>
      <c r="G98" s="227"/>
      <c r="H98" s="227"/>
      <c r="I98" s="227"/>
      <c r="J98" s="227"/>
      <c r="K98" s="227"/>
      <c r="L98" s="227"/>
      <c r="M98" s="227"/>
      <c r="N98" s="227"/>
      <c r="O98" s="227"/>
      <c r="P98" s="227"/>
      <c r="Q98" s="227"/>
      <c r="R98" s="227"/>
      <c r="S98" s="227"/>
      <c r="T98" s="227"/>
      <c r="U98" s="227"/>
      <c r="V98" s="227"/>
      <c r="W98" s="227"/>
      <c r="X98" s="210"/>
      <c r="Y98" s="210"/>
      <c r="Z98" s="210"/>
      <c r="AA98" s="210"/>
      <c r="AB98" s="210"/>
      <c r="AC98" s="210"/>
      <c r="AD98" s="210"/>
      <c r="AE98" s="210"/>
      <c r="AF98" s="210"/>
      <c r="AG98" s="210"/>
      <c r="AH98" s="210"/>
      <c r="AI98" s="210"/>
      <c r="AJ98" s="210"/>
      <c r="AK98" s="210"/>
    </row>
    <row r="99" spans="1:37" s="211" customFormat="1" ht="15.75" hidden="1" customHeight="1">
      <c r="A99" s="130"/>
      <c r="B99" s="213"/>
      <c r="C99" s="229"/>
      <c r="D99" s="229"/>
      <c r="E99" s="230"/>
      <c r="F99" s="209"/>
      <c r="G99" s="227"/>
      <c r="H99" s="227"/>
      <c r="I99" s="227"/>
      <c r="J99" s="227"/>
      <c r="K99" s="227"/>
      <c r="L99" s="227"/>
      <c r="M99" s="227"/>
      <c r="N99" s="227"/>
      <c r="O99" s="227"/>
      <c r="P99" s="227"/>
      <c r="Q99" s="227"/>
      <c r="R99" s="227"/>
      <c r="S99" s="227"/>
      <c r="T99" s="227"/>
      <c r="U99" s="227"/>
      <c r="V99" s="227"/>
      <c r="W99" s="227"/>
      <c r="X99" s="210"/>
      <c r="Y99" s="210"/>
      <c r="Z99" s="210"/>
      <c r="AA99" s="210"/>
      <c r="AB99" s="210"/>
      <c r="AC99" s="210"/>
      <c r="AD99" s="210"/>
      <c r="AE99" s="210"/>
      <c r="AF99" s="210"/>
      <c r="AG99" s="210"/>
      <c r="AH99" s="210"/>
      <c r="AI99" s="210"/>
      <c r="AJ99" s="210"/>
      <c r="AK99" s="210"/>
    </row>
    <row r="100" spans="1:37" s="211" customFormat="1" ht="15.75" hidden="1" customHeight="1">
      <c r="A100" s="130"/>
      <c r="B100" s="213"/>
      <c r="C100" s="229"/>
      <c r="D100" s="229"/>
      <c r="E100" s="230"/>
      <c r="F100" s="209"/>
      <c r="G100" s="227"/>
      <c r="H100" s="227"/>
      <c r="I100" s="227"/>
      <c r="J100" s="227"/>
      <c r="K100" s="227"/>
      <c r="L100" s="227"/>
      <c r="M100" s="227"/>
      <c r="N100" s="227"/>
      <c r="O100" s="227"/>
      <c r="P100" s="227"/>
      <c r="Q100" s="227"/>
      <c r="R100" s="227"/>
      <c r="S100" s="227"/>
      <c r="T100" s="227"/>
      <c r="U100" s="227"/>
      <c r="V100" s="227"/>
      <c r="W100" s="227"/>
      <c r="X100" s="210"/>
      <c r="Y100" s="210"/>
      <c r="Z100" s="210"/>
      <c r="AA100" s="210"/>
      <c r="AB100" s="210"/>
      <c r="AC100" s="210"/>
      <c r="AD100" s="210"/>
      <c r="AE100" s="210"/>
      <c r="AF100" s="210"/>
      <c r="AG100" s="210"/>
      <c r="AH100" s="210"/>
      <c r="AI100" s="210"/>
      <c r="AJ100" s="210"/>
      <c r="AK100" s="210"/>
    </row>
    <row r="101" spans="1:37" s="211" customFormat="1" ht="15.75" hidden="1" customHeight="1">
      <c r="A101" s="130"/>
      <c r="B101" s="213"/>
      <c r="C101" s="229"/>
      <c r="D101" s="229"/>
      <c r="E101" s="230"/>
      <c r="F101" s="209"/>
      <c r="G101" s="227"/>
      <c r="H101" s="227"/>
      <c r="I101" s="227"/>
      <c r="J101" s="227"/>
      <c r="K101" s="227"/>
      <c r="L101" s="227"/>
      <c r="M101" s="227"/>
      <c r="N101" s="227"/>
      <c r="O101" s="227"/>
      <c r="P101" s="227"/>
      <c r="Q101" s="227"/>
      <c r="R101" s="227"/>
      <c r="S101" s="227"/>
      <c r="T101" s="227"/>
      <c r="U101" s="227"/>
      <c r="V101" s="227"/>
      <c r="W101" s="227"/>
      <c r="X101" s="210"/>
      <c r="Y101" s="210"/>
      <c r="Z101" s="210"/>
      <c r="AA101" s="210"/>
      <c r="AB101" s="210"/>
      <c r="AC101" s="210"/>
      <c r="AD101" s="210"/>
      <c r="AE101" s="210"/>
      <c r="AF101" s="210"/>
      <c r="AG101" s="210"/>
      <c r="AH101" s="210"/>
      <c r="AI101" s="210"/>
      <c r="AJ101" s="210"/>
      <c r="AK101" s="210"/>
    </row>
    <row r="102" spans="1:37" s="211" customFormat="1" ht="15.75" hidden="1" customHeight="1">
      <c r="A102" s="130"/>
      <c r="B102" s="213"/>
      <c r="C102" s="229"/>
      <c r="D102" s="229"/>
      <c r="E102" s="230"/>
      <c r="F102" s="209" t="e">
        <f>COUNTIF(#REF!,"=N")</f>
        <v>#REF!</v>
      </c>
      <c r="G102" s="227"/>
      <c r="H102" s="227"/>
      <c r="I102" s="227"/>
      <c r="J102" s="227"/>
      <c r="K102" s="227"/>
      <c r="L102" s="227"/>
      <c r="M102" s="227"/>
      <c r="N102" s="227"/>
      <c r="O102" s="227"/>
      <c r="P102" s="227"/>
      <c r="Q102" s="227"/>
      <c r="R102" s="227"/>
      <c r="S102" s="227"/>
      <c r="T102" s="227"/>
      <c r="U102" s="227"/>
      <c r="V102" s="227"/>
      <c r="W102" s="227"/>
      <c r="X102" s="210"/>
      <c r="Y102" s="210"/>
      <c r="Z102" s="210"/>
      <c r="AA102" s="210"/>
      <c r="AB102" s="210"/>
      <c r="AC102" s="210"/>
      <c r="AD102" s="210"/>
      <c r="AE102" s="210"/>
      <c r="AF102" s="210"/>
      <c r="AG102" s="210"/>
      <c r="AH102" s="210"/>
      <c r="AI102" s="210"/>
      <c r="AJ102" s="210"/>
      <c r="AK102" s="210"/>
    </row>
    <row r="103" spans="1:37" s="211" customFormat="1" ht="15.75" hidden="1" customHeight="1">
      <c r="A103" s="130"/>
      <c r="B103" s="213"/>
      <c r="C103" s="229"/>
      <c r="D103" s="229"/>
      <c r="E103" s="230"/>
      <c r="F103" s="209"/>
      <c r="G103" s="227"/>
      <c r="H103" s="227"/>
      <c r="I103" s="227"/>
      <c r="J103" s="227"/>
      <c r="K103" s="227"/>
      <c r="L103" s="227"/>
      <c r="M103" s="227"/>
      <c r="N103" s="227"/>
      <c r="O103" s="227"/>
      <c r="P103" s="227"/>
      <c r="Q103" s="227"/>
      <c r="R103" s="227"/>
      <c r="S103" s="227"/>
      <c r="T103" s="227"/>
      <c r="U103" s="227"/>
      <c r="V103" s="227"/>
      <c r="W103" s="227"/>
      <c r="X103" s="210"/>
      <c r="Y103" s="210"/>
      <c r="Z103" s="210"/>
      <c r="AA103" s="210"/>
      <c r="AB103" s="210"/>
      <c r="AC103" s="210"/>
      <c r="AD103" s="210"/>
      <c r="AE103" s="210"/>
      <c r="AF103" s="210"/>
      <c r="AG103" s="210"/>
      <c r="AH103" s="210"/>
      <c r="AI103" s="210"/>
      <c r="AJ103" s="210"/>
      <c r="AK103" s="210"/>
    </row>
    <row r="104" spans="1:37" s="211" customFormat="1" ht="15.75" hidden="1" customHeight="1">
      <c r="A104" s="130"/>
      <c r="B104" s="213"/>
      <c r="C104" s="229"/>
      <c r="D104" s="229"/>
      <c r="E104" s="230"/>
      <c r="F104" s="209"/>
      <c r="G104" s="227"/>
      <c r="H104" s="227"/>
      <c r="I104" s="227"/>
      <c r="J104" s="227"/>
      <c r="K104" s="227"/>
      <c r="L104" s="227"/>
      <c r="M104" s="227"/>
      <c r="N104" s="227"/>
      <c r="O104" s="227"/>
      <c r="P104" s="227"/>
      <c r="Q104" s="227"/>
      <c r="R104" s="227"/>
      <c r="S104" s="227"/>
      <c r="T104" s="227"/>
      <c r="U104" s="227"/>
      <c r="V104" s="227"/>
      <c r="W104" s="227"/>
      <c r="X104" s="210"/>
      <c r="Y104" s="210"/>
      <c r="Z104" s="210"/>
      <c r="AA104" s="210"/>
      <c r="AB104" s="210"/>
      <c r="AC104" s="210"/>
      <c r="AD104" s="210"/>
      <c r="AE104" s="210"/>
      <c r="AF104" s="210"/>
      <c r="AG104" s="210"/>
      <c r="AH104" s="210"/>
      <c r="AI104" s="210"/>
      <c r="AJ104" s="210"/>
      <c r="AK104" s="210"/>
    </row>
    <row r="105" spans="1:37" s="211" customFormat="1" ht="15.75" hidden="1" customHeight="1">
      <c r="A105" s="130"/>
      <c r="B105" s="213"/>
      <c r="C105" s="229"/>
      <c r="D105" s="229"/>
      <c r="E105" s="230"/>
      <c r="F105" s="209"/>
      <c r="G105" s="227"/>
      <c r="H105" s="227"/>
      <c r="I105" s="227"/>
      <c r="J105" s="227"/>
      <c r="K105" s="227"/>
      <c r="L105" s="227"/>
      <c r="M105" s="227"/>
      <c r="N105" s="227"/>
      <c r="O105" s="227"/>
      <c r="P105" s="227"/>
      <c r="Q105" s="227"/>
      <c r="R105" s="227"/>
      <c r="S105" s="227"/>
      <c r="T105" s="227"/>
      <c r="U105" s="227"/>
      <c r="V105" s="227"/>
      <c r="W105" s="227"/>
      <c r="X105" s="210"/>
      <c r="Y105" s="210"/>
      <c r="Z105" s="210"/>
      <c r="AA105" s="210"/>
      <c r="AB105" s="210"/>
      <c r="AC105" s="210"/>
      <c r="AD105" s="210"/>
      <c r="AE105" s="210"/>
      <c r="AF105" s="210"/>
      <c r="AG105" s="210"/>
      <c r="AH105" s="210"/>
      <c r="AI105" s="210"/>
      <c r="AJ105" s="210"/>
      <c r="AK105" s="210"/>
    </row>
    <row r="106" spans="1:37" s="211" customFormat="1" ht="15.75" hidden="1" customHeight="1">
      <c r="A106" s="130"/>
      <c r="B106" s="213"/>
      <c r="C106" s="229"/>
      <c r="D106" s="229"/>
      <c r="E106" s="230"/>
      <c r="F106" s="209" t="e">
        <f>COUNTIF(#REF!,"=N")</f>
        <v>#REF!</v>
      </c>
      <c r="G106" s="227"/>
      <c r="H106" s="227"/>
      <c r="I106" s="227"/>
      <c r="J106" s="227"/>
      <c r="K106" s="227"/>
      <c r="L106" s="227"/>
      <c r="M106" s="227"/>
      <c r="N106" s="227"/>
      <c r="O106" s="227"/>
      <c r="P106" s="227"/>
      <c r="Q106" s="227"/>
      <c r="R106" s="227"/>
      <c r="S106" s="227"/>
      <c r="T106" s="227"/>
      <c r="U106" s="227"/>
      <c r="V106" s="227"/>
      <c r="W106" s="227"/>
      <c r="X106" s="210"/>
      <c r="Y106" s="210"/>
      <c r="Z106" s="210"/>
      <c r="AA106" s="210"/>
      <c r="AB106" s="210"/>
      <c r="AC106" s="210"/>
      <c r="AD106" s="210"/>
      <c r="AE106" s="210"/>
      <c r="AF106" s="210"/>
      <c r="AG106" s="210"/>
      <c r="AH106" s="210"/>
      <c r="AI106" s="210"/>
      <c r="AJ106" s="210"/>
      <c r="AK106" s="210"/>
    </row>
    <row r="107" spans="1:37" s="211" customFormat="1" ht="15.75" hidden="1" customHeight="1">
      <c r="A107" s="130"/>
      <c r="B107" s="213"/>
      <c r="C107" s="229"/>
      <c r="D107" s="229"/>
      <c r="E107" s="230"/>
      <c r="F107" s="209"/>
      <c r="G107" s="227"/>
      <c r="H107" s="227"/>
      <c r="I107" s="227"/>
      <c r="J107" s="227"/>
      <c r="K107" s="227"/>
      <c r="L107" s="227"/>
      <c r="M107" s="227"/>
      <c r="N107" s="227"/>
      <c r="O107" s="227"/>
      <c r="P107" s="227"/>
      <c r="Q107" s="227"/>
      <c r="R107" s="227"/>
      <c r="S107" s="227"/>
      <c r="T107" s="227"/>
      <c r="U107" s="227"/>
      <c r="V107" s="227"/>
      <c r="W107" s="227"/>
      <c r="X107" s="210"/>
      <c r="Y107" s="210"/>
      <c r="Z107" s="210"/>
      <c r="AA107" s="210"/>
      <c r="AB107" s="210"/>
      <c r="AC107" s="210"/>
      <c r="AD107" s="210"/>
      <c r="AE107" s="210"/>
      <c r="AF107" s="210"/>
      <c r="AG107" s="210"/>
      <c r="AH107" s="210"/>
      <c r="AI107" s="210"/>
      <c r="AJ107" s="210"/>
      <c r="AK107" s="210"/>
    </row>
    <row r="108" spans="1:37" s="211" customFormat="1" ht="15.75" hidden="1" customHeight="1">
      <c r="A108" s="130"/>
      <c r="B108" s="213"/>
      <c r="C108" s="229"/>
      <c r="D108" s="229"/>
      <c r="E108" s="230"/>
      <c r="F108" s="209"/>
      <c r="G108" s="227"/>
      <c r="H108" s="227"/>
      <c r="I108" s="227"/>
      <c r="J108" s="227"/>
      <c r="K108" s="227"/>
      <c r="L108" s="227"/>
      <c r="M108" s="227"/>
      <c r="N108" s="227"/>
      <c r="O108" s="227"/>
      <c r="P108" s="227"/>
      <c r="Q108" s="227"/>
      <c r="R108" s="227"/>
      <c r="S108" s="227"/>
      <c r="T108" s="227"/>
      <c r="U108" s="227"/>
      <c r="V108" s="227"/>
      <c r="W108" s="227"/>
      <c r="X108" s="210"/>
      <c r="Y108" s="210"/>
      <c r="Z108" s="210"/>
      <c r="AA108" s="210"/>
      <c r="AB108" s="210"/>
      <c r="AC108" s="210"/>
      <c r="AD108" s="210"/>
      <c r="AE108" s="210"/>
      <c r="AF108" s="210"/>
      <c r="AG108" s="210"/>
      <c r="AH108" s="210"/>
      <c r="AI108" s="210"/>
      <c r="AJ108" s="210"/>
      <c r="AK108" s="210"/>
    </row>
    <row r="109" spans="1:37" s="211" customFormat="1" ht="15.75" hidden="1" customHeight="1">
      <c r="A109" s="130"/>
      <c r="B109" s="213"/>
      <c r="C109" s="229"/>
      <c r="D109" s="229"/>
      <c r="E109" s="230"/>
      <c r="F109" s="209"/>
      <c r="G109" s="227"/>
      <c r="H109" s="227"/>
      <c r="I109" s="227"/>
      <c r="J109" s="227"/>
      <c r="K109" s="227"/>
      <c r="L109" s="227"/>
      <c r="M109" s="227"/>
      <c r="N109" s="227"/>
      <c r="O109" s="227"/>
      <c r="P109" s="227"/>
      <c r="Q109" s="227"/>
      <c r="R109" s="227"/>
      <c r="S109" s="227"/>
      <c r="T109" s="227"/>
      <c r="U109" s="227"/>
      <c r="V109" s="227"/>
      <c r="W109" s="227"/>
      <c r="X109" s="210"/>
      <c r="Y109" s="210"/>
      <c r="Z109" s="210"/>
      <c r="AA109" s="210"/>
      <c r="AB109" s="210"/>
      <c r="AC109" s="210"/>
      <c r="AD109" s="210"/>
      <c r="AE109" s="210"/>
      <c r="AF109" s="210"/>
      <c r="AG109" s="210"/>
      <c r="AH109" s="210"/>
      <c r="AI109" s="210"/>
      <c r="AJ109" s="210"/>
      <c r="AK109" s="210"/>
    </row>
    <row r="110" spans="1:37" s="211" customFormat="1" ht="15.75" hidden="1" customHeight="1">
      <c r="A110" s="130"/>
      <c r="B110" s="213"/>
      <c r="C110" s="229"/>
      <c r="D110" s="229"/>
      <c r="E110" s="230"/>
      <c r="F110" s="209"/>
      <c r="G110" s="227"/>
      <c r="H110" s="227"/>
      <c r="I110" s="227"/>
      <c r="J110" s="227"/>
      <c r="K110" s="227"/>
      <c r="L110" s="227"/>
      <c r="M110" s="227"/>
      <c r="N110" s="227"/>
      <c r="O110" s="227"/>
      <c r="P110" s="227"/>
      <c r="Q110" s="227"/>
      <c r="R110" s="227"/>
      <c r="S110" s="227"/>
      <c r="T110" s="227"/>
      <c r="U110" s="227"/>
      <c r="V110" s="227"/>
      <c r="W110" s="227"/>
      <c r="X110" s="210"/>
      <c r="Y110" s="210"/>
      <c r="Z110" s="210"/>
      <c r="AA110" s="210"/>
      <c r="AB110" s="210"/>
      <c r="AC110" s="210"/>
      <c r="AD110" s="210"/>
      <c r="AE110" s="210"/>
      <c r="AF110" s="210"/>
      <c r="AG110" s="210"/>
      <c r="AH110" s="210"/>
      <c r="AI110" s="210"/>
      <c r="AJ110" s="210"/>
      <c r="AK110" s="210"/>
    </row>
    <row r="111" spans="1:37" s="211" customFormat="1" ht="15.75" hidden="1" customHeight="1">
      <c r="A111" s="130"/>
      <c r="B111" s="213"/>
      <c r="C111" s="229"/>
      <c r="D111" s="229"/>
      <c r="E111" s="230"/>
      <c r="F111" s="209" t="e">
        <f>COUNTIF(#REF!,"=N")</f>
        <v>#REF!</v>
      </c>
      <c r="G111" s="227"/>
      <c r="H111" s="227"/>
      <c r="I111" s="227"/>
      <c r="J111" s="227"/>
      <c r="K111" s="227"/>
      <c r="L111" s="227"/>
      <c r="M111" s="227"/>
      <c r="N111" s="227"/>
      <c r="O111" s="227"/>
      <c r="P111" s="227"/>
      <c r="Q111" s="227"/>
      <c r="R111" s="227"/>
      <c r="S111" s="227"/>
      <c r="T111" s="227"/>
      <c r="U111" s="227"/>
      <c r="V111" s="227"/>
      <c r="W111" s="227"/>
      <c r="X111" s="210"/>
      <c r="Y111" s="210"/>
      <c r="Z111" s="210"/>
      <c r="AA111" s="210"/>
      <c r="AB111" s="210"/>
      <c r="AC111" s="210"/>
      <c r="AD111" s="210"/>
      <c r="AE111" s="210"/>
      <c r="AF111" s="210"/>
      <c r="AG111" s="210"/>
      <c r="AH111" s="210"/>
      <c r="AI111" s="210"/>
      <c r="AJ111" s="210"/>
      <c r="AK111" s="210"/>
    </row>
    <row r="112" spans="1:37" s="211" customFormat="1" ht="15.75" hidden="1" customHeight="1">
      <c r="A112" s="130"/>
      <c r="B112" s="213"/>
      <c r="C112" s="229"/>
      <c r="D112" s="229"/>
      <c r="E112" s="230"/>
      <c r="F112" s="209"/>
      <c r="G112" s="227"/>
      <c r="H112" s="227"/>
      <c r="I112" s="227"/>
      <c r="J112" s="227"/>
      <c r="K112" s="227"/>
      <c r="L112" s="227"/>
      <c r="M112" s="227"/>
      <c r="N112" s="227"/>
      <c r="O112" s="227"/>
      <c r="P112" s="227"/>
      <c r="Q112" s="227"/>
      <c r="R112" s="227"/>
      <c r="S112" s="227"/>
      <c r="T112" s="227"/>
      <c r="U112" s="227"/>
      <c r="V112" s="227"/>
      <c r="W112" s="227"/>
      <c r="X112" s="210"/>
      <c r="Y112" s="210"/>
      <c r="Z112" s="210"/>
      <c r="AA112" s="210"/>
      <c r="AB112" s="210"/>
      <c r="AC112" s="210"/>
      <c r="AD112" s="210"/>
      <c r="AE112" s="210"/>
      <c r="AF112" s="210"/>
      <c r="AG112" s="210"/>
      <c r="AH112" s="210"/>
      <c r="AI112" s="210"/>
      <c r="AJ112" s="210"/>
      <c r="AK112" s="210"/>
    </row>
    <row r="113" spans="1:37" s="211" customFormat="1" ht="15.75" hidden="1" customHeight="1">
      <c r="A113" s="130"/>
      <c r="B113" s="213"/>
      <c r="C113" s="229"/>
      <c r="D113" s="229"/>
      <c r="E113" s="230"/>
      <c r="F113" s="209"/>
      <c r="G113" s="227"/>
      <c r="H113" s="227"/>
      <c r="I113" s="227"/>
      <c r="J113" s="227"/>
      <c r="K113" s="227"/>
      <c r="L113" s="227"/>
      <c r="M113" s="227"/>
      <c r="N113" s="227"/>
      <c r="O113" s="227"/>
      <c r="P113" s="227"/>
      <c r="Q113" s="227"/>
      <c r="R113" s="227"/>
      <c r="S113" s="227"/>
      <c r="T113" s="227"/>
      <c r="U113" s="227"/>
      <c r="V113" s="227"/>
      <c r="W113" s="227"/>
      <c r="X113" s="210"/>
      <c r="Y113" s="210"/>
      <c r="Z113" s="210"/>
      <c r="AA113" s="210"/>
      <c r="AB113" s="210"/>
      <c r="AC113" s="210"/>
      <c r="AD113" s="210"/>
      <c r="AE113" s="210"/>
      <c r="AF113" s="210"/>
      <c r="AG113" s="210"/>
      <c r="AH113" s="210"/>
      <c r="AI113" s="210"/>
      <c r="AJ113" s="210"/>
      <c r="AK113" s="210"/>
    </row>
    <row r="114" spans="1:37" s="211" customFormat="1" ht="15.75" hidden="1" customHeight="1">
      <c r="A114" s="130"/>
      <c r="B114" s="213"/>
      <c r="C114" s="229"/>
      <c r="D114" s="229"/>
      <c r="E114" s="230"/>
      <c r="F114" s="209"/>
      <c r="G114" s="227"/>
      <c r="H114" s="227"/>
      <c r="I114" s="227"/>
      <c r="J114" s="227"/>
      <c r="K114" s="227"/>
      <c r="L114" s="227"/>
      <c r="M114" s="227"/>
      <c r="N114" s="227"/>
      <c r="O114" s="227"/>
      <c r="P114" s="227"/>
      <c r="Q114" s="227"/>
      <c r="R114" s="227"/>
      <c r="S114" s="227"/>
      <c r="T114" s="227"/>
      <c r="U114" s="227"/>
      <c r="V114" s="227"/>
      <c r="W114" s="227"/>
      <c r="X114" s="210"/>
      <c r="Y114" s="210"/>
      <c r="Z114" s="210"/>
      <c r="AA114" s="210"/>
      <c r="AB114" s="210"/>
      <c r="AC114" s="210"/>
      <c r="AD114" s="210"/>
      <c r="AE114" s="210"/>
      <c r="AF114" s="210"/>
      <c r="AG114" s="210"/>
      <c r="AH114" s="210"/>
      <c r="AI114" s="210"/>
      <c r="AJ114" s="210"/>
      <c r="AK114" s="210"/>
    </row>
    <row r="115" spans="1:37" s="211" customFormat="1" ht="15.75" hidden="1" customHeight="1">
      <c r="A115" s="130"/>
      <c r="B115" s="213"/>
      <c r="C115" s="229"/>
      <c r="D115" s="229"/>
      <c r="E115" s="230"/>
      <c r="F115" s="209" t="e">
        <f>COUNTIF(#REF!,"=N")</f>
        <v>#REF!</v>
      </c>
      <c r="G115" s="227"/>
      <c r="H115" s="227"/>
      <c r="I115" s="227"/>
      <c r="J115" s="227"/>
      <c r="K115" s="227"/>
      <c r="L115" s="227"/>
      <c r="M115" s="227"/>
      <c r="N115" s="227"/>
      <c r="O115" s="227"/>
      <c r="P115" s="227"/>
      <c r="Q115" s="227"/>
      <c r="R115" s="227"/>
      <c r="S115" s="227"/>
      <c r="T115" s="227"/>
      <c r="U115" s="227"/>
      <c r="V115" s="227"/>
      <c r="W115" s="227"/>
      <c r="X115" s="210"/>
      <c r="Y115" s="210"/>
      <c r="Z115" s="210"/>
      <c r="AA115" s="210"/>
      <c r="AB115" s="210"/>
      <c r="AC115" s="210"/>
      <c r="AD115" s="210"/>
      <c r="AE115" s="210"/>
      <c r="AF115" s="210"/>
      <c r="AG115" s="210"/>
      <c r="AH115" s="210"/>
      <c r="AI115" s="210"/>
      <c r="AJ115" s="210"/>
      <c r="AK115" s="210"/>
    </row>
    <row r="116" spans="1:37" s="211" customFormat="1" ht="15.75" hidden="1" customHeight="1">
      <c r="A116" s="130"/>
      <c r="B116" s="213"/>
      <c r="C116" s="229"/>
      <c r="D116" s="229"/>
      <c r="E116" s="230"/>
      <c r="F116" s="209"/>
      <c r="G116" s="227"/>
      <c r="H116" s="227"/>
      <c r="I116" s="227"/>
      <c r="J116" s="227"/>
      <c r="K116" s="227"/>
      <c r="L116" s="227"/>
      <c r="M116" s="227"/>
      <c r="N116" s="227"/>
      <c r="O116" s="227"/>
      <c r="P116" s="227"/>
      <c r="Q116" s="227"/>
      <c r="R116" s="227"/>
      <c r="S116" s="227"/>
      <c r="T116" s="227"/>
      <c r="U116" s="227"/>
      <c r="V116" s="227"/>
      <c r="W116" s="227"/>
      <c r="X116" s="210"/>
      <c r="Y116" s="210"/>
      <c r="Z116" s="210"/>
      <c r="AA116" s="210"/>
      <c r="AB116" s="210"/>
      <c r="AC116" s="210"/>
      <c r="AD116" s="210"/>
      <c r="AE116" s="210"/>
      <c r="AF116" s="210"/>
      <c r="AG116" s="210"/>
      <c r="AH116" s="210"/>
      <c r="AI116" s="210"/>
      <c r="AJ116" s="210"/>
      <c r="AK116" s="210"/>
    </row>
    <row r="117" spans="1:37" s="211" customFormat="1" ht="15.75" hidden="1" customHeight="1">
      <c r="A117" s="130"/>
      <c r="B117" s="213"/>
      <c r="C117" s="229"/>
      <c r="D117" s="229"/>
      <c r="E117" s="230"/>
      <c r="F117" s="209"/>
      <c r="G117" s="227"/>
      <c r="H117" s="227"/>
      <c r="I117" s="227"/>
      <c r="J117" s="227"/>
      <c r="K117" s="227"/>
      <c r="L117" s="227"/>
      <c r="M117" s="227"/>
      <c r="N117" s="227"/>
      <c r="O117" s="227"/>
      <c r="P117" s="227"/>
      <c r="Q117" s="227"/>
      <c r="R117" s="227"/>
      <c r="S117" s="227"/>
      <c r="T117" s="227"/>
      <c r="U117" s="227"/>
      <c r="V117" s="227"/>
      <c r="W117" s="227"/>
      <c r="X117" s="210"/>
      <c r="Y117" s="210"/>
      <c r="Z117" s="210"/>
      <c r="AA117" s="210"/>
      <c r="AB117" s="210"/>
      <c r="AC117" s="210"/>
      <c r="AD117" s="210"/>
      <c r="AE117" s="210"/>
      <c r="AF117" s="210"/>
      <c r="AG117" s="210"/>
      <c r="AH117" s="210"/>
      <c r="AI117" s="210"/>
      <c r="AJ117" s="210"/>
      <c r="AK117" s="210"/>
    </row>
    <row r="118" spans="1:37" s="211" customFormat="1" ht="15.75" hidden="1" customHeight="1">
      <c r="A118" s="130"/>
      <c r="B118" s="213"/>
      <c r="C118" s="229"/>
      <c r="D118" s="229"/>
      <c r="E118" s="230"/>
      <c r="F118" s="209"/>
      <c r="G118" s="227"/>
      <c r="H118" s="227"/>
      <c r="I118" s="227"/>
      <c r="J118" s="227"/>
      <c r="K118" s="227"/>
      <c r="L118" s="227"/>
      <c r="M118" s="227"/>
      <c r="N118" s="227"/>
      <c r="O118" s="227"/>
      <c r="P118" s="227"/>
      <c r="Q118" s="227"/>
      <c r="R118" s="227"/>
      <c r="S118" s="227"/>
      <c r="T118" s="227"/>
      <c r="U118" s="227"/>
      <c r="V118" s="227"/>
      <c r="W118" s="227"/>
      <c r="X118" s="210"/>
      <c r="Y118" s="210"/>
      <c r="Z118" s="210"/>
      <c r="AA118" s="210"/>
      <c r="AB118" s="210"/>
      <c r="AC118" s="210"/>
      <c r="AD118" s="210"/>
      <c r="AE118" s="210"/>
      <c r="AF118" s="210"/>
      <c r="AG118" s="210"/>
      <c r="AH118" s="210"/>
      <c r="AI118" s="210"/>
      <c r="AJ118" s="210"/>
      <c r="AK118" s="210"/>
    </row>
    <row r="119" spans="1:37" s="211" customFormat="1" ht="15.75" hidden="1" customHeight="1">
      <c r="A119" s="130"/>
      <c r="B119" s="213"/>
      <c r="C119" s="229"/>
      <c r="D119" s="229"/>
      <c r="E119" s="230"/>
      <c r="F119" s="209" t="e">
        <f>COUNTIF(#REF!,"=N")</f>
        <v>#REF!</v>
      </c>
      <c r="G119" s="227"/>
      <c r="H119" s="227"/>
      <c r="I119" s="227"/>
      <c r="J119" s="227"/>
      <c r="K119" s="227"/>
      <c r="L119" s="227"/>
      <c r="M119" s="227"/>
      <c r="N119" s="227"/>
      <c r="O119" s="227"/>
      <c r="P119" s="227"/>
      <c r="Q119" s="227"/>
      <c r="R119" s="227"/>
      <c r="S119" s="227"/>
      <c r="T119" s="227"/>
      <c r="U119" s="227"/>
      <c r="V119" s="227"/>
      <c r="W119" s="227"/>
      <c r="X119" s="210"/>
      <c r="Y119" s="210"/>
      <c r="Z119" s="210"/>
      <c r="AA119" s="210"/>
      <c r="AB119" s="210"/>
      <c r="AC119" s="210"/>
      <c r="AD119" s="210"/>
      <c r="AE119" s="210"/>
      <c r="AF119" s="210"/>
      <c r="AG119" s="210"/>
      <c r="AH119" s="210"/>
      <c r="AI119" s="210"/>
      <c r="AJ119" s="210"/>
      <c r="AK119" s="210"/>
    </row>
    <row r="120" spans="1:37" s="211" customFormat="1" ht="15.75" hidden="1" customHeight="1">
      <c r="A120" s="130"/>
      <c r="B120" s="213"/>
      <c r="C120" s="229"/>
      <c r="D120" s="229"/>
      <c r="E120" s="230"/>
      <c r="F120" s="209"/>
      <c r="G120" s="227"/>
      <c r="H120" s="227"/>
      <c r="I120" s="227"/>
      <c r="J120" s="227"/>
      <c r="K120" s="227"/>
      <c r="L120" s="227"/>
      <c r="M120" s="227"/>
      <c r="N120" s="227"/>
      <c r="O120" s="227"/>
      <c r="P120" s="227"/>
      <c r="Q120" s="227"/>
      <c r="R120" s="227"/>
      <c r="S120" s="227"/>
      <c r="T120" s="227"/>
      <c r="U120" s="227"/>
      <c r="V120" s="227"/>
      <c r="W120" s="227"/>
      <c r="X120" s="210"/>
      <c r="Y120" s="210"/>
      <c r="Z120" s="210"/>
      <c r="AA120" s="210"/>
      <c r="AB120" s="210"/>
      <c r="AC120" s="210"/>
      <c r="AD120" s="210"/>
      <c r="AE120" s="210"/>
      <c r="AF120" s="210"/>
      <c r="AG120" s="210"/>
      <c r="AH120" s="210"/>
      <c r="AI120" s="210"/>
      <c r="AJ120" s="210"/>
      <c r="AK120" s="210"/>
    </row>
    <row r="121" spans="1:37" s="211" customFormat="1" ht="15.75" hidden="1" customHeight="1">
      <c r="A121" s="130"/>
      <c r="B121" s="213"/>
      <c r="C121" s="229"/>
      <c r="D121" s="229"/>
      <c r="E121" s="230"/>
      <c r="F121" s="209"/>
      <c r="G121" s="227"/>
      <c r="H121" s="227"/>
      <c r="I121" s="227"/>
      <c r="J121" s="227"/>
      <c r="K121" s="227"/>
      <c r="L121" s="227"/>
      <c r="M121" s="227"/>
      <c r="N121" s="227"/>
      <c r="O121" s="227"/>
      <c r="P121" s="227"/>
      <c r="Q121" s="227"/>
      <c r="R121" s="227"/>
      <c r="S121" s="227"/>
      <c r="T121" s="227"/>
      <c r="U121" s="227"/>
      <c r="V121" s="227"/>
      <c r="W121" s="227"/>
      <c r="X121" s="210"/>
      <c r="Y121" s="210"/>
      <c r="Z121" s="210"/>
      <c r="AA121" s="210"/>
      <c r="AB121" s="210"/>
      <c r="AC121" s="210"/>
      <c r="AD121" s="210"/>
      <c r="AE121" s="210"/>
      <c r="AF121" s="210"/>
      <c r="AG121" s="210"/>
      <c r="AH121" s="210"/>
      <c r="AI121" s="210"/>
      <c r="AJ121" s="210"/>
      <c r="AK121" s="210"/>
    </row>
    <row r="122" spans="1:37" s="211" customFormat="1" ht="15.75" hidden="1" customHeight="1">
      <c r="A122" s="130"/>
      <c r="B122" s="213"/>
      <c r="C122" s="229"/>
      <c r="D122" s="229"/>
      <c r="E122" s="230"/>
      <c r="F122" s="209"/>
      <c r="G122" s="227"/>
      <c r="H122" s="227"/>
      <c r="I122" s="227"/>
      <c r="J122" s="227"/>
      <c r="K122" s="227"/>
      <c r="L122" s="227"/>
      <c r="M122" s="227"/>
      <c r="N122" s="227"/>
      <c r="O122" s="227"/>
      <c r="P122" s="227"/>
      <c r="Q122" s="227"/>
      <c r="R122" s="227"/>
      <c r="S122" s="227"/>
      <c r="T122" s="227"/>
      <c r="U122" s="227"/>
      <c r="V122" s="227"/>
      <c r="W122" s="227"/>
      <c r="X122" s="210"/>
      <c r="Y122" s="210"/>
      <c r="Z122" s="210"/>
      <c r="AA122" s="210"/>
      <c r="AB122" s="210"/>
      <c r="AC122" s="210"/>
      <c r="AD122" s="210"/>
      <c r="AE122" s="210"/>
      <c r="AF122" s="210"/>
      <c r="AG122" s="210"/>
      <c r="AH122" s="210"/>
      <c r="AI122" s="210"/>
      <c r="AJ122" s="210"/>
      <c r="AK122" s="210"/>
    </row>
    <row r="123" spans="1:37" s="211" customFormat="1" ht="15.75" hidden="1" customHeight="1">
      <c r="A123" s="130"/>
      <c r="B123" s="213"/>
      <c r="C123" s="229"/>
      <c r="D123" s="229"/>
      <c r="E123" s="230"/>
      <c r="F123" s="209"/>
      <c r="G123" s="227"/>
      <c r="H123" s="227"/>
      <c r="I123" s="227"/>
      <c r="J123" s="227"/>
      <c r="K123" s="227"/>
      <c r="L123" s="227"/>
      <c r="M123" s="227"/>
      <c r="N123" s="227"/>
      <c r="O123" s="227"/>
      <c r="P123" s="227"/>
      <c r="Q123" s="227"/>
      <c r="R123" s="227"/>
      <c r="S123" s="227"/>
      <c r="T123" s="227"/>
      <c r="U123" s="227"/>
      <c r="V123" s="227"/>
      <c r="W123" s="227"/>
      <c r="X123" s="210"/>
      <c r="Y123" s="210"/>
      <c r="Z123" s="210"/>
      <c r="AA123" s="210"/>
      <c r="AB123" s="210"/>
      <c r="AC123" s="210"/>
      <c r="AD123" s="210"/>
      <c r="AE123" s="210"/>
      <c r="AF123" s="210"/>
      <c r="AG123" s="210"/>
      <c r="AH123" s="210"/>
      <c r="AI123" s="210"/>
      <c r="AJ123" s="210"/>
      <c r="AK123" s="210"/>
    </row>
    <row r="124" spans="1:37" s="211" customFormat="1" ht="15.75" hidden="1" customHeight="1">
      <c r="A124" s="130"/>
      <c r="B124" s="213"/>
      <c r="C124" s="229"/>
      <c r="D124" s="229"/>
      <c r="E124" s="230"/>
      <c r="F124" s="209" t="e">
        <f>COUNTIF(#REF!,"=N")</f>
        <v>#REF!</v>
      </c>
      <c r="G124" s="227"/>
      <c r="H124" s="227"/>
      <c r="I124" s="227"/>
      <c r="J124" s="227"/>
      <c r="K124" s="227"/>
      <c r="L124" s="227"/>
      <c r="M124" s="227"/>
      <c r="N124" s="227"/>
      <c r="O124" s="227"/>
      <c r="P124" s="227"/>
      <c r="Q124" s="227"/>
      <c r="R124" s="227"/>
      <c r="S124" s="227"/>
      <c r="T124" s="227"/>
      <c r="U124" s="227"/>
      <c r="V124" s="227"/>
      <c r="W124" s="227"/>
      <c r="X124" s="210"/>
      <c r="Y124" s="210"/>
      <c r="Z124" s="210"/>
      <c r="AA124" s="210"/>
      <c r="AB124" s="210"/>
      <c r="AC124" s="210"/>
      <c r="AD124" s="210"/>
      <c r="AE124" s="210"/>
      <c r="AF124" s="210"/>
      <c r="AG124" s="210"/>
      <c r="AH124" s="210"/>
      <c r="AI124" s="210"/>
      <c r="AJ124" s="210"/>
      <c r="AK124" s="210"/>
    </row>
    <row r="125" spans="1:37" s="211" customFormat="1" ht="15.75" hidden="1" customHeight="1">
      <c r="A125" s="130"/>
      <c r="B125" s="213"/>
      <c r="C125" s="229"/>
      <c r="D125" s="229"/>
      <c r="E125" s="230"/>
      <c r="F125" s="209"/>
      <c r="G125" s="227"/>
      <c r="H125" s="227"/>
      <c r="I125" s="227"/>
      <c r="J125" s="227"/>
      <c r="K125" s="227"/>
      <c r="L125" s="227"/>
      <c r="M125" s="227"/>
      <c r="N125" s="227"/>
      <c r="O125" s="227"/>
      <c r="P125" s="227"/>
      <c r="Q125" s="227"/>
      <c r="R125" s="227"/>
      <c r="S125" s="227"/>
      <c r="T125" s="227"/>
      <c r="U125" s="227"/>
      <c r="V125" s="227"/>
      <c r="W125" s="227"/>
      <c r="X125" s="210"/>
      <c r="Y125" s="210"/>
      <c r="Z125" s="210"/>
      <c r="AA125" s="210"/>
      <c r="AB125" s="210"/>
      <c r="AC125" s="210"/>
      <c r="AD125" s="210"/>
      <c r="AE125" s="210"/>
      <c r="AF125" s="210"/>
      <c r="AG125" s="210"/>
      <c r="AH125" s="210"/>
      <c r="AI125" s="210"/>
      <c r="AJ125" s="210"/>
      <c r="AK125" s="210"/>
    </row>
    <row r="126" spans="1:37" s="211" customFormat="1" ht="15.75" hidden="1" customHeight="1">
      <c r="A126" s="130"/>
      <c r="B126" s="213"/>
      <c r="C126" s="229"/>
      <c r="D126" s="229"/>
      <c r="E126" s="230"/>
      <c r="F126" s="209"/>
      <c r="G126" s="227"/>
      <c r="H126" s="227"/>
      <c r="I126" s="227"/>
      <c r="J126" s="227"/>
      <c r="K126" s="227"/>
      <c r="L126" s="227"/>
      <c r="M126" s="227"/>
      <c r="N126" s="227"/>
      <c r="O126" s="227"/>
      <c r="P126" s="227"/>
      <c r="Q126" s="227"/>
      <c r="R126" s="227"/>
      <c r="S126" s="227"/>
      <c r="T126" s="227"/>
      <c r="U126" s="227"/>
      <c r="V126" s="227"/>
      <c r="W126" s="227"/>
      <c r="X126" s="210"/>
      <c r="Y126" s="210"/>
      <c r="Z126" s="210"/>
      <c r="AA126" s="210"/>
      <c r="AB126" s="210"/>
      <c r="AC126" s="210"/>
      <c r="AD126" s="210"/>
      <c r="AE126" s="210"/>
      <c r="AF126" s="210"/>
      <c r="AG126" s="210"/>
      <c r="AH126" s="210"/>
      <c r="AI126" s="210"/>
      <c r="AJ126" s="210"/>
      <c r="AK126" s="210"/>
    </row>
    <row r="127" spans="1:37" s="211" customFormat="1" ht="15.75" hidden="1" customHeight="1">
      <c r="A127" s="130"/>
      <c r="B127" s="213"/>
      <c r="C127" s="229"/>
      <c r="D127" s="229"/>
      <c r="E127" s="230"/>
      <c r="F127" s="209"/>
      <c r="G127" s="227"/>
      <c r="H127" s="227"/>
      <c r="I127" s="227"/>
      <c r="J127" s="227"/>
      <c r="K127" s="227"/>
      <c r="L127" s="227"/>
      <c r="M127" s="227"/>
      <c r="N127" s="227"/>
      <c r="O127" s="227"/>
      <c r="P127" s="227"/>
      <c r="Q127" s="227"/>
      <c r="R127" s="227"/>
      <c r="S127" s="227"/>
      <c r="T127" s="227"/>
      <c r="U127" s="227"/>
      <c r="V127" s="227"/>
      <c r="W127" s="227"/>
      <c r="X127" s="210"/>
      <c r="Y127" s="210"/>
      <c r="Z127" s="210"/>
      <c r="AA127" s="210"/>
      <c r="AB127" s="210"/>
      <c r="AC127" s="210"/>
      <c r="AD127" s="210"/>
      <c r="AE127" s="210"/>
      <c r="AF127" s="210"/>
      <c r="AG127" s="210"/>
      <c r="AH127" s="210"/>
      <c r="AI127" s="210"/>
      <c r="AJ127" s="210"/>
      <c r="AK127" s="210"/>
    </row>
    <row r="128" spans="1:37" s="211" customFormat="1" ht="15.75" hidden="1" customHeight="1">
      <c r="A128" s="130"/>
      <c r="B128" s="213"/>
      <c r="C128" s="229"/>
      <c r="D128" s="229"/>
      <c r="E128" s="230"/>
      <c r="F128" s="209" t="e">
        <f>COUNTIF(#REF!,"=N")</f>
        <v>#REF!</v>
      </c>
      <c r="G128" s="227"/>
      <c r="H128" s="227"/>
      <c r="I128" s="227"/>
      <c r="J128" s="227"/>
      <c r="K128" s="227"/>
      <c r="L128" s="227"/>
      <c r="M128" s="227"/>
      <c r="N128" s="227"/>
      <c r="O128" s="227"/>
      <c r="P128" s="227"/>
      <c r="Q128" s="227"/>
      <c r="R128" s="227"/>
      <c r="S128" s="227"/>
      <c r="T128" s="227"/>
      <c r="U128" s="227"/>
      <c r="V128" s="227"/>
      <c r="W128" s="227"/>
      <c r="X128" s="210"/>
      <c r="Y128" s="210"/>
      <c r="Z128" s="210"/>
      <c r="AA128" s="210"/>
      <c r="AB128" s="210"/>
      <c r="AC128" s="210"/>
      <c r="AD128" s="210"/>
      <c r="AE128" s="210"/>
      <c r="AF128" s="210"/>
      <c r="AG128" s="210"/>
      <c r="AH128" s="210"/>
      <c r="AI128" s="210"/>
      <c r="AJ128" s="210"/>
      <c r="AK128" s="210"/>
    </row>
    <row r="129" spans="1:37" s="211" customFormat="1" ht="15.75" hidden="1" customHeight="1">
      <c r="A129" s="130"/>
      <c r="B129" s="213"/>
      <c r="C129" s="229"/>
      <c r="D129" s="229"/>
      <c r="E129" s="230"/>
      <c r="F129" s="209"/>
      <c r="G129" s="227"/>
      <c r="H129" s="227"/>
      <c r="I129" s="227"/>
      <c r="J129" s="227"/>
      <c r="K129" s="227"/>
      <c r="L129" s="227"/>
      <c r="M129" s="227"/>
      <c r="N129" s="227"/>
      <c r="O129" s="227"/>
      <c r="P129" s="227"/>
      <c r="Q129" s="227"/>
      <c r="R129" s="227"/>
      <c r="S129" s="227"/>
      <c r="T129" s="227"/>
      <c r="U129" s="227"/>
      <c r="V129" s="227"/>
      <c r="W129" s="227"/>
      <c r="X129" s="210"/>
      <c r="Y129" s="210"/>
      <c r="Z129" s="210"/>
      <c r="AA129" s="210"/>
      <c r="AB129" s="210"/>
      <c r="AC129" s="210"/>
      <c r="AD129" s="210"/>
      <c r="AE129" s="210"/>
      <c r="AF129" s="210"/>
      <c r="AG129" s="210"/>
      <c r="AH129" s="210"/>
      <c r="AI129" s="210"/>
      <c r="AJ129" s="210"/>
      <c r="AK129" s="210"/>
    </row>
    <row r="130" spans="1:37" s="211" customFormat="1" ht="15.75" hidden="1" customHeight="1">
      <c r="A130" s="130"/>
      <c r="B130" s="213"/>
      <c r="C130" s="229"/>
      <c r="D130" s="229"/>
      <c r="E130" s="230"/>
      <c r="F130" s="209"/>
      <c r="G130" s="227"/>
      <c r="H130" s="227"/>
      <c r="I130" s="227"/>
      <c r="J130" s="227"/>
      <c r="K130" s="227"/>
      <c r="L130" s="227"/>
      <c r="M130" s="227"/>
      <c r="N130" s="227"/>
      <c r="O130" s="227"/>
      <c r="P130" s="227"/>
      <c r="Q130" s="227"/>
      <c r="R130" s="227"/>
      <c r="S130" s="227"/>
      <c r="T130" s="227"/>
      <c r="U130" s="227"/>
      <c r="V130" s="227"/>
      <c r="W130" s="227"/>
      <c r="X130" s="210"/>
      <c r="Y130" s="210"/>
      <c r="Z130" s="210"/>
      <c r="AA130" s="210"/>
      <c r="AB130" s="210"/>
      <c r="AC130" s="210"/>
      <c r="AD130" s="210"/>
      <c r="AE130" s="210"/>
      <c r="AF130" s="210"/>
      <c r="AG130" s="210"/>
      <c r="AH130" s="210"/>
      <c r="AI130" s="210"/>
      <c r="AJ130" s="210"/>
      <c r="AK130" s="210"/>
    </row>
    <row r="131" spans="1:37" s="211" customFormat="1" ht="15.75" hidden="1" customHeight="1">
      <c r="A131" s="130"/>
      <c r="B131" s="213"/>
      <c r="C131" s="229"/>
      <c r="D131" s="229"/>
      <c r="E131" s="230"/>
      <c r="F131" s="209"/>
      <c r="G131" s="227"/>
      <c r="H131" s="227"/>
      <c r="I131" s="227"/>
      <c r="J131" s="227"/>
      <c r="K131" s="227"/>
      <c r="L131" s="227"/>
      <c r="M131" s="227"/>
      <c r="N131" s="227"/>
      <c r="O131" s="227"/>
      <c r="P131" s="227"/>
      <c r="Q131" s="227"/>
      <c r="R131" s="227"/>
      <c r="S131" s="227"/>
      <c r="T131" s="227"/>
      <c r="U131" s="227"/>
      <c r="V131" s="227"/>
      <c r="W131" s="227"/>
      <c r="X131" s="210"/>
      <c r="Y131" s="210"/>
      <c r="Z131" s="210"/>
      <c r="AA131" s="210"/>
      <c r="AB131" s="210"/>
      <c r="AC131" s="210"/>
      <c r="AD131" s="210"/>
      <c r="AE131" s="210"/>
      <c r="AF131" s="210"/>
      <c r="AG131" s="210"/>
      <c r="AH131" s="210"/>
      <c r="AI131" s="210"/>
      <c r="AJ131" s="210"/>
      <c r="AK131" s="210"/>
    </row>
    <row r="132" spans="1:37" s="211" customFormat="1" ht="15.75" hidden="1" customHeight="1">
      <c r="A132" s="130"/>
      <c r="B132" s="213"/>
      <c r="C132" s="229"/>
      <c r="D132" s="229"/>
      <c r="E132" s="230"/>
      <c r="F132" s="209"/>
      <c r="G132" s="227"/>
      <c r="H132" s="227"/>
      <c r="I132" s="227"/>
      <c r="J132" s="227"/>
      <c r="K132" s="227"/>
      <c r="L132" s="227"/>
      <c r="M132" s="227"/>
      <c r="N132" s="227"/>
      <c r="O132" s="227"/>
      <c r="P132" s="227"/>
      <c r="Q132" s="227"/>
      <c r="R132" s="227"/>
      <c r="S132" s="227"/>
      <c r="T132" s="227"/>
      <c r="U132" s="227"/>
      <c r="V132" s="227"/>
      <c r="W132" s="227"/>
      <c r="X132" s="210"/>
      <c r="Y132" s="210"/>
      <c r="Z132" s="210"/>
      <c r="AA132" s="210"/>
      <c r="AB132" s="210"/>
      <c r="AC132" s="210"/>
      <c r="AD132" s="210"/>
      <c r="AE132" s="210"/>
      <c r="AF132" s="210"/>
      <c r="AG132" s="210"/>
      <c r="AH132" s="210"/>
      <c r="AI132" s="210"/>
      <c r="AJ132" s="210"/>
      <c r="AK132" s="210"/>
    </row>
    <row r="133" spans="1:37" s="211" customFormat="1" ht="15.75" hidden="1" customHeight="1">
      <c r="A133" s="130"/>
      <c r="B133" s="213"/>
      <c r="C133" s="229"/>
      <c r="D133" s="229"/>
      <c r="E133" s="230"/>
      <c r="F133" s="209"/>
      <c r="G133" s="227"/>
      <c r="H133" s="227"/>
      <c r="I133" s="227"/>
      <c r="J133" s="227"/>
      <c r="K133" s="227"/>
      <c r="L133" s="227"/>
      <c r="M133" s="227"/>
      <c r="N133" s="227"/>
      <c r="O133" s="227"/>
      <c r="P133" s="227"/>
      <c r="Q133" s="227"/>
      <c r="R133" s="227"/>
      <c r="S133" s="227"/>
      <c r="T133" s="227"/>
      <c r="U133" s="227"/>
      <c r="V133" s="227"/>
      <c r="W133" s="227"/>
      <c r="X133" s="210"/>
      <c r="Y133" s="210"/>
      <c r="Z133" s="210"/>
      <c r="AA133" s="210"/>
      <c r="AB133" s="210"/>
      <c r="AC133" s="210"/>
      <c r="AD133" s="210"/>
      <c r="AE133" s="210"/>
      <c r="AF133" s="210"/>
      <c r="AG133" s="210"/>
      <c r="AH133" s="210"/>
      <c r="AI133" s="210"/>
      <c r="AJ133" s="210"/>
      <c r="AK133" s="210"/>
    </row>
    <row r="134" spans="1:37" s="211" customFormat="1" ht="15.75" hidden="1" customHeight="1">
      <c r="A134" s="130"/>
      <c r="B134" s="213"/>
      <c r="C134" s="229"/>
      <c r="D134" s="229"/>
      <c r="E134" s="230"/>
      <c r="F134" s="209"/>
      <c r="G134" s="227"/>
      <c r="H134" s="227"/>
      <c r="I134" s="227"/>
      <c r="J134" s="227"/>
      <c r="K134" s="227"/>
      <c r="L134" s="227"/>
      <c r="M134" s="227"/>
      <c r="N134" s="227"/>
      <c r="O134" s="227"/>
      <c r="P134" s="227"/>
      <c r="Q134" s="227"/>
      <c r="R134" s="227"/>
      <c r="S134" s="227"/>
      <c r="T134" s="227"/>
      <c r="U134" s="227"/>
      <c r="V134" s="227"/>
      <c r="W134" s="227"/>
      <c r="X134" s="210"/>
      <c r="Y134" s="210"/>
      <c r="Z134" s="210"/>
      <c r="AA134" s="210"/>
      <c r="AB134" s="210"/>
      <c r="AC134" s="210"/>
      <c r="AD134" s="210"/>
      <c r="AE134" s="210"/>
      <c r="AF134" s="210"/>
      <c r="AG134" s="210"/>
      <c r="AH134" s="210"/>
      <c r="AI134" s="210"/>
      <c r="AJ134" s="210"/>
      <c r="AK134" s="210"/>
    </row>
    <row r="135" spans="1:37" s="211" customFormat="1" ht="15.75" hidden="1" customHeight="1">
      <c r="A135" s="130"/>
      <c r="B135" s="213"/>
      <c r="C135" s="229"/>
      <c r="D135" s="229"/>
      <c r="E135" s="230"/>
      <c r="F135" s="209"/>
      <c r="G135" s="227"/>
      <c r="H135" s="227"/>
      <c r="I135" s="227"/>
      <c r="J135" s="227"/>
      <c r="K135" s="227"/>
      <c r="L135" s="227"/>
      <c r="M135" s="227"/>
      <c r="N135" s="227"/>
      <c r="O135" s="227"/>
      <c r="P135" s="227"/>
      <c r="Q135" s="227"/>
      <c r="R135" s="227"/>
      <c r="S135" s="227"/>
      <c r="T135" s="227"/>
      <c r="U135" s="227"/>
      <c r="V135" s="227"/>
      <c r="W135" s="227"/>
      <c r="X135" s="210"/>
      <c r="Y135" s="210"/>
      <c r="Z135" s="210"/>
      <c r="AA135" s="210"/>
      <c r="AB135" s="210"/>
      <c r="AC135" s="210"/>
      <c r="AD135" s="210"/>
      <c r="AE135" s="210"/>
      <c r="AF135" s="210"/>
      <c r="AG135" s="210"/>
      <c r="AH135" s="210"/>
      <c r="AI135" s="210"/>
      <c r="AJ135" s="210"/>
      <c r="AK135" s="210"/>
    </row>
    <row r="136" spans="1:37" s="211" customFormat="1" ht="15.75" hidden="1" customHeight="1">
      <c r="A136" s="130"/>
      <c r="B136" s="213"/>
      <c r="C136" s="229"/>
      <c r="D136" s="229"/>
      <c r="E136" s="230"/>
      <c r="F136" s="209" t="e">
        <f>COUNTIF(#REF!,"=N")</f>
        <v>#REF!</v>
      </c>
      <c r="G136" s="227"/>
      <c r="H136" s="227"/>
      <c r="I136" s="227"/>
      <c r="J136" s="227"/>
      <c r="K136" s="227"/>
      <c r="L136" s="227"/>
      <c r="M136" s="227"/>
      <c r="N136" s="227"/>
      <c r="O136" s="227"/>
      <c r="P136" s="227"/>
      <c r="Q136" s="227"/>
      <c r="R136" s="227"/>
      <c r="S136" s="227"/>
      <c r="T136" s="227"/>
      <c r="U136" s="227"/>
      <c r="V136" s="227"/>
      <c r="W136" s="227"/>
      <c r="X136" s="210"/>
      <c r="Y136" s="210"/>
      <c r="Z136" s="210"/>
      <c r="AA136" s="210"/>
      <c r="AB136" s="210"/>
      <c r="AC136" s="210"/>
      <c r="AD136" s="210"/>
      <c r="AE136" s="210"/>
      <c r="AF136" s="210"/>
      <c r="AG136" s="210"/>
      <c r="AH136" s="210"/>
      <c r="AI136" s="210"/>
      <c r="AJ136" s="210"/>
      <c r="AK136" s="210"/>
    </row>
    <row r="137" spans="1:37" s="211" customFormat="1" ht="15.75" hidden="1" customHeight="1">
      <c r="A137" s="130"/>
      <c r="B137" s="213"/>
      <c r="C137" s="229"/>
      <c r="D137" s="229"/>
      <c r="E137" s="230"/>
      <c r="F137" s="209"/>
      <c r="G137" s="227"/>
      <c r="H137" s="227"/>
      <c r="I137" s="227"/>
      <c r="J137" s="227"/>
      <c r="K137" s="227"/>
      <c r="L137" s="227"/>
      <c r="M137" s="227"/>
      <c r="N137" s="227"/>
      <c r="O137" s="227"/>
      <c r="P137" s="227"/>
      <c r="Q137" s="227"/>
      <c r="R137" s="227"/>
      <c r="S137" s="227"/>
      <c r="T137" s="227"/>
      <c r="U137" s="227"/>
      <c r="V137" s="227"/>
      <c r="W137" s="227"/>
      <c r="X137" s="210"/>
      <c r="Y137" s="210"/>
      <c r="Z137" s="210"/>
      <c r="AA137" s="210"/>
      <c r="AB137" s="210"/>
      <c r="AC137" s="210"/>
      <c r="AD137" s="210"/>
      <c r="AE137" s="210"/>
      <c r="AF137" s="210"/>
      <c r="AG137" s="210"/>
      <c r="AH137" s="210"/>
      <c r="AI137" s="210"/>
      <c r="AJ137" s="210"/>
      <c r="AK137" s="210"/>
    </row>
    <row r="138" spans="1:37" s="211" customFormat="1" ht="15.75" hidden="1" customHeight="1">
      <c r="A138" s="130"/>
      <c r="B138" s="213"/>
      <c r="C138" s="229"/>
      <c r="D138" s="229"/>
      <c r="E138" s="230"/>
      <c r="F138" s="209"/>
      <c r="G138" s="227"/>
      <c r="H138" s="227"/>
      <c r="I138" s="227"/>
      <c r="J138" s="227"/>
      <c r="K138" s="227"/>
      <c r="L138" s="227"/>
      <c r="M138" s="227"/>
      <c r="N138" s="227"/>
      <c r="O138" s="227"/>
      <c r="P138" s="227"/>
      <c r="Q138" s="227"/>
      <c r="R138" s="227"/>
      <c r="S138" s="227"/>
      <c r="T138" s="227"/>
      <c r="U138" s="227"/>
      <c r="V138" s="227"/>
      <c r="W138" s="227"/>
      <c r="X138" s="210"/>
      <c r="Y138" s="210"/>
      <c r="Z138" s="210"/>
      <c r="AA138" s="210"/>
      <c r="AB138" s="210"/>
      <c r="AC138" s="210"/>
      <c r="AD138" s="210"/>
      <c r="AE138" s="210"/>
      <c r="AF138" s="210"/>
      <c r="AG138" s="210"/>
      <c r="AH138" s="210"/>
      <c r="AI138" s="210"/>
      <c r="AJ138" s="210"/>
      <c r="AK138" s="210"/>
    </row>
    <row r="139" spans="1:37" s="211" customFormat="1" ht="15.75" hidden="1" customHeight="1">
      <c r="A139" s="130"/>
      <c r="B139" s="213"/>
      <c r="C139" s="229"/>
      <c r="D139" s="229"/>
      <c r="E139" s="230"/>
      <c r="F139" s="209"/>
      <c r="G139" s="227"/>
      <c r="H139" s="227"/>
      <c r="I139" s="227"/>
      <c r="J139" s="227"/>
      <c r="K139" s="227"/>
      <c r="L139" s="227"/>
      <c r="M139" s="227"/>
      <c r="N139" s="227"/>
      <c r="O139" s="227"/>
      <c r="P139" s="227"/>
      <c r="Q139" s="227"/>
      <c r="R139" s="227"/>
      <c r="S139" s="227"/>
      <c r="T139" s="227"/>
      <c r="U139" s="227"/>
      <c r="V139" s="227"/>
      <c r="W139" s="227"/>
      <c r="X139" s="210"/>
      <c r="Y139" s="210"/>
      <c r="Z139" s="210"/>
      <c r="AA139" s="210"/>
      <c r="AB139" s="210"/>
      <c r="AC139" s="210"/>
      <c r="AD139" s="210"/>
      <c r="AE139" s="210"/>
      <c r="AF139" s="210"/>
      <c r="AG139" s="210"/>
      <c r="AH139" s="210"/>
      <c r="AI139" s="210"/>
      <c r="AJ139" s="210"/>
      <c r="AK139" s="210"/>
    </row>
    <row r="140" spans="1:37" s="211" customFormat="1" ht="15.75" hidden="1" customHeight="1">
      <c r="A140" s="130"/>
      <c r="B140" s="213"/>
      <c r="C140" s="229"/>
      <c r="D140" s="229"/>
      <c r="E140" s="230"/>
      <c r="F140" s="209" t="e">
        <f>COUNTIF(#REF!,"=N")</f>
        <v>#REF!</v>
      </c>
      <c r="G140" s="227"/>
      <c r="H140" s="227"/>
      <c r="I140" s="227"/>
      <c r="J140" s="227"/>
      <c r="K140" s="227"/>
      <c r="L140" s="227"/>
      <c r="M140" s="227"/>
      <c r="N140" s="227"/>
      <c r="O140" s="227"/>
      <c r="P140" s="227"/>
      <c r="Q140" s="227"/>
      <c r="R140" s="227"/>
      <c r="S140" s="227"/>
      <c r="T140" s="227"/>
      <c r="U140" s="227"/>
      <c r="V140" s="227"/>
      <c r="W140" s="227"/>
      <c r="X140" s="210"/>
      <c r="Y140" s="210"/>
      <c r="Z140" s="210"/>
      <c r="AA140" s="210"/>
      <c r="AB140" s="210"/>
      <c r="AC140" s="210"/>
      <c r="AD140" s="210"/>
      <c r="AE140" s="210"/>
      <c r="AF140" s="210"/>
      <c r="AG140" s="210"/>
      <c r="AH140" s="210"/>
      <c r="AI140" s="210"/>
      <c r="AJ140" s="210"/>
      <c r="AK140" s="210"/>
    </row>
    <row r="141" spans="1:37" s="211" customFormat="1" ht="15.75" hidden="1" customHeight="1">
      <c r="A141" s="130"/>
      <c r="B141" s="213"/>
      <c r="C141" s="229"/>
      <c r="D141" s="229"/>
      <c r="E141" s="230"/>
      <c r="F141" s="209"/>
      <c r="G141" s="227"/>
      <c r="H141" s="227"/>
      <c r="I141" s="227"/>
      <c r="J141" s="227"/>
      <c r="K141" s="227"/>
      <c r="L141" s="227"/>
      <c r="M141" s="227"/>
      <c r="N141" s="227"/>
      <c r="O141" s="227"/>
      <c r="P141" s="227"/>
      <c r="Q141" s="227"/>
      <c r="R141" s="227"/>
      <c r="S141" s="227"/>
      <c r="T141" s="227"/>
      <c r="U141" s="227"/>
      <c r="V141" s="227"/>
      <c r="W141" s="227"/>
      <c r="X141" s="210"/>
      <c r="Y141" s="210"/>
      <c r="Z141" s="210"/>
      <c r="AA141" s="210"/>
      <c r="AB141" s="210"/>
      <c r="AC141" s="210"/>
      <c r="AD141" s="210"/>
      <c r="AE141" s="210"/>
      <c r="AF141" s="210"/>
      <c r="AG141" s="210"/>
      <c r="AH141" s="210"/>
      <c r="AI141" s="210"/>
      <c r="AJ141" s="210"/>
      <c r="AK141" s="210"/>
    </row>
    <row r="142" spans="1:37" s="211" customFormat="1" ht="15.75" hidden="1" customHeight="1">
      <c r="A142" s="130"/>
      <c r="B142" s="213"/>
      <c r="C142" s="229"/>
      <c r="D142" s="229"/>
      <c r="E142" s="230"/>
      <c r="F142" s="209"/>
      <c r="G142" s="227"/>
      <c r="H142" s="227"/>
      <c r="I142" s="227"/>
      <c r="J142" s="227"/>
      <c r="K142" s="227"/>
      <c r="L142" s="227"/>
      <c r="M142" s="227"/>
      <c r="N142" s="227"/>
      <c r="O142" s="227"/>
      <c r="P142" s="227"/>
      <c r="Q142" s="227"/>
      <c r="R142" s="227"/>
      <c r="S142" s="227"/>
      <c r="T142" s="227"/>
      <c r="U142" s="227"/>
      <c r="V142" s="227"/>
      <c r="W142" s="227"/>
      <c r="X142" s="210"/>
      <c r="Y142" s="210"/>
      <c r="Z142" s="210"/>
      <c r="AA142" s="210"/>
      <c r="AB142" s="210"/>
      <c r="AC142" s="210"/>
      <c r="AD142" s="210"/>
      <c r="AE142" s="210"/>
      <c r="AF142" s="210"/>
      <c r="AG142" s="210"/>
      <c r="AH142" s="210"/>
      <c r="AI142" s="210"/>
      <c r="AJ142" s="210"/>
      <c r="AK142" s="210"/>
    </row>
    <row r="143" spans="1:37" s="211" customFormat="1" ht="15.75" hidden="1" customHeight="1">
      <c r="A143" s="130"/>
      <c r="B143" s="213"/>
      <c r="C143" s="229"/>
      <c r="D143" s="229"/>
      <c r="E143" s="230"/>
      <c r="F143" s="209"/>
      <c r="G143" s="227"/>
      <c r="H143" s="227"/>
      <c r="I143" s="227"/>
      <c r="J143" s="227"/>
      <c r="K143" s="227"/>
      <c r="L143" s="227"/>
      <c r="M143" s="227"/>
      <c r="N143" s="227"/>
      <c r="O143" s="227"/>
      <c r="P143" s="227"/>
      <c r="Q143" s="227"/>
      <c r="R143" s="227"/>
      <c r="S143" s="227"/>
      <c r="T143" s="227"/>
      <c r="U143" s="227"/>
      <c r="V143" s="227"/>
      <c r="W143" s="227"/>
      <c r="X143" s="210"/>
      <c r="Y143" s="210"/>
      <c r="Z143" s="210"/>
      <c r="AA143" s="210"/>
      <c r="AB143" s="210"/>
      <c r="AC143" s="210"/>
      <c r="AD143" s="210"/>
      <c r="AE143" s="210"/>
      <c r="AF143" s="210"/>
      <c r="AG143" s="210"/>
      <c r="AH143" s="210"/>
      <c r="AI143" s="210"/>
      <c r="AJ143" s="210"/>
      <c r="AK143" s="210"/>
    </row>
    <row r="144" spans="1:37" s="211" customFormat="1" ht="15.75" hidden="1" customHeight="1">
      <c r="A144" s="130"/>
      <c r="B144" s="213"/>
      <c r="C144" s="229"/>
      <c r="D144" s="229"/>
      <c r="E144" s="230"/>
      <c r="F144" s="209" t="e">
        <f>COUNTIF(#REF!,"=N")</f>
        <v>#REF!</v>
      </c>
      <c r="G144" s="227"/>
      <c r="H144" s="227"/>
      <c r="I144" s="227"/>
      <c r="J144" s="227"/>
      <c r="K144" s="227"/>
      <c r="L144" s="227"/>
      <c r="M144" s="227"/>
      <c r="N144" s="227"/>
      <c r="O144" s="227"/>
      <c r="P144" s="227"/>
      <c r="Q144" s="227"/>
      <c r="R144" s="227"/>
      <c r="S144" s="227"/>
      <c r="T144" s="227"/>
      <c r="U144" s="227"/>
      <c r="V144" s="227"/>
      <c r="W144" s="227"/>
      <c r="X144" s="210"/>
      <c r="Y144" s="210"/>
      <c r="Z144" s="210"/>
      <c r="AA144" s="210"/>
      <c r="AB144" s="210"/>
      <c r="AC144" s="210"/>
      <c r="AD144" s="210"/>
      <c r="AE144" s="210"/>
      <c r="AF144" s="210"/>
      <c r="AG144" s="210"/>
      <c r="AH144" s="210"/>
      <c r="AI144" s="210"/>
      <c r="AJ144" s="210"/>
      <c r="AK144" s="210"/>
    </row>
    <row r="145" spans="1:37" s="211" customFormat="1" ht="15.75" hidden="1" customHeight="1">
      <c r="A145" s="130"/>
      <c r="B145" s="213"/>
      <c r="C145" s="229"/>
      <c r="D145" s="229"/>
      <c r="E145" s="230"/>
      <c r="F145" s="209"/>
      <c r="G145" s="227"/>
      <c r="H145" s="227"/>
      <c r="I145" s="227"/>
      <c r="J145" s="227"/>
      <c r="K145" s="227"/>
      <c r="L145" s="227"/>
      <c r="M145" s="227"/>
      <c r="N145" s="227"/>
      <c r="O145" s="227"/>
      <c r="P145" s="227"/>
      <c r="Q145" s="227"/>
      <c r="R145" s="227"/>
      <c r="S145" s="227"/>
      <c r="T145" s="227"/>
      <c r="U145" s="227"/>
      <c r="V145" s="227"/>
      <c r="W145" s="227"/>
      <c r="X145" s="210"/>
      <c r="Y145" s="210"/>
      <c r="Z145" s="210"/>
      <c r="AA145" s="210"/>
      <c r="AB145" s="210"/>
      <c r="AC145" s="210"/>
      <c r="AD145" s="210"/>
      <c r="AE145" s="210"/>
      <c r="AF145" s="210"/>
      <c r="AG145" s="210"/>
      <c r="AH145" s="210"/>
      <c r="AI145" s="210"/>
      <c r="AJ145" s="210"/>
      <c r="AK145" s="210"/>
    </row>
    <row r="146" spans="1:37" s="211" customFormat="1" ht="15.75" hidden="1" customHeight="1">
      <c r="A146" s="130"/>
      <c r="B146" s="213"/>
      <c r="C146" s="229"/>
      <c r="D146" s="229"/>
      <c r="E146" s="230"/>
      <c r="F146" s="209"/>
      <c r="G146" s="227"/>
      <c r="H146" s="227"/>
      <c r="I146" s="227"/>
      <c r="J146" s="227"/>
      <c r="K146" s="227"/>
      <c r="L146" s="227"/>
      <c r="M146" s="227"/>
      <c r="N146" s="227"/>
      <c r="O146" s="227"/>
      <c r="P146" s="227"/>
      <c r="Q146" s="227"/>
      <c r="R146" s="227"/>
      <c r="S146" s="227"/>
      <c r="T146" s="227"/>
      <c r="U146" s="227"/>
      <c r="V146" s="227"/>
      <c r="W146" s="227"/>
      <c r="X146" s="210"/>
      <c r="Y146" s="210"/>
      <c r="Z146" s="210"/>
      <c r="AA146" s="210"/>
      <c r="AB146" s="210"/>
      <c r="AC146" s="210"/>
      <c r="AD146" s="210"/>
      <c r="AE146" s="210"/>
      <c r="AF146" s="210"/>
      <c r="AG146" s="210"/>
      <c r="AH146" s="210"/>
      <c r="AI146" s="210"/>
      <c r="AJ146" s="210"/>
      <c r="AK146" s="210"/>
    </row>
    <row r="147" spans="1:37" s="211" customFormat="1" ht="15.75" hidden="1" customHeight="1">
      <c r="A147" s="130"/>
      <c r="B147" s="213"/>
      <c r="C147" s="229"/>
      <c r="D147" s="229"/>
      <c r="E147" s="230"/>
      <c r="F147" s="209"/>
      <c r="G147" s="227"/>
      <c r="H147" s="227"/>
      <c r="I147" s="227"/>
      <c r="J147" s="227"/>
      <c r="K147" s="227"/>
      <c r="L147" s="227"/>
      <c r="M147" s="227"/>
      <c r="N147" s="227"/>
      <c r="O147" s="227"/>
      <c r="P147" s="227"/>
      <c r="Q147" s="227"/>
      <c r="R147" s="227"/>
      <c r="S147" s="227"/>
      <c r="T147" s="227"/>
      <c r="U147" s="227"/>
      <c r="V147" s="227"/>
      <c r="W147" s="227"/>
      <c r="X147" s="210"/>
      <c r="Y147" s="210"/>
      <c r="Z147" s="210"/>
      <c r="AA147" s="210"/>
      <c r="AB147" s="210"/>
      <c r="AC147" s="210"/>
      <c r="AD147" s="210"/>
      <c r="AE147" s="210"/>
      <c r="AF147" s="210"/>
      <c r="AG147" s="210"/>
      <c r="AH147" s="210"/>
      <c r="AI147" s="210"/>
      <c r="AJ147" s="210"/>
      <c r="AK147" s="210"/>
    </row>
    <row r="148" spans="1:37" s="211" customFormat="1" ht="15.75" hidden="1" customHeight="1">
      <c r="A148" s="130"/>
      <c r="B148" s="213"/>
      <c r="C148" s="229"/>
      <c r="D148" s="229"/>
      <c r="E148" s="230"/>
      <c r="F148" s="209"/>
      <c r="G148" s="227"/>
      <c r="H148" s="227"/>
      <c r="I148" s="227"/>
      <c r="J148" s="227"/>
      <c r="K148" s="227"/>
      <c r="L148" s="227"/>
      <c r="M148" s="227"/>
      <c r="N148" s="227"/>
      <c r="O148" s="227"/>
      <c r="P148" s="227"/>
      <c r="Q148" s="227"/>
      <c r="R148" s="227"/>
      <c r="S148" s="227"/>
      <c r="T148" s="227"/>
      <c r="U148" s="227"/>
      <c r="V148" s="227"/>
      <c r="W148" s="227"/>
      <c r="X148" s="210"/>
      <c r="Y148" s="210"/>
      <c r="Z148" s="210"/>
      <c r="AA148" s="210"/>
      <c r="AB148" s="210"/>
      <c r="AC148" s="210"/>
      <c r="AD148" s="210"/>
      <c r="AE148" s="210"/>
      <c r="AF148" s="210"/>
      <c r="AG148" s="210"/>
      <c r="AH148" s="210"/>
      <c r="AI148" s="210"/>
      <c r="AJ148" s="210"/>
      <c r="AK148" s="210"/>
    </row>
    <row r="149" spans="1:37" s="211" customFormat="1" ht="15.75" hidden="1" customHeight="1">
      <c r="A149" s="130"/>
      <c r="B149" s="213"/>
      <c r="C149" s="229"/>
      <c r="D149" s="229"/>
      <c r="E149" s="230"/>
      <c r="F149" s="209" t="e">
        <f>COUNTIF(#REF!,"=N")</f>
        <v>#REF!</v>
      </c>
      <c r="G149" s="227"/>
      <c r="H149" s="227"/>
      <c r="I149" s="227"/>
      <c r="J149" s="227"/>
      <c r="K149" s="227"/>
      <c r="L149" s="227"/>
      <c r="M149" s="227"/>
      <c r="N149" s="227"/>
      <c r="O149" s="227"/>
      <c r="P149" s="227"/>
      <c r="Q149" s="227"/>
      <c r="R149" s="227"/>
      <c r="S149" s="227"/>
      <c r="T149" s="227"/>
      <c r="U149" s="227"/>
      <c r="V149" s="227"/>
      <c r="W149" s="227"/>
      <c r="X149" s="210"/>
      <c r="Y149" s="210"/>
      <c r="Z149" s="210"/>
      <c r="AA149" s="210"/>
      <c r="AB149" s="210"/>
      <c r="AC149" s="210"/>
      <c r="AD149" s="210"/>
      <c r="AE149" s="210"/>
      <c r="AF149" s="210"/>
      <c r="AG149" s="210"/>
      <c r="AH149" s="210"/>
      <c r="AI149" s="210"/>
      <c r="AJ149" s="210"/>
      <c r="AK149" s="210"/>
    </row>
    <row r="150" spans="1:37" s="211" customFormat="1" ht="15.75" hidden="1" customHeight="1">
      <c r="A150" s="130"/>
      <c r="B150" s="213"/>
      <c r="C150" s="229"/>
      <c r="D150" s="229"/>
      <c r="E150" s="230"/>
      <c r="F150" s="209"/>
      <c r="G150" s="227"/>
      <c r="H150" s="227"/>
      <c r="I150" s="227"/>
      <c r="J150" s="227"/>
      <c r="K150" s="227"/>
      <c r="L150" s="227"/>
      <c r="M150" s="227"/>
      <c r="N150" s="227"/>
      <c r="O150" s="227"/>
      <c r="P150" s="227"/>
      <c r="Q150" s="227"/>
      <c r="R150" s="227"/>
      <c r="S150" s="227"/>
      <c r="T150" s="227"/>
      <c r="U150" s="227"/>
      <c r="V150" s="227"/>
      <c r="W150" s="227"/>
      <c r="X150" s="210"/>
      <c r="Y150" s="210"/>
      <c r="Z150" s="210"/>
      <c r="AA150" s="210"/>
      <c r="AB150" s="210"/>
      <c r="AC150" s="210"/>
      <c r="AD150" s="210"/>
      <c r="AE150" s="210"/>
      <c r="AF150" s="210"/>
      <c r="AG150" s="210"/>
      <c r="AH150" s="210"/>
      <c r="AI150" s="210"/>
      <c r="AJ150" s="210"/>
      <c r="AK150" s="210"/>
    </row>
    <row r="151" spans="1:37" s="211" customFormat="1" ht="15.75" hidden="1" customHeight="1">
      <c r="A151" s="130"/>
      <c r="B151" s="213"/>
      <c r="C151" s="229"/>
      <c r="D151" s="229"/>
      <c r="E151" s="230"/>
      <c r="F151" s="209"/>
      <c r="G151" s="227"/>
      <c r="H151" s="227"/>
      <c r="I151" s="227"/>
      <c r="J151" s="227"/>
      <c r="K151" s="227"/>
      <c r="L151" s="227"/>
      <c r="M151" s="227"/>
      <c r="N151" s="227"/>
      <c r="O151" s="227"/>
      <c r="P151" s="227"/>
      <c r="Q151" s="227"/>
      <c r="R151" s="227"/>
      <c r="S151" s="227"/>
      <c r="T151" s="227"/>
      <c r="U151" s="227"/>
      <c r="V151" s="227"/>
      <c r="W151" s="227"/>
      <c r="X151" s="210"/>
      <c r="Y151" s="210"/>
      <c r="Z151" s="210"/>
      <c r="AA151" s="210"/>
      <c r="AB151" s="210"/>
      <c r="AC151" s="210"/>
      <c r="AD151" s="210"/>
      <c r="AE151" s="210"/>
      <c r="AF151" s="210"/>
      <c r="AG151" s="210"/>
      <c r="AH151" s="210"/>
      <c r="AI151" s="210"/>
      <c r="AJ151" s="210"/>
      <c r="AK151" s="210"/>
    </row>
    <row r="152" spans="1:37" s="211" customFormat="1" ht="15.75" hidden="1" customHeight="1">
      <c r="A152" s="130"/>
      <c r="B152" s="213"/>
      <c r="C152" s="229"/>
      <c r="D152" s="229"/>
      <c r="E152" s="230"/>
      <c r="F152" s="209"/>
      <c r="G152" s="227"/>
      <c r="H152" s="227"/>
      <c r="I152" s="227"/>
      <c r="J152" s="227"/>
      <c r="K152" s="227"/>
      <c r="L152" s="227"/>
      <c r="M152" s="227"/>
      <c r="N152" s="227"/>
      <c r="O152" s="227"/>
      <c r="P152" s="227"/>
      <c r="Q152" s="227"/>
      <c r="R152" s="227"/>
      <c r="S152" s="227"/>
      <c r="T152" s="227"/>
      <c r="U152" s="227"/>
      <c r="V152" s="227"/>
      <c r="W152" s="227"/>
      <c r="X152" s="210"/>
      <c r="Y152" s="210"/>
      <c r="Z152" s="210"/>
      <c r="AA152" s="210"/>
      <c r="AB152" s="210"/>
      <c r="AC152" s="210"/>
      <c r="AD152" s="210"/>
      <c r="AE152" s="210"/>
      <c r="AF152" s="210"/>
      <c r="AG152" s="210"/>
      <c r="AH152" s="210"/>
      <c r="AI152" s="210"/>
      <c r="AJ152" s="210"/>
      <c r="AK152" s="210"/>
    </row>
    <row r="153" spans="1:37" s="211" customFormat="1" ht="15.75" hidden="1" customHeight="1">
      <c r="A153" s="130"/>
      <c r="B153" s="213"/>
      <c r="C153" s="229"/>
      <c r="D153" s="229"/>
      <c r="E153" s="230"/>
      <c r="F153" s="209" t="e">
        <f>COUNTIF(#REF!,"=N")</f>
        <v>#REF!</v>
      </c>
      <c r="G153" s="227"/>
      <c r="H153" s="227"/>
      <c r="I153" s="227"/>
      <c r="J153" s="227"/>
      <c r="K153" s="227"/>
      <c r="L153" s="227"/>
      <c r="M153" s="227"/>
      <c r="N153" s="227"/>
      <c r="O153" s="227"/>
      <c r="P153" s="227"/>
      <c r="Q153" s="227"/>
      <c r="R153" s="227"/>
      <c r="S153" s="227"/>
      <c r="T153" s="227"/>
      <c r="U153" s="227"/>
      <c r="V153" s="227"/>
      <c r="W153" s="227"/>
      <c r="X153" s="210"/>
      <c r="Y153" s="210"/>
      <c r="Z153" s="210"/>
      <c r="AA153" s="210"/>
      <c r="AB153" s="210"/>
      <c r="AC153" s="210"/>
      <c r="AD153" s="210"/>
      <c r="AE153" s="210"/>
      <c r="AF153" s="210"/>
      <c r="AG153" s="210"/>
      <c r="AH153" s="210"/>
      <c r="AI153" s="210"/>
      <c r="AJ153" s="210"/>
      <c r="AK153" s="210"/>
    </row>
    <row r="154" spans="1:37" s="211" customFormat="1" ht="15.75" hidden="1" customHeight="1">
      <c r="A154" s="130"/>
      <c r="B154" s="213"/>
      <c r="C154" s="229"/>
      <c r="D154" s="229"/>
      <c r="E154" s="230"/>
      <c r="F154" s="209"/>
      <c r="G154" s="227"/>
      <c r="H154" s="227"/>
      <c r="I154" s="227"/>
      <c r="J154" s="227"/>
      <c r="K154" s="227"/>
      <c r="L154" s="227"/>
      <c r="M154" s="227"/>
      <c r="N154" s="227"/>
      <c r="O154" s="227"/>
      <c r="P154" s="227"/>
      <c r="Q154" s="227"/>
      <c r="R154" s="227"/>
      <c r="S154" s="227"/>
      <c r="T154" s="227"/>
      <c r="U154" s="227"/>
      <c r="V154" s="227"/>
      <c r="W154" s="227"/>
      <c r="X154" s="210"/>
      <c r="Y154" s="210"/>
      <c r="Z154" s="210"/>
      <c r="AA154" s="210"/>
      <c r="AB154" s="210"/>
      <c r="AC154" s="210"/>
      <c r="AD154" s="210"/>
      <c r="AE154" s="210"/>
      <c r="AF154" s="210"/>
      <c r="AG154" s="210"/>
      <c r="AH154" s="210"/>
      <c r="AI154" s="210"/>
      <c r="AJ154" s="210"/>
      <c r="AK154" s="210"/>
    </row>
    <row r="155" spans="1:37" s="211" customFormat="1" ht="15.75" hidden="1" customHeight="1">
      <c r="A155" s="130"/>
      <c r="B155" s="213"/>
      <c r="C155" s="229"/>
      <c r="D155" s="229"/>
      <c r="E155" s="230"/>
      <c r="F155" s="209"/>
      <c r="G155" s="227"/>
      <c r="H155" s="227"/>
      <c r="I155" s="227"/>
      <c r="J155" s="227"/>
      <c r="K155" s="227"/>
      <c r="L155" s="227"/>
      <c r="M155" s="227"/>
      <c r="N155" s="227"/>
      <c r="O155" s="227"/>
      <c r="P155" s="227"/>
      <c r="Q155" s="227"/>
      <c r="R155" s="227"/>
      <c r="S155" s="227"/>
      <c r="T155" s="227"/>
      <c r="U155" s="227"/>
      <c r="V155" s="227"/>
      <c r="W155" s="227"/>
      <c r="X155" s="210"/>
      <c r="Y155" s="210"/>
      <c r="Z155" s="210"/>
      <c r="AA155" s="210"/>
      <c r="AB155" s="210"/>
      <c r="AC155" s="210"/>
      <c r="AD155" s="210"/>
      <c r="AE155" s="210"/>
      <c r="AF155" s="210"/>
      <c r="AG155" s="210"/>
      <c r="AH155" s="210"/>
      <c r="AI155" s="210"/>
      <c r="AJ155" s="210"/>
      <c r="AK155" s="210"/>
    </row>
    <row r="156" spans="1:37" s="211" customFormat="1" ht="15.75" hidden="1" customHeight="1">
      <c r="A156" s="130"/>
      <c r="B156" s="213"/>
      <c r="C156" s="229"/>
      <c r="D156" s="229"/>
      <c r="E156" s="230"/>
      <c r="F156" s="209"/>
      <c r="G156" s="227"/>
      <c r="H156" s="227"/>
      <c r="I156" s="227"/>
      <c r="J156" s="227"/>
      <c r="K156" s="227"/>
      <c r="L156" s="227"/>
      <c r="M156" s="227"/>
      <c r="N156" s="227"/>
      <c r="O156" s="227"/>
      <c r="P156" s="227"/>
      <c r="Q156" s="227"/>
      <c r="R156" s="227"/>
      <c r="S156" s="227"/>
      <c r="T156" s="227"/>
      <c r="U156" s="227"/>
      <c r="V156" s="227"/>
      <c r="W156" s="227"/>
      <c r="X156" s="210"/>
      <c r="Y156" s="210"/>
      <c r="Z156" s="210"/>
      <c r="AA156" s="210"/>
      <c r="AB156" s="210"/>
      <c r="AC156" s="210"/>
      <c r="AD156" s="210"/>
      <c r="AE156" s="210"/>
      <c r="AF156" s="210"/>
      <c r="AG156" s="210"/>
      <c r="AH156" s="210"/>
      <c r="AI156" s="210"/>
      <c r="AJ156" s="210"/>
      <c r="AK156" s="210"/>
    </row>
    <row r="157" spans="1:37" s="211" customFormat="1" ht="15.75" hidden="1" customHeight="1">
      <c r="A157" s="130"/>
      <c r="B157" s="213"/>
      <c r="C157" s="229"/>
      <c r="D157" s="229"/>
      <c r="E157" s="230"/>
      <c r="F157" s="209"/>
      <c r="G157" s="227"/>
      <c r="H157" s="227"/>
      <c r="I157" s="227"/>
      <c r="J157" s="227"/>
      <c r="K157" s="227"/>
      <c r="L157" s="227"/>
      <c r="M157" s="227"/>
      <c r="N157" s="227"/>
      <c r="O157" s="227"/>
      <c r="P157" s="227"/>
      <c r="Q157" s="227"/>
      <c r="R157" s="227"/>
      <c r="S157" s="227"/>
      <c r="T157" s="227"/>
      <c r="U157" s="227"/>
      <c r="V157" s="227"/>
      <c r="W157" s="227"/>
      <c r="X157" s="210"/>
      <c r="Y157" s="210"/>
      <c r="Z157" s="210"/>
      <c r="AA157" s="210"/>
      <c r="AB157" s="210"/>
      <c r="AC157" s="210"/>
      <c r="AD157" s="210"/>
      <c r="AE157" s="210"/>
      <c r="AF157" s="210"/>
      <c r="AG157" s="210"/>
      <c r="AH157" s="210"/>
      <c r="AI157" s="210"/>
      <c r="AJ157" s="210"/>
      <c r="AK157" s="210"/>
    </row>
    <row r="158" spans="1:37" s="211" customFormat="1" ht="15.75" hidden="1" customHeight="1">
      <c r="A158" s="130"/>
      <c r="B158" s="213"/>
      <c r="C158" s="229"/>
      <c r="D158" s="229"/>
      <c r="E158" s="230"/>
      <c r="F158" s="209" t="e">
        <f>COUNTIF(#REF!,"=N")</f>
        <v>#REF!</v>
      </c>
      <c r="G158" s="227"/>
      <c r="H158" s="227"/>
      <c r="I158" s="227"/>
      <c r="J158" s="227"/>
      <c r="K158" s="227"/>
      <c r="L158" s="227"/>
      <c r="M158" s="227"/>
      <c r="N158" s="227"/>
      <c r="O158" s="227"/>
      <c r="P158" s="227"/>
      <c r="Q158" s="227"/>
      <c r="R158" s="227"/>
      <c r="S158" s="227"/>
      <c r="T158" s="227"/>
      <c r="U158" s="227"/>
      <c r="V158" s="227"/>
      <c r="W158" s="227"/>
      <c r="X158" s="210"/>
      <c r="Y158" s="210"/>
      <c r="Z158" s="210"/>
      <c r="AA158" s="210"/>
      <c r="AB158" s="210"/>
      <c r="AC158" s="210"/>
      <c r="AD158" s="210"/>
      <c r="AE158" s="210"/>
      <c r="AF158" s="210"/>
      <c r="AG158" s="210"/>
      <c r="AH158" s="210"/>
      <c r="AI158" s="210"/>
      <c r="AJ158" s="210"/>
      <c r="AK158" s="210"/>
    </row>
    <row r="159" spans="1:37" s="211" customFormat="1" ht="15.75" hidden="1" customHeight="1">
      <c r="A159" s="130"/>
      <c r="B159" s="213"/>
      <c r="C159" s="229"/>
      <c r="D159" s="229"/>
      <c r="E159" s="230"/>
      <c r="F159" s="209"/>
      <c r="G159" s="227"/>
      <c r="H159" s="227"/>
      <c r="I159" s="227"/>
      <c r="J159" s="227"/>
      <c r="K159" s="227"/>
      <c r="L159" s="227"/>
      <c r="M159" s="227"/>
      <c r="N159" s="227"/>
      <c r="O159" s="227"/>
      <c r="P159" s="227"/>
      <c r="Q159" s="227"/>
      <c r="R159" s="227"/>
      <c r="S159" s="227"/>
      <c r="T159" s="227"/>
      <c r="U159" s="227"/>
      <c r="V159" s="227"/>
      <c r="W159" s="227"/>
      <c r="X159" s="210"/>
      <c r="Y159" s="210"/>
      <c r="Z159" s="210"/>
      <c r="AA159" s="210"/>
      <c r="AB159" s="210"/>
      <c r="AC159" s="210"/>
      <c r="AD159" s="210"/>
      <c r="AE159" s="210"/>
      <c r="AF159" s="210"/>
      <c r="AG159" s="210"/>
      <c r="AH159" s="210"/>
      <c r="AI159" s="210"/>
      <c r="AJ159" s="210"/>
      <c r="AK159" s="210"/>
    </row>
    <row r="160" spans="1:37" s="211" customFormat="1" ht="15.75" hidden="1" customHeight="1">
      <c r="A160" s="130"/>
      <c r="B160" s="213"/>
      <c r="C160" s="229"/>
      <c r="D160" s="229"/>
      <c r="E160" s="230"/>
      <c r="F160" s="209"/>
      <c r="G160" s="227"/>
      <c r="H160" s="227"/>
      <c r="I160" s="227"/>
      <c r="J160" s="227"/>
      <c r="K160" s="227"/>
      <c r="L160" s="227"/>
      <c r="M160" s="227"/>
      <c r="N160" s="227"/>
      <c r="O160" s="227"/>
      <c r="P160" s="227"/>
      <c r="Q160" s="227"/>
      <c r="R160" s="227"/>
      <c r="S160" s="227"/>
      <c r="T160" s="227"/>
      <c r="U160" s="227"/>
      <c r="V160" s="227"/>
      <c r="W160" s="227"/>
      <c r="X160" s="210"/>
      <c r="Y160" s="210"/>
      <c r="Z160" s="210"/>
      <c r="AA160" s="210"/>
      <c r="AB160" s="210"/>
      <c r="AC160" s="210"/>
      <c r="AD160" s="210"/>
      <c r="AE160" s="210"/>
      <c r="AF160" s="210"/>
      <c r="AG160" s="210"/>
      <c r="AH160" s="210"/>
      <c r="AI160" s="210"/>
      <c r="AJ160" s="210"/>
      <c r="AK160" s="210"/>
    </row>
    <row r="161" spans="1:37" s="211" customFormat="1" ht="15.75" hidden="1" customHeight="1">
      <c r="A161" s="130"/>
      <c r="B161" s="213"/>
      <c r="C161" s="229" t="e">
        <f>COUNTIF(#REF!,"=P")</f>
        <v>#REF!</v>
      </c>
      <c r="D161" s="229" t="e">
        <f>COUNTIF(#REF!,"=D")</f>
        <v>#REF!</v>
      </c>
      <c r="E161" s="230" t="e">
        <f>COUNTIF(#REF!,"=I")</f>
        <v>#REF!</v>
      </c>
      <c r="F161" s="209" t="e">
        <f>COUNTIF(#REF!,"=N")</f>
        <v>#REF!</v>
      </c>
      <c r="G161" s="227"/>
      <c r="H161" s="227"/>
      <c r="I161" s="227"/>
      <c r="J161" s="227"/>
      <c r="K161" s="227"/>
      <c r="L161" s="227"/>
      <c r="M161" s="227"/>
      <c r="N161" s="227"/>
      <c r="O161" s="227"/>
      <c r="P161" s="227"/>
      <c r="Q161" s="227"/>
      <c r="R161" s="227"/>
      <c r="S161" s="227"/>
      <c r="T161" s="227"/>
      <c r="U161" s="227"/>
      <c r="V161" s="227"/>
      <c r="W161" s="227"/>
      <c r="X161" s="210"/>
      <c r="Y161" s="210"/>
      <c r="Z161" s="210"/>
      <c r="AA161" s="210"/>
      <c r="AB161" s="210"/>
      <c r="AC161" s="210"/>
      <c r="AD161" s="210"/>
      <c r="AE161" s="210"/>
      <c r="AF161" s="210"/>
      <c r="AG161" s="210"/>
      <c r="AH161" s="210"/>
      <c r="AI161" s="210"/>
      <c r="AJ161" s="210"/>
      <c r="AK161" s="210"/>
    </row>
    <row r="162" spans="1:37" s="211" customFormat="1" ht="15.75" hidden="1" customHeight="1">
      <c r="A162" s="130"/>
      <c r="B162" s="213"/>
      <c r="C162" s="229"/>
      <c r="D162" s="229"/>
      <c r="E162" s="230"/>
      <c r="F162" s="209"/>
      <c r="G162" s="227"/>
      <c r="H162" s="227"/>
      <c r="I162" s="227"/>
      <c r="J162" s="227"/>
      <c r="K162" s="227"/>
      <c r="L162" s="227"/>
      <c r="M162" s="227"/>
      <c r="N162" s="227"/>
      <c r="O162" s="227"/>
      <c r="P162" s="227"/>
      <c r="Q162" s="227"/>
      <c r="R162" s="227"/>
      <c r="S162" s="227"/>
      <c r="T162" s="227"/>
      <c r="U162" s="227"/>
      <c r="V162" s="227"/>
      <c r="W162" s="227"/>
      <c r="X162" s="210"/>
      <c r="Y162" s="210"/>
      <c r="Z162" s="210"/>
      <c r="AA162" s="210"/>
      <c r="AB162" s="210"/>
      <c r="AC162" s="210"/>
      <c r="AD162" s="210"/>
      <c r="AE162" s="210"/>
      <c r="AF162" s="210"/>
      <c r="AG162" s="210"/>
      <c r="AH162" s="210"/>
      <c r="AI162" s="210"/>
      <c r="AJ162" s="210"/>
      <c r="AK162" s="210"/>
    </row>
    <row r="163" spans="1:37" s="211" customFormat="1" ht="15.75" hidden="1" customHeight="1">
      <c r="A163" s="130"/>
      <c r="B163" s="213"/>
      <c r="C163" s="229"/>
      <c r="D163" s="229"/>
      <c r="E163" s="230"/>
      <c r="F163" s="209"/>
      <c r="G163" s="227"/>
      <c r="H163" s="227"/>
      <c r="I163" s="227"/>
      <c r="J163" s="227"/>
      <c r="K163" s="227"/>
      <c r="L163" s="227"/>
      <c r="M163" s="227"/>
      <c r="N163" s="227"/>
      <c r="O163" s="227"/>
      <c r="P163" s="227"/>
      <c r="Q163" s="227"/>
      <c r="R163" s="227"/>
      <c r="S163" s="227"/>
      <c r="T163" s="227"/>
      <c r="U163" s="227"/>
      <c r="V163" s="227"/>
      <c r="W163" s="227"/>
      <c r="X163" s="210"/>
      <c r="Y163" s="210"/>
      <c r="Z163" s="210"/>
      <c r="AA163" s="210"/>
      <c r="AB163" s="210"/>
      <c r="AC163" s="210"/>
      <c r="AD163" s="210"/>
      <c r="AE163" s="210"/>
      <c r="AF163" s="210"/>
      <c r="AG163" s="210"/>
      <c r="AH163" s="210"/>
      <c r="AI163" s="210"/>
      <c r="AJ163" s="210"/>
      <c r="AK163" s="210"/>
    </row>
    <row r="164" spans="1:37" s="211" customFormat="1" ht="15.75" hidden="1" customHeight="1">
      <c r="A164" s="130"/>
      <c r="B164" s="213"/>
      <c r="C164" s="229" t="e">
        <f>COUNTIF(#REF!,"=P")</f>
        <v>#REF!</v>
      </c>
      <c r="D164" s="229" t="e">
        <f>COUNTIF(#REF!,"=D")</f>
        <v>#REF!</v>
      </c>
      <c r="E164" s="230" t="e">
        <f>COUNTIF(#REF!,"=I")</f>
        <v>#REF!</v>
      </c>
      <c r="F164" s="209" t="e">
        <f>COUNTIF(#REF!,"=N")</f>
        <v>#REF!</v>
      </c>
      <c r="G164" s="227"/>
      <c r="H164" s="227"/>
      <c r="I164" s="227"/>
      <c r="J164" s="227"/>
      <c r="K164" s="227"/>
      <c r="L164" s="227"/>
      <c r="M164" s="227"/>
      <c r="N164" s="227"/>
      <c r="O164" s="227"/>
      <c r="P164" s="227"/>
      <c r="Q164" s="227"/>
      <c r="R164" s="227"/>
      <c r="S164" s="227"/>
      <c r="T164" s="227"/>
      <c r="U164" s="227"/>
      <c r="V164" s="227"/>
      <c r="W164" s="227"/>
      <c r="X164" s="210"/>
      <c r="Y164" s="210"/>
      <c r="Z164" s="210"/>
      <c r="AA164" s="210"/>
      <c r="AB164" s="210"/>
      <c r="AC164" s="210"/>
      <c r="AD164" s="210"/>
      <c r="AE164" s="210"/>
      <c r="AF164" s="210"/>
      <c r="AG164" s="210"/>
      <c r="AH164" s="210"/>
      <c r="AI164" s="210"/>
      <c r="AJ164" s="210"/>
      <c r="AK164" s="210"/>
    </row>
    <row r="165" spans="1:37" s="211" customFormat="1" ht="15.75" hidden="1" customHeight="1">
      <c r="A165" s="130"/>
      <c r="B165" s="213"/>
      <c r="C165" s="229"/>
      <c r="D165" s="229"/>
      <c r="E165" s="230"/>
      <c r="F165" s="209"/>
      <c r="G165" s="227"/>
      <c r="H165" s="227"/>
      <c r="I165" s="227"/>
      <c r="J165" s="227"/>
      <c r="K165" s="227"/>
      <c r="L165" s="227"/>
      <c r="M165" s="227"/>
      <c r="N165" s="227"/>
      <c r="O165" s="227"/>
      <c r="P165" s="227"/>
      <c r="Q165" s="227"/>
      <c r="R165" s="227"/>
      <c r="S165" s="227"/>
      <c r="T165" s="227"/>
      <c r="U165" s="227"/>
      <c r="V165" s="227"/>
      <c r="W165" s="227"/>
      <c r="X165" s="210"/>
      <c r="Y165" s="210"/>
      <c r="Z165" s="210"/>
      <c r="AA165" s="210"/>
      <c r="AB165" s="210"/>
      <c r="AC165" s="210"/>
      <c r="AD165" s="210"/>
      <c r="AE165" s="210"/>
      <c r="AF165" s="210"/>
      <c r="AG165" s="210"/>
      <c r="AH165" s="210"/>
      <c r="AI165" s="210"/>
      <c r="AJ165" s="210"/>
      <c r="AK165" s="210"/>
    </row>
    <row r="166" spans="1:37" s="211" customFormat="1" ht="15.75" hidden="1" customHeight="1">
      <c r="A166" s="130"/>
      <c r="B166" s="213"/>
      <c r="C166" s="229"/>
      <c r="D166" s="229"/>
      <c r="E166" s="230"/>
      <c r="F166" s="209"/>
      <c r="G166" s="227"/>
      <c r="H166" s="227"/>
      <c r="I166" s="227"/>
      <c r="J166" s="227"/>
      <c r="K166" s="227"/>
      <c r="L166" s="227"/>
      <c r="M166" s="227"/>
      <c r="N166" s="227"/>
      <c r="O166" s="227"/>
      <c r="P166" s="227"/>
      <c r="Q166" s="227"/>
      <c r="R166" s="227"/>
      <c r="S166" s="227"/>
      <c r="T166" s="227"/>
      <c r="U166" s="227"/>
      <c r="V166" s="227"/>
      <c r="W166" s="227"/>
      <c r="X166" s="210"/>
      <c r="Y166" s="210"/>
      <c r="Z166" s="210"/>
      <c r="AA166" s="210"/>
      <c r="AB166" s="210"/>
      <c r="AC166" s="210"/>
      <c r="AD166" s="210"/>
      <c r="AE166" s="210"/>
      <c r="AF166" s="210"/>
      <c r="AG166" s="210"/>
      <c r="AH166" s="210"/>
      <c r="AI166" s="210"/>
      <c r="AJ166" s="210"/>
      <c r="AK166" s="210"/>
    </row>
    <row r="167" spans="1:37" s="211" customFormat="1" ht="15.75" hidden="1" customHeight="1">
      <c r="A167" s="130"/>
      <c r="B167" s="213"/>
      <c r="C167" s="229"/>
      <c r="D167" s="229"/>
      <c r="E167" s="230"/>
      <c r="F167" s="209"/>
      <c r="G167" s="227"/>
      <c r="H167" s="227"/>
      <c r="I167" s="227"/>
      <c r="J167" s="227"/>
      <c r="K167" s="227"/>
      <c r="L167" s="227"/>
      <c r="M167" s="227"/>
      <c r="N167" s="227"/>
      <c r="O167" s="227"/>
      <c r="P167" s="227"/>
      <c r="Q167" s="227"/>
      <c r="R167" s="227"/>
      <c r="S167" s="227"/>
      <c r="T167" s="227"/>
      <c r="U167" s="227"/>
      <c r="V167" s="227"/>
      <c r="W167" s="227"/>
      <c r="X167" s="210"/>
      <c r="Y167" s="210"/>
      <c r="Z167" s="210"/>
      <c r="AA167" s="210"/>
      <c r="AB167" s="210"/>
      <c r="AC167" s="210"/>
      <c r="AD167" s="210"/>
      <c r="AE167" s="210"/>
      <c r="AF167" s="210"/>
      <c r="AG167" s="210"/>
      <c r="AH167" s="210"/>
      <c r="AI167" s="210"/>
      <c r="AJ167" s="210"/>
      <c r="AK167" s="210"/>
    </row>
    <row r="168" spans="1:37" s="211" customFormat="1" ht="15.75" hidden="1" customHeight="1">
      <c r="A168" s="130"/>
      <c r="B168" s="213"/>
      <c r="C168" s="229" t="e">
        <f>COUNTIF(#REF!,"=P")</f>
        <v>#REF!</v>
      </c>
      <c r="D168" s="229" t="e">
        <f>COUNTIF(#REF!,"=D")</f>
        <v>#REF!</v>
      </c>
      <c r="E168" s="230" t="e">
        <f>COUNTIF(#REF!,"=I")</f>
        <v>#REF!</v>
      </c>
      <c r="F168" s="209" t="e">
        <f>COUNTIF(#REF!,"=N")</f>
        <v>#REF!</v>
      </c>
      <c r="G168" s="227"/>
      <c r="H168" s="227"/>
      <c r="I168" s="227"/>
      <c r="J168" s="227"/>
      <c r="K168" s="227"/>
      <c r="L168" s="227"/>
      <c r="M168" s="227"/>
      <c r="N168" s="227"/>
      <c r="O168" s="227"/>
      <c r="P168" s="227"/>
      <c r="Q168" s="227"/>
      <c r="R168" s="227"/>
      <c r="S168" s="227"/>
      <c r="T168" s="227"/>
      <c r="U168" s="227"/>
      <c r="V168" s="227"/>
      <c r="W168" s="227"/>
      <c r="X168" s="210"/>
      <c r="Y168" s="210"/>
      <c r="Z168" s="210"/>
      <c r="AA168" s="210"/>
      <c r="AB168" s="210"/>
      <c r="AC168" s="210"/>
      <c r="AD168" s="210"/>
      <c r="AE168" s="210"/>
      <c r="AF168" s="210"/>
      <c r="AG168" s="210"/>
      <c r="AH168" s="210"/>
      <c r="AI168" s="210"/>
      <c r="AJ168" s="210"/>
      <c r="AK168" s="210"/>
    </row>
    <row r="169" spans="1:37" s="211" customFormat="1" ht="15.75" hidden="1" customHeight="1">
      <c r="A169" s="130"/>
      <c r="B169" s="213"/>
      <c r="C169" s="229"/>
      <c r="D169" s="229"/>
      <c r="E169" s="230"/>
      <c r="F169" s="209"/>
      <c r="G169" s="227"/>
      <c r="H169" s="227"/>
      <c r="I169" s="227"/>
      <c r="J169" s="227"/>
      <c r="K169" s="227"/>
      <c r="L169" s="227"/>
      <c r="M169" s="227"/>
      <c r="N169" s="227"/>
      <c r="O169" s="227"/>
      <c r="P169" s="227"/>
      <c r="Q169" s="227"/>
      <c r="R169" s="227"/>
      <c r="S169" s="227"/>
      <c r="T169" s="227"/>
      <c r="U169" s="227"/>
      <c r="V169" s="227"/>
      <c r="W169" s="227"/>
      <c r="X169" s="210"/>
      <c r="Y169" s="210"/>
      <c r="Z169" s="210"/>
      <c r="AA169" s="210"/>
      <c r="AB169" s="210"/>
      <c r="AC169" s="210"/>
      <c r="AD169" s="210"/>
      <c r="AE169" s="210"/>
      <c r="AF169" s="210"/>
      <c r="AG169" s="210"/>
      <c r="AH169" s="210"/>
      <c r="AI169" s="210"/>
      <c r="AJ169" s="210"/>
      <c r="AK169" s="210"/>
    </row>
    <row r="170" spans="1:37" s="211" customFormat="1" ht="15.75" hidden="1" customHeight="1">
      <c r="A170" s="130"/>
      <c r="B170" s="213"/>
      <c r="C170" s="229"/>
      <c r="D170" s="229"/>
      <c r="E170" s="230"/>
      <c r="F170" s="209"/>
      <c r="G170" s="227"/>
      <c r="H170" s="227"/>
      <c r="I170" s="227"/>
      <c r="J170" s="227"/>
      <c r="K170" s="227"/>
      <c r="L170" s="227"/>
      <c r="M170" s="227"/>
      <c r="N170" s="227"/>
      <c r="O170" s="227"/>
      <c r="P170" s="227"/>
      <c r="Q170" s="227"/>
      <c r="R170" s="227"/>
      <c r="S170" s="227"/>
      <c r="T170" s="227"/>
      <c r="U170" s="227"/>
      <c r="V170" s="227"/>
      <c r="W170" s="227"/>
      <c r="X170" s="210"/>
      <c r="Y170" s="210"/>
      <c r="Z170" s="210"/>
      <c r="AA170" s="210"/>
      <c r="AB170" s="210"/>
      <c r="AC170" s="210"/>
      <c r="AD170" s="210"/>
      <c r="AE170" s="210"/>
      <c r="AF170" s="210"/>
      <c r="AG170" s="210"/>
      <c r="AH170" s="210"/>
      <c r="AI170" s="210"/>
      <c r="AJ170" s="210"/>
      <c r="AK170" s="210"/>
    </row>
    <row r="171" spans="1:37" s="211" customFormat="1" ht="15.75" hidden="1" customHeight="1">
      <c r="A171" s="130"/>
      <c r="B171" s="213"/>
      <c r="C171" s="229"/>
      <c r="D171" s="229"/>
      <c r="E171" s="230"/>
      <c r="F171" s="209"/>
      <c r="G171" s="227"/>
      <c r="H171" s="227"/>
      <c r="I171" s="227"/>
      <c r="J171" s="227"/>
      <c r="K171" s="227"/>
      <c r="L171" s="227"/>
      <c r="M171" s="227"/>
      <c r="N171" s="227"/>
      <c r="O171" s="227"/>
      <c r="P171" s="227"/>
      <c r="Q171" s="227"/>
      <c r="R171" s="227"/>
      <c r="S171" s="227"/>
      <c r="T171" s="227"/>
      <c r="U171" s="227"/>
      <c r="V171" s="227"/>
      <c r="W171" s="227"/>
      <c r="X171" s="210"/>
      <c r="Y171" s="210"/>
      <c r="Z171" s="210"/>
      <c r="AA171" s="210"/>
      <c r="AB171" s="210"/>
      <c r="AC171" s="210"/>
      <c r="AD171" s="210"/>
      <c r="AE171" s="210"/>
      <c r="AF171" s="210"/>
      <c r="AG171" s="210"/>
      <c r="AH171" s="210"/>
      <c r="AI171" s="210"/>
      <c r="AJ171" s="210"/>
      <c r="AK171" s="210"/>
    </row>
    <row r="172" spans="1:37" s="211" customFormat="1" ht="15.75" hidden="1" customHeight="1">
      <c r="A172" s="130"/>
      <c r="B172" s="213"/>
      <c r="C172" s="229"/>
      <c r="D172" s="229"/>
      <c r="E172" s="230"/>
      <c r="F172" s="209"/>
      <c r="G172" s="227"/>
      <c r="H172" s="227"/>
      <c r="I172" s="227"/>
      <c r="J172" s="227"/>
      <c r="K172" s="227"/>
      <c r="L172" s="227"/>
      <c r="M172" s="227"/>
      <c r="N172" s="227"/>
      <c r="O172" s="227"/>
      <c r="P172" s="227"/>
      <c r="Q172" s="227"/>
      <c r="R172" s="227"/>
      <c r="S172" s="227"/>
      <c r="T172" s="227"/>
      <c r="U172" s="227"/>
      <c r="V172" s="227"/>
      <c r="W172" s="227"/>
      <c r="X172" s="210"/>
      <c r="Y172" s="210"/>
      <c r="Z172" s="210"/>
      <c r="AA172" s="210"/>
      <c r="AB172" s="210"/>
      <c r="AC172" s="210"/>
      <c r="AD172" s="210"/>
      <c r="AE172" s="210"/>
      <c r="AF172" s="210"/>
      <c r="AG172" s="210"/>
      <c r="AH172" s="210"/>
      <c r="AI172" s="210"/>
      <c r="AJ172" s="210"/>
      <c r="AK172" s="210"/>
    </row>
    <row r="173" spans="1:37" s="211" customFormat="1" ht="15.75" hidden="1" customHeight="1">
      <c r="A173" s="247"/>
      <c r="B173" s="109"/>
      <c r="C173" s="214"/>
      <c r="D173" s="214"/>
      <c r="E173" s="235"/>
      <c r="F173" s="209"/>
      <c r="G173" s="227"/>
      <c r="H173" s="227"/>
      <c r="I173" s="227"/>
      <c r="J173" s="227"/>
      <c r="K173" s="227"/>
      <c r="L173" s="227"/>
      <c r="M173" s="227"/>
      <c r="N173" s="227"/>
      <c r="O173" s="227"/>
      <c r="P173" s="227"/>
      <c r="Q173" s="227"/>
      <c r="R173" s="227"/>
      <c r="S173" s="227"/>
      <c r="T173" s="227"/>
      <c r="U173" s="227"/>
      <c r="V173" s="227"/>
      <c r="W173" s="227"/>
      <c r="X173" s="210"/>
      <c r="Y173" s="210"/>
      <c r="Z173" s="210"/>
      <c r="AA173" s="210"/>
      <c r="AB173" s="210"/>
      <c r="AC173" s="210"/>
      <c r="AD173" s="210"/>
      <c r="AE173" s="210"/>
      <c r="AF173" s="210"/>
      <c r="AG173" s="210"/>
      <c r="AH173" s="210"/>
      <c r="AI173" s="210"/>
      <c r="AJ173" s="210"/>
      <c r="AK173" s="210"/>
    </row>
    <row r="174" spans="1:37" s="211" customFormat="1" ht="15.75" hidden="1" customHeight="1">
      <c r="A174" s="247"/>
      <c r="B174" s="109"/>
      <c r="C174" s="214"/>
      <c r="D174" s="214"/>
      <c r="E174" s="235"/>
      <c r="F174" s="209" t="e">
        <f>COUNTIF(#REF!,"=N")</f>
        <v>#REF!</v>
      </c>
      <c r="G174" s="227"/>
      <c r="H174" s="227"/>
      <c r="I174" s="227"/>
      <c r="J174" s="227"/>
      <c r="K174" s="227"/>
      <c r="L174" s="227"/>
      <c r="M174" s="227"/>
      <c r="N174" s="227"/>
      <c r="O174" s="227"/>
      <c r="P174" s="227"/>
      <c r="Q174" s="227"/>
      <c r="R174" s="227"/>
      <c r="S174" s="227"/>
      <c r="T174" s="227"/>
      <c r="U174" s="227"/>
      <c r="V174" s="227"/>
      <c r="W174" s="227"/>
      <c r="X174" s="210"/>
      <c r="Y174" s="210"/>
      <c r="Z174" s="210"/>
      <c r="AA174" s="210"/>
      <c r="AB174" s="210"/>
      <c r="AC174" s="210"/>
      <c r="AD174" s="210"/>
      <c r="AE174" s="210"/>
      <c r="AF174" s="210"/>
      <c r="AG174" s="210"/>
      <c r="AH174" s="210"/>
      <c r="AI174" s="210"/>
      <c r="AJ174" s="210"/>
      <c r="AK174" s="210"/>
    </row>
    <row r="175" spans="1:37" s="211" customFormat="1" ht="15.75" hidden="1" customHeight="1">
      <c r="A175" s="247"/>
      <c r="B175" s="109"/>
      <c r="C175" s="214"/>
      <c r="D175" s="214"/>
      <c r="E175" s="235"/>
      <c r="F175" s="209"/>
      <c r="G175" s="227"/>
      <c r="H175" s="227"/>
      <c r="I175" s="227"/>
      <c r="J175" s="227"/>
      <c r="K175" s="227"/>
      <c r="L175" s="227"/>
      <c r="M175" s="227"/>
      <c r="N175" s="227"/>
      <c r="O175" s="227"/>
      <c r="P175" s="227"/>
      <c r="Q175" s="227"/>
      <c r="R175" s="227"/>
      <c r="S175" s="227"/>
      <c r="T175" s="227"/>
      <c r="U175" s="227"/>
      <c r="V175" s="227"/>
      <c r="W175" s="227"/>
      <c r="X175" s="210"/>
      <c r="Y175" s="210"/>
      <c r="Z175" s="210"/>
      <c r="AA175" s="210"/>
      <c r="AB175" s="210"/>
      <c r="AC175" s="210"/>
      <c r="AD175" s="210"/>
      <c r="AE175" s="210"/>
      <c r="AF175" s="210"/>
      <c r="AG175" s="210"/>
      <c r="AH175" s="210"/>
      <c r="AI175" s="210"/>
      <c r="AJ175" s="210"/>
      <c r="AK175" s="210"/>
    </row>
    <row r="176" spans="1:37" s="211" customFormat="1" ht="15.75" hidden="1" customHeight="1">
      <c r="A176" s="247"/>
      <c r="B176" s="213"/>
      <c r="C176" s="214"/>
      <c r="D176" s="214"/>
      <c r="E176" s="235"/>
      <c r="F176" s="209"/>
      <c r="G176" s="227"/>
      <c r="H176" s="227"/>
      <c r="I176" s="227"/>
      <c r="J176" s="227"/>
      <c r="K176" s="227"/>
      <c r="L176" s="227"/>
      <c r="M176" s="227"/>
      <c r="N176" s="227"/>
      <c r="O176" s="227"/>
      <c r="P176" s="227"/>
      <c r="Q176" s="227"/>
      <c r="R176" s="227"/>
      <c r="S176" s="227"/>
      <c r="T176" s="227"/>
      <c r="U176" s="227"/>
      <c r="V176" s="227"/>
      <c r="W176" s="227"/>
      <c r="X176" s="210"/>
      <c r="Y176" s="210"/>
      <c r="Z176" s="210"/>
      <c r="AA176" s="210"/>
      <c r="AB176" s="210"/>
      <c r="AC176" s="210"/>
      <c r="AD176" s="210"/>
      <c r="AE176" s="210"/>
      <c r="AF176" s="210"/>
      <c r="AG176" s="210"/>
      <c r="AH176" s="210"/>
      <c r="AI176" s="210"/>
      <c r="AJ176" s="210"/>
      <c r="AK176" s="210"/>
    </row>
    <row r="177" spans="1:37" s="211" customFormat="1" ht="15.75" hidden="1" customHeight="1">
      <c r="A177" s="247"/>
      <c r="B177" s="213"/>
      <c r="C177" s="109"/>
      <c r="D177" s="109"/>
      <c r="E177" s="221"/>
      <c r="F177" s="209"/>
      <c r="G177" s="227"/>
      <c r="H177" s="227"/>
      <c r="I177" s="227"/>
      <c r="J177" s="227"/>
      <c r="K177" s="227"/>
      <c r="L177" s="227"/>
      <c r="M177" s="227"/>
      <c r="N177" s="227"/>
      <c r="O177" s="227"/>
      <c r="P177" s="227"/>
      <c r="Q177" s="227"/>
      <c r="R177" s="227"/>
      <c r="S177" s="227"/>
      <c r="T177" s="227"/>
      <c r="U177" s="227"/>
      <c r="V177" s="227"/>
      <c r="W177" s="227"/>
      <c r="X177" s="210"/>
      <c r="Y177" s="210"/>
      <c r="Z177" s="210"/>
      <c r="AA177" s="210"/>
      <c r="AB177" s="210"/>
      <c r="AC177" s="210"/>
      <c r="AD177" s="210"/>
      <c r="AE177" s="210"/>
      <c r="AF177" s="210"/>
      <c r="AG177" s="210"/>
      <c r="AH177" s="210"/>
      <c r="AI177" s="210"/>
      <c r="AJ177" s="210"/>
      <c r="AK177" s="210"/>
    </row>
    <row r="178" spans="1:37" s="211" customFormat="1" ht="15.75" hidden="1" customHeight="1">
      <c r="A178" s="247"/>
      <c r="B178" s="213"/>
      <c r="C178" s="109"/>
      <c r="D178" s="109"/>
      <c r="E178" s="221"/>
      <c r="F178" s="209" t="e">
        <f>COUNTIF(#REF!,"=N")</f>
        <v>#REF!</v>
      </c>
      <c r="G178" s="227"/>
      <c r="H178" s="227"/>
      <c r="I178" s="227"/>
      <c r="J178" s="227"/>
      <c r="K178" s="227"/>
      <c r="L178" s="227"/>
      <c r="M178" s="227"/>
      <c r="N178" s="227"/>
      <c r="O178" s="227"/>
      <c r="P178" s="227"/>
      <c r="Q178" s="227"/>
      <c r="R178" s="227"/>
      <c r="S178" s="227"/>
      <c r="T178" s="227"/>
      <c r="U178" s="227"/>
      <c r="V178" s="227"/>
      <c r="W178" s="227"/>
      <c r="X178" s="210"/>
      <c r="Y178" s="210"/>
      <c r="Z178" s="210"/>
      <c r="AA178" s="210"/>
      <c r="AB178" s="210"/>
      <c r="AC178" s="210"/>
      <c r="AD178" s="210"/>
      <c r="AE178" s="210"/>
      <c r="AF178" s="210"/>
      <c r="AG178" s="210"/>
      <c r="AH178" s="210"/>
      <c r="AI178" s="210"/>
      <c r="AJ178" s="210"/>
      <c r="AK178" s="210"/>
    </row>
    <row r="179" spans="1:37" s="211" customFormat="1" ht="15.75" hidden="1" customHeight="1">
      <c r="A179" s="217"/>
      <c r="B179" s="213"/>
      <c r="C179" s="109"/>
      <c r="D179" s="109"/>
      <c r="E179" s="221"/>
      <c r="F179" s="209"/>
      <c r="G179" s="227"/>
      <c r="H179" s="227"/>
      <c r="I179" s="227"/>
      <c r="J179" s="227"/>
      <c r="K179" s="227"/>
      <c r="L179" s="227"/>
      <c r="M179" s="227"/>
      <c r="N179" s="227"/>
      <c r="O179" s="227"/>
      <c r="P179" s="227"/>
      <c r="Q179" s="227"/>
      <c r="R179" s="227"/>
      <c r="S179" s="227"/>
      <c r="T179" s="227"/>
      <c r="U179" s="227"/>
      <c r="V179" s="227"/>
      <c r="W179" s="227"/>
      <c r="X179" s="210"/>
      <c r="Y179" s="210"/>
      <c r="Z179" s="210"/>
      <c r="AA179" s="210"/>
      <c r="AB179" s="210"/>
      <c r="AC179" s="210"/>
      <c r="AD179" s="210"/>
      <c r="AE179" s="210"/>
      <c r="AF179" s="210"/>
      <c r="AG179" s="210"/>
      <c r="AH179" s="210"/>
      <c r="AI179" s="210"/>
      <c r="AJ179" s="210"/>
      <c r="AK179" s="210"/>
    </row>
    <row r="180" spans="1:37" s="211" customFormat="1" ht="15.75" hidden="1" customHeight="1">
      <c r="A180" s="217"/>
      <c r="B180" s="213"/>
      <c r="C180" s="229"/>
      <c r="D180" s="229"/>
      <c r="E180" s="230"/>
      <c r="F180" s="209"/>
      <c r="G180" s="227"/>
      <c r="H180" s="227"/>
      <c r="I180" s="227"/>
      <c r="J180" s="227"/>
      <c r="K180" s="227"/>
      <c r="L180" s="227"/>
      <c r="M180" s="227"/>
      <c r="N180" s="227"/>
      <c r="O180" s="227"/>
      <c r="P180" s="227"/>
      <c r="Q180" s="227"/>
      <c r="R180" s="227"/>
      <c r="S180" s="227"/>
      <c r="T180" s="227"/>
      <c r="U180" s="227"/>
      <c r="V180" s="227"/>
      <c r="W180" s="227"/>
      <c r="X180" s="210"/>
      <c r="Y180" s="210"/>
      <c r="Z180" s="210"/>
      <c r="AA180" s="210"/>
      <c r="AB180" s="210"/>
      <c r="AC180" s="210"/>
      <c r="AD180" s="210"/>
      <c r="AE180" s="210"/>
      <c r="AF180" s="210"/>
      <c r="AG180" s="210"/>
      <c r="AH180" s="210"/>
      <c r="AI180" s="210"/>
      <c r="AJ180" s="210"/>
      <c r="AK180" s="210"/>
    </row>
    <row r="181" spans="1:37" s="211" customFormat="1" ht="15.75" hidden="1" customHeight="1">
      <c r="A181" s="217"/>
      <c r="B181" s="213"/>
      <c r="C181" s="229"/>
      <c r="D181" s="229"/>
      <c r="E181" s="230"/>
      <c r="F181" s="209"/>
      <c r="G181" s="227"/>
      <c r="H181" s="227"/>
      <c r="I181" s="227"/>
      <c r="J181" s="227"/>
      <c r="K181" s="227"/>
      <c r="L181" s="227"/>
      <c r="M181" s="227"/>
      <c r="N181" s="227"/>
      <c r="O181" s="227"/>
      <c r="P181" s="227"/>
      <c r="Q181" s="227"/>
      <c r="R181" s="227"/>
      <c r="S181" s="227"/>
      <c r="T181" s="227"/>
      <c r="U181" s="227"/>
      <c r="V181" s="227"/>
      <c r="W181" s="227"/>
      <c r="X181" s="210"/>
      <c r="Y181" s="210"/>
      <c r="Z181" s="210"/>
      <c r="AA181" s="210"/>
      <c r="AB181" s="210"/>
      <c r="AC181" s="210"/>
      <c r="AD181" s="210"/>
      <c r="AE181" s="210"/>
      <c r="AF181" s="210"/>
      <c r="AG181" s="210"/>
      <c r="AH181" s="210"/>
      <c r="AI181" s="210"/>
      <c r="AJ181" s="210"/>
      <c r="AK181" s="210"/>
    </row>
    <row r="182" spans="1:37" s="211" customFormat="1" ht="15.75" hidden="1" customHeight="1">
      <c r="A182" s="217"/>
      <c r="B182" s="213"/>
      <c r="C182" s="229"/>
      <c r="D182" s="229"/>
      <c r="E182" s="230"/>
      <c r="F182" s="209" t="e">
        <f>COUNTIF(#REF!,"=N")</f>
        <v>#REF!</v>
      </c>
      <c r="G182" s="227"/>
      <c r="H182" s="227"/>
      <c r="I182" s="227"/>
      <c r="J182" s="227"/>
      <c r="K182" s="227"/>
      <c r="L182" s="227"/>
      <c r="M182" s="227"/>
      <c r="N182" s="227"/>
      <c r="O182" s="227"/>
      <c r="P182" s="227"/>
      <c r="Q182" s="227"/>
      <c r="R182" s="227"/>
      <c r="S182" s="227"/>
      <c r="T182" s="227"/>
      <c r="U182" s="227"/>
      <c r="V182" s="227"/>
      <c r="W182" s="227"/>
      <c r="X182" s="210"/>
      <c r="Y182" s="210"/>
      <c r="Z182" s="210"/>
      <c r="AA182" s="210"/>
      <c r="AB182" s="210"/>
      <c r="AC182" s="210"/>
      <c r="AD182" s="210"/>
      <c r="AE182" s="210"/>
      <c r="AF182" s="210"/>
      <c r="AG182" s="210"/>
      <c r="AH182" s="210"/>
      <c r="AI182" s="210"/>
      <c r="AJ182" s="210"/>
      <c r="AK182" s="210"/>
    </row>
    <row r="183" spans="1:37" s="211" customFormat="1" ht="15.75" hidden="1" customHeight="1">
      <c r="A183" s="217"/>
      <c r="B183" s="213"/>
      <c r="C183" s="229"/>
      <c r="D183" s="229"/>
      <c r="E183" s="230"/>
      <c r="F183" s="209"/>
      <c r="G183" s="227"/>
      <c r="H183" s="227"/>
      <c r="I183" s="227"/>
      <c r="J183" s="227"/>
      <c r="K183" s="227"/>
      <c r="L183" s="227"/>
      <c r="M183" s="227"/>
      <c r="N183" s="227"/>
      <c r="O183" s="227"/>
      <c r="P183" s="227"/>
      <c r="Q183" s="227"/>
      <c r="R183" s="227"/>
      <c r="S183" s="227"/>
      <c r="T183" s="227"/>
      <c r="U183" s="227"/>
      <c r="V183" s="227"/>
      <c r="W183" s="227"/>
      <c r="X183" s="210"/>
      <c r="Y183" s="210"/>
      <c r="Z183" s="210"/>
      <c r="AA183" s="210"/>
      <c r="AB183" s="210"/>
      <c r="AC183" s="210"/>
      <c r="AD183" s="210"/>
      <c r="AE183" s="210"/>
      <c r="AF183" s="210"/>
      <c r="AG183" s="210"/>
      <c r="AH183" s="210"/>
      <c r="AI183" s="210"/>
      <c r="AJ183" s="210"/>
      <c r="AK183" s="210"/>
    </row>
    <row r="184" spans="1:37" s="211" customFormat="1" ht="15.75" hidden="1" customHeight="1">
      <c r="A184" s="217"/>
      <c r="B184" s="213"/>
      <c r="C184" s="229"/>
      <c r="D184" s="229"/>
      <c r="E184" s="230"/>
      <c r="F184" s="209"/>
      <c r="G184" s="227"/>
      <c r="H184" s="227"/>
      <c r="I184" s="227"/>
      <c r="J184" s="227"/>
      <c r="K184" s="227"/>
      <c r="L184" s="227"/>
      <c r="M184" s="227"/>
      <c r="N184" s="227"/>
      <c r="O184" s="227"/>
      <c r="P184" s="227"/>
      <c r="Q184" s="227"/>
      <c r="R184" s="227"/>
      <c r="S184" s="227"/>
      <c r="T184" s="227"/>
      <c r="U184" s="227"/>
      <c r="V184" s="227"/>
      <c r="W184" s="227"/>
      <c r="X184" s="210"/>
      <c r="Y184" s="210"/>
      <c r="Z184" s="210"/>
      <c r="AA184" s="210"/>
      <c r="AB184" s="210"/>
      <c r="AC184" s="210"/>
      <c r="AD184" s="210"/>
      <c r="AE184" s="210"/>
      <c r="AF184" s="210"/>
      <c r="AG184" s="210"/>
      <c r="AH184" s="210"/>
      <c r="AI184" s="210"/>
      <c r="AJ184" s="210"/>
      <c r="AK184" s="210"/>
    </row>
    <row r="185" spans="1:37" s="211" customFormat="1" ht="15.75" hidden="1" customHeight="1">
      <c r="A185" s="217"/>
      <c r="B185" s="213"/>
      <c r="C185" s="229"/>
      <c r="D185" s="229"/>
      <c r="E185" s="230"/>
      <c r="F185" s="209"/>
      <c r="G185" s="227"/>
      <c r="H185" s="227"/>
      <c r="I185" s="227"/>
      <c r="J185" s="227"/>
      <c r="K185" s="227"/>
      <c r="L185" s="227"/>
      <c r="M185" s="227"/>
      <c r="N185" s="227"/>
      <c r="O185" s="227"/>
      <c r="P185" s="227"/>
      <c r="Q185" s="227"/>
      <c r="R185" s="227"/>
      <c r="S185" s="227"/>
      <c r="T185" s="227"/>
      <c r="U185" s="227"/>
      <c r="V185" s="227"/>
      <c r="W185" s="227"/>
      <c r="X185" s="210"/>
      <c r="Y185" s="210"/>
      <c r="Z185" s="210"/>
      <c r="AA185" s="210"/>
      <c r="AB185" s="210"/>
      <c r="AC185" s="210"/>
      <c r="AD185" s="210"/>
      <c r="AE185" s="210"/>
      <c r="AF185" s="210"/>
      <c r="AG185" s="210"/>
      <c r="AH185" s="210"/>
      <c r="AI185" s="210"/>
      <c r="AJ185" s="210"/>
      <c r="AK185" s="210"/>
    </row>
    <row r="186" spans="1:37" s="211" customFormat="1" ht="15.75" hidden="1" customHeight="1">
      <c r="A186" s="217"/>
      <c r="B186" s="213"/>
      <c r="C186" s="229"/>
      <c r="D186" s="229"/>
      <c r="E186" s="230"/>
      <c r="F186" s="209"/>
      <c r="G186" s="227"/>
      <c r="H186" s="227"/>
      <c r="I186" s="227"/>
      <c r="J186" s="227"/>
      <c r="K186" s="227"/>
      <c r="L186" s="227"/>
      <c r="M186" s="227"/>
      <c r="N186" s="227"/>
      <c r="O186" s="227"/>
      <c r="P186" s="227"/>
      <c r="Q186" s="227"/>
      <c r="R186" s="227"/>
      <c r="S186" s="227"/>
      <c r="T186" s="227"/>
      <c r="U186" s="227"/>
      <c r="V186" s="227"/>
      <c r="W186" s="227"/>
      <c r="X186" s="210"/>
      <c r="Y186" s="210"/>
      <c r="Z186" s="210"/>
      <c r="AA186" s="210"/>
      <c r="AB186" s="210"/>
      <c r="AC186" s="210"/>
      <c r="AD186" s="210"/>
      <c r="AE186" s="210"/>
      <c r="AF186" s="210"/>
      <c r="AG186" s="210"/>
      <c r="AH186" s="210"/>
      <c r="AI186" s="210"/>
      <c r="AJ186" s="210"/>
      <c r="AK186" s="210"/>
    </row>
    <row r="187" spans="1:37" s="211" customFormat="1" ht="15.75" hidden="1" customHeight="1">
      <c r="A187" s="217"/>
      <c r="B187" s="213"/>
      <c r="C187" s="229"/>
      <c r="D187" s="229"/>
      <c r="E187" s="230"/>
      <c r="F187" s="209" t="e">
        <f>COUNTIF(#REF!,"=N")</f>
        <v>#REF!</v>
      </c>
      <c r="G187" s="227"/>
      <c r="H187" s="227"/>
      <c r="I187" s="227"/>
      <c r="J187" s="227"/>
      <c r="K187" s="227"/>
      <c r="L187" s="227"/>
      <c r="M187" s="227"/>
      <c r="N187" s="227"/>
      <c r="O187" s="227"/>
      <c r="P187" s="227"/>
      <c r="Q187" s="227"/>
      <c r="R187" s="227"/>
      <c r="S187" s="227"/>
      <c r="T187" s="227"/>
      <c r="U187" s="227"/>
      <c r="V187" s="227"/>
      <c r="W187" s="227"/>
      <c r="X187" s="210"/>
      <c r="Y187" s="210"/>
      <c r="Z187" s="210"/>
      <c r="AA187" s="210"/>
      <c r="AB187" s="210"/>
      <c r="AC187" s="210"/>
      <c r="AD187" s="210"/>
      <c r="AE187" s="210"/>
      <c r="AF187" s="210"/>
      <c r="AG187" s="210"/>
      <c r="AH187" s="210"/>
      <c r="AI187" s="210"/>
      <c r="AJ187" s="210"/>
      <c r="AK187" s="210"/>
    </row>
    <row r="188" spans="1:37" s="211" customFormat="1" ht="15.75" hidden="1" customHeight="1">
      <c r="A188" s="217"/>
      <c r="B188" s="213"/>
      <c r="C188" s="229"/>
      <c r="D188" s="229"/>
      <c r="E188" s="230"/>
      <c r="F188" s="209"/>
      <c r="G188" s="227"/>
      <c r="H188" s="227"/>
      <c r="I188" s="227"/>
      <c r="J188" s="227"/>
      <c r="K188" s="227"/>
      <c r="L188" s="227"/>
      <c r="M188" s="227"/>
      <c r="N188" s="227"/>
      <c r="O188" s="227"/>
      <c r="P188" s="227"/>
      <c r="Q188" s="227"/>
      <c r="R188" s="227"/>
      <c r="S188" s="227"/>
      <c r="T188" s="227"/>
      <c r="U188" s="227"/>
      <c r="V188" s="227"/>
      <c r="W188" s="227"/>
      <c r="X188" s="210"/>
      <c r="Y188" s="210"/>
      <c r="Z188" s="210"/>
      <c r="AA188" s="210"/>
      <c r="AB188" s="210"/>
      <c r="AC188" s="210"/>
      <c r="AD188" s="210"/>
      <c r="AE188" s="210"/>
      <c r="AF188" s="210"/>
      <c r="AG188" s="210"/>
      <c r="AH188" s="210"/>
      <c r="AI188" s="210"/>
      <c r="AJ188" s="210"/>
      <c r="AK188" s="210"/>
    </row>
    <row r="189" spans="1:37" s="211" customFormat="1" ht="15.75" hidden="1" customHeight="1">
      <c r="A189" s="217"/>
      <c r="B189" s="213"/>
      <c r="C189" s="229"/>
      <c r="D189" s="229"/>
      <c r="E189" s="230"/>
      <c r="F189" s="209"/>
      <c r="G189" s="227"/>
      <c r="H189" s="227"/>
      <c r="I189" s="227"/>
      <c r="J189" s="227"/>
      <c r="K189" s="227"/>
      <c r="L189" s="227"/>
      <c r="M189" s="227"/>
      <c r="N189" s="227"/>
      <c r="O189" s="227"/>
      <c r="P189" s="227"/>
      <c r="Q189" s="227"/>
      <c r="R189" s="227"/>
      <c r="S189" s="227"/>
      <c r="T189" s="227"/>
      <c r="U189" s="227"/>
      <c r="V189" s="227"/>
      <c r="W189" s="227"/>
      <c r="X189" s="210"/>
      <c r="Y189" s="210"/>
      <c r="Z189" s="210"/>
      <c r="AA189" s="210"/>
      <c r="AB189" s="210"/>
      <c r="AC189" s="210"/>
      <c r="AD189" s="210"/>
      <c r="AE189" s="210"/>
      <c r="AF189" s="210"/>
      <c r="AG189" s="210"/>
      <c r="AH189" s="210"/>
      <c r="AI189" s="210"/>
      <c r="AJ189" s="210"/>
      <c r="AK189" s="210"/>
    </row>
    <row r="190" spans="1:37" s="211" customFormat="1" ht="15.75" hidden="1" customHeight="1">
      <c r="A190" s="217"/>
      <c r="B190" s="213"/>
      <c r="C190" s="229"/>
      <c r="D190" s="229"/>
      <c r="E190" s="230"/>
      <c r="F190" s="209"/>
      <c r="G190" s="227"/>
      <c r="H190" s="227"/>
      <c r="I190" s="227"/>
      <c r="J190" s="227"/>
      <c r="K190" s="227"/>
      <c r="L190" s="227"/>
      <c r="M190" s="227"/>
      <c r="N190" s="227"/>
      <c r="O190" s="227"/>
      <c r="P190" s="227"/>
      <c r="Q190" s="227"/>
      <c r="R190" s="227"/>
      <c r="S190" s="227"/>
      <c r="T190" s="227"/>
      <c r="U190" s="227"/>
      <c r="V190" s="227"/>
      <c r="W190" s="227"/>
      <c r="X190" s="210"/>
      <c r="Y190" s="210"/>
      <c r="Z190" s="210"/>
      <c r="AA190" s="210"/>
      <c r="AB190" s="210"/>
      <c r="AC190" s="210"/>
      <c r="AD190" s="210"/>
      <c r="AE190" s="210"/>
      <c r="AF190" s="210"/>
      <c r="AG190" s="210"/>
      <c r="AH190" s="210"/>
      <c r="AI190" s="210"/>
      <c r="AJ190" s="210"/>
      <c r="AK190" s="210"/>
    </row>
    <row r="191" spans="1:37" s="211" customFormat="1" ht="15.75" hidden="1" customHeight="1">
      <c r="A191" s="217"/>
      <c r="B191" s="213"/>
      <c r="C191" s="229"/>
      <c r="D191" s="229"/>
      <c r="E191" s="230"/>
      <c r="F191" s="209" t="e">
        <f>COUNTIF(#REF!,"=N")</f>
        <v>#REF!</v>
      </c>
      <c r="G191" s="227"/>
      <c r="H191" s="227"/>
      <c r="I191" s="227"/>
      <c r="J191" s="227"/>
      <c r="K191" s="227"/>
      <c r="L191" s="227"/>
      <c r="M191" s="227"/>
      <c r="N191" s="227"/>
      <c r="O191" s="227"/>
      <c r="P191" s="227"/>
      <c r="Q191" s="227"/>
      <c r="R191" s="227"/>
      <c r="S191" s="227"/>
      <c r="T191" s="227"/>
      <c r="U191" s="227"/>
      <c r="V191" s="227"/>
      <c r="W191" s="227"/>
      <c r="X191" s="210"/>
      <c r="Y191" s="210"/>
      <c r="Z191" s="210"/>
      <c r="AA191" s="210"/>
      <c r="AB191" s="210"/>
      <c r="AC191" s="210"/>
      <c r="AD191" s="210"/>
      <c r="AE191" s="210"/>
      <c r="AF191" s="210"/>
      <c r="AG191" s="210"/>
      <c r="AH191" s="210"/>
      <c r="AI191" s="210"/>
      <c r="AJ191" s="210"/>
      <c r="AK191" s="210"/>
    </row>
    <row r="192" spans="1:37" s="211" customFormat="1" ht="15.75" hidden="1" customHeight="1">
      <c r="A192" s="217"/>
      <c r="B192" s="213"/>
      <c r="C192" s="229"/>
      <c r="D192" s="229"/>
      <c r="E192" s="230"/>
      <c r="F192" s="209"/>
      <c r="G192" s="227"/>
      <c r="H192" s="227"/>
      <c r="I192" s="227"/>
      <c r="J192" s="227"/>
      <c r="K192" s="227"/>
      <c r="L192" s="227"/>
      <c r="M192" s="227"/>
      <c r="N192" s="227"/>
      <c r="O192" s="227"/>
      <c r="P192" s="227"/>
      <c r="Q192" s="227"/>
      <c r="R192" s="227"/>
      <c r="S192" s="227"/>
      <c r="T192" s="227"/>
      <c r="U192" s="227"/>
      <c r="V192" s="227"/>
      <c r="W192" s="227"/>
      <c r="X192" s="210"/>
      <c r="Y192" s="210"/>
      <c r="Z192" s="210"/>
      <c r="AA192" s="210"/>
      <c r="AB192" s="210"/>
      <c r="AC192" s="210"/>
      <c r="AD192" s="210"/>
      <c r="AE192" s="210"/>
      <c r="AF192" s="210"/>
      <c r="AG192" s="210"/>
      <c r="AH192" s="210"/>
      <c r="AI192" s="210"/>
      <c r="AJ192" s="210"/>
      <c r="AK192" s="210"/>
    </row>
    <row r="193" spans="1:37" s="211" customFormat="1" ht="15.75" hidden="1" customHeight="1">
      <c r="A193" s="217"/>
      <c r="B193" s="213"/>
      <c r="C193" s="229"/>
      <c r="D193" s="229"/>
      <c r="E193" s="230"/>
      <c r="F193" s="209"/>
      <c r="G193" s="227"/>
      <c r="H193" s="227"/>
      <c r="I193" s="227"/>
      <c r="J193" s="227"/>
      <c r="K193" s="227"/>
      <c r="L193" s="227"/>
      <c r="M193" s="227"/>
      <c r="N193" s="227"/>
      <c r="O193" s="227"/>
      <c r="P193" s="227"/>
      <c r="Q193" s="227"/>
      <c r="R193" s="227"/>
      <c r="S193" s="227"/>
      <c r="T193" s="227"/>
      <c r="U193" s="227"/>
      <c r="V193" s="227"/>
      <c r="W193" s="227"/>
      <c r="X193" s="210"/>
      <c r="Y193" s="210"/>
      <c r="Z193" s="210"/>
      <c r="AA193" s="210"/>
      <c r="AB193" s="210"/>
      <c r="AC193" s="210"/>
      <c r="AD193" s="210"/>
      <c r="AE193" s="210"/>
      <c r="AF193" s="210"/>
      <c r="AG193" s="210"/>
      <c r="AH193" s="210"/>
      <c r="AI193" s="210"/>
      <c r="AJ193" s="210"/>
      <c r="AK193" s="210"/>
    </row>
    <row r="194" spans="1:37" s="211" customFormat="1" ht="15.75" hidden="1" customHeight="1">
      <c r="A194" s="217"/>
      <c r="B194" s="213"/>
      <c r="C194" s="229"/>
      <c r="D194" s="229"/>
      <c r="E194" s="230"/>
      <c r="F194" s="209"/>
      <c r="G194" s="227"/>
      <c r="H194" s="227"/>
      <c r="I194" s="227"/>
      <c r="J194" s="227"/>
      <c r="K194" s="227"/>
      <c r="L194" s="227"/>
      <c r="M194" s="227"/>
      <c r="N194" s="227"/>
      <c r="O194" s="227"/>
      <c r="P194" s="227"/>
      <c r="Q194" s="227"/>
      <c r="R194" s="227"/>
      <c r="S194" s="227"/>
      <c r="T194" s="227"/>
      <c r="U194" s="227"/>
      <c r="V194" s="227"/>
      <c r="W194" s="227"/>
      <c r="X194" s="210"/>
      <c r="Y194" s="210"/>
      <c r="Z194" s="210"/>
      <c r="AA194" s="210"/>
      <c r="AB194" s="210"/>
      <c r="AC194" s="210"/>
      <c r="AD194" s="210"/>
      <c r="AE194" s="210"/>
      <c r="AF194" s="210"/>
      <c r="AG194" s="210"/>
      <c r="AH194" s="210"/>
      <c r="AI194" s="210"/>
      <c r="AJ194" s="210"/>
      <c r="AK194" s="210"/>
    </row>
    <row r="195" spans="1:37" s="211" customFormat="1" ht="15.75" hidden="1" customHeight="1">
      <c r="A195" s="217"/>
      <c r="B195" s="213"/>
      <c r="C195" s="229"/>
      <c r="D195" s="229"/>
      <c r="E195" s="230"/>
      <c r="F195" s="209"/>
      <c r="G195" s="227"/>
      <c r="H195" s="227"/>
      <c r="I195" s="227"/>
      <c r="J195" s="227"/>
      <c r="K195" s="227"/>
      <c r="L195" s="227"/>
      <c r="M195" s="227"/>
      <c r="N195" s="227"/>
      <c r="O195" s="227"/>
      <c r="P195" s="227"/>
      <c r="Q195" s="227"/>
      <c r="R195" s="227"/>
      <c r="S195" s="227"/>
      <c r="T195" s="227"/>
      <c r="U195" s="227"/>
      <c r="V195" s="227"/>
      <c r="W195" s="227"/>
      <c r="X195" s="210"/>
      <c r="Y195" s="210"/>
      <c r="Z195" s="210"/>
      <c r="AA195" s="210"/>
      <c r="AB195" s="210"/>
      <c r="AC195" s="210"/>
      <c r="AD195" s="210"/>
      <c r="AE195" s="210"/>
      <c r="AF195" s="210"/>
      <c r="AG195" s="210"/>
      <c r="AH195" s="210"/>
      <c r="AI195" s="210"/>
      <c r="AJ195" s="210"/>
      <c r="AK195" s="210"/>
    </row>
    <row r="196" spans="1:37" s="211" customFormat="1" ht="15.75" hidden="1" customHeight="1">
      <c r="A196" s="217"/>
      <c r="B196" s="213"/>
      <c r="C196" s="229"/>
      <c r="D196" s="229"/>
      <c r="E196" s="230"/>
      <c r="F196" s="209"/>
      <c r="G196" s="227"/>
      <c r="H196" s="227"/>
      <c r="I196" s="227"/>
      <c r="J196" s="227"/>
      <c r="K196" s="227"/>
      <c r="L196" s="227"/>
      <c r="M196" s="227"/>
      <c r="N196" s="227"/>
      <c r="O196" s="227"/>
      <c r="P196" s="227"/>
      <c r="Q196" s="227"/>
      <c r="R196" s="227"/>
      <c r="S196" s="227"/>
      <c r="T196" s="227"/>
      <c r="U196" s="227"/>
      <c r="V196" s="227"/>
      <c r="W196" s="227"/>
      <c r="X196" s="210"/>
      <c r="Y196" s="210"/>
      <c r="Z196" s="210"/>
      <c r="AA196" s="210"/>
      <c r="AB196" s="210"/>
      <c r="AC196" s="210"/>
      <c r="AD196" s="210"/>
      <c r="AE196" s="210"/>
      <c r="AF196" s="210"/>
      <c r="AG196" s="210"/>
      <c r="AH196" s="210"/>
      <c r="AI196" s="210"/>
      <c r="AJ196" s="210"/>
      <c r="AK196" s="210"/>
    </row>
    <row r="197" spans="1:37" s="211" customFormat="1" ht="15.75" hidden="1" customHeight="1">
      <c r="A197" s="217"/>
      <c r="B197" s="213"/>
      <c r="C197" s="229"/>
      <c r="D197" s="229"/>
      <c r="E197" s="230"/>
      <c r="F197" s="209"/>
      <c r="G197" s="227"/>
      <c r="H197" s="227"/>
      <c r="I197" s="227"/>
      <c r="J197" s="227"/>
      <c r="K197" s="227"/>
      <c r="L197" s="227"/>
      <c r="M197" s="227"/>
      <c r="N197" s="227"/>
      <c r="O197" s="227"/>
      <c r="P197" s="227"/>
      <c r="Q197" s="227"/>
      <c r="R197" s="227"/>
      <c r="S197" s="227"/>
      <c r="T197" s="227"/>
      <c r="U197" s="227"/>
      <c r="V197" s="227"/>
      <c r="W197" s="227"/>
      <c r="X197" s="210"/>
      <c r="Y197" s="210"/>
      <c r="Z197" s="210"/>
      <c r="AA197" s="210"/>
      <c r="AB197" s="210"/>
      <c r="AC197" s="210"/>
      <c r="AD197" s="210"/>
      <c r="AE197" s="210"/>
      <c r="AF197" s="210"/>
      <c r="AG197" s="210"/>
      <c r="AH197" s="210"/>
      <c r="AI197" s="210"/>
      <c r="AJ197" s="210"/>
      <c r="AK197" s="210"/>
    </row>
    <row r="198" spans="1:37" s="211" customFormat="1" ht="15.75" hidden="1" customHeight="1">
      <c r="A198" s="217"/>
      <c r="B198" s="213"/>
      <c r="C198" s="229"/>
      <c r="D198" s="229"/>
      <c r="E198" s="230"/>
      <c r="F198" s="209"/>
      <c r="G198" s="227"/>
      <c r="H198" s="227"/>
      <c r="I198" s="227"/>
      <c r="J198" s="227"/>
      <c r="K198" s="227"/>
      <c r="L198" s="227"/>
      <c r="M198" s="227"/>
      <c r="N198" s="227"/>
      <c r="O198" s="227"/>
      <c r="P198" s="227"/>
      <c r="Q198" s="227"/>
      <c r="R198" s="227"/>
      <c r="S198" s="227"/>
      <c r="T198" s="227"/>
      <c r="U198" s="227"/>
      <c r="V198" s="227"/>
      <c r="W198" s="227"/>
      <c r="X198" s="210"/>
      <c r="Y198" s="210"/>
      <c r="Z198" s="210"/>
      <c r="AA198" s="210"/>
      <c r="AB198" s="210"/>
      <c r="AC198" s="210"/>
      <c r="AD198" s="210"/>
      <c r="AE198" s="210"/>
      <c r="AF198" s="210"/>
      <c r="AG198" s="210"/>
      <c r="AH198" s="210"/>
      <c r="AI198" s="210"/>
      <c r="AJ198" s="210"/>
      <c r="AK198" s="210"/>
    </row>
    <row r="199" spans="1:37" s="211" customFormat="1" ht="15.75" hidden="1" customHeight="1">
      <c r="A199" s="217"/>
      <c r="B199" s="213"/>
      <c r="C199" s="229"/>
      <c r="D199" s="229"/>
      <c r="E199" s="230"/>
      <c r="F199" s="209" t="e">
        <f>COUNTIF(#REF!,"=N")</f>
        <v>#REF!</v>
      </c>
      <c r="G199" s="227"/>
      <c r="H199" s="227"/>
      <c r="I199" s="227"/>
      <c r="J199" s="227"/>
      <c r="K199" s="227"/>
      <c r="L199" s="227"/>
      <c r="M199" s="227"/>
      <c r="N199" s="227"/>
      <c r="O199" s="227"/>
      <c r="P199" s="227"/>
      <c r="Q199" s="227"/>
      <c r="R199" s="227"/>
      <c r="S199" s="227"/>
      <c r="T199" s="227"/>
      <c r="U199" s="227"/>
      <c r="V199" s="227"/>
      <c r="W199" s="227"/>
      <c r="X199" s="210"/>
      <c r="Y199" s="210"/>
      <c r="Z199" s="210"/>
      <c r="AA199" s="210"/>
      <c r="AB199" s="210"/>
      <c r="AC199" s="210"/>
      <c r="AD199" s="210"/>
      <c r="AE199" s="210"/>
      <c r="AF199" s="210"/>
      <c r="AG199" s="210"/>
      <c r="AH199" s="210"/>
      <c r="AI199" s="210"/>
      <c r="AJ199" s="210"/>
      <c r="AK199" s="210"/>
    </row>
    <row r="200" spans="1:37" s="211" customFormat="1" ht="15.75" hidden="1" customHeight="1">
      <c r="A200" s="217"/>
      <c r="B200" s="213"/>
      <c r="C200" s="229"/>
      <c r="D200" s="229"/>
      <c r="E200" s="230"/>
      <c r="F200" s="209"/>
      <c r="G200" s="227"/>
      <c r="H200" s="227"/>
      <c r="I200" s="227"/>
      <c r="J200" s="227"/>
      <c r="K200" s="227"/>
      <c r="L200" s="227"/>
      <c r="M200" s="227"/>
      <c r="N200" s="227"/>
      <c r="O200" s="227"/>
      <c r="P200" s="227"/>
      <c r="Q200" s="227"/>
      <c r="R200" s="227"/>
      <c r="S200" s="227"/>
      <c r="T200" s="227"/>
      <c r="U200" s="227"/>
      <c r="V200" s="227"/>
      <c r="W200" s="227"/>
      <c r="X200" s="210"/>
      <c r="Y200" s="210"/>
      <c r="Z200" s="210"/>
      <c r="AA200" s="210"/>
      <c r="AB200" s="210"/>
      <c r="AC200" s="210"/>
      <c r="AD200" s="210"/>
      <c r="AE200" s="210"/>
      <c r="AF200" s="210"/>
      <c r="AG200" s="210"/>
      <c r="AH200" s="210"/>
      <c r="AI200" s="210"/>
      <c r="AJ200" s="210"/>
      <c r="AK200" s="210"/>
    </row>
    <row r="201" spans="1:37" s="211" customFormat="1" ht="15.75" hidden="1" customHeight="1">
      <c r="A201" s="217"/>
      <c r="B201" s="213"/>
      <c r="C201" s="229"/>
      <c r="D201" s="229"/>
      <c r="E201" s="230"/>
      <c r="F201" s="209"/>
      <c r="G201" s="227"/>
      <c r="H201" s="227"/>
      <c r="I201" s="227"/>
      <c r="J201" s="227"/>
      <c r="K201" s="227"/>
      <c r="L201" s="227"/>
      <c r="M201" s="227"/>
      <c r="N201" s="227"/>
      <c r="O201" s="227"/>
      <c r="P201" s="227"/>
      <c r="Q201" s="227"/>
      <c r="R201" s="227"/>
      <c r="S201" s="227"/>
      <c r="T201" s="227"/>
      <c r="U201" s="227"/>
      <c r="V201" s="227"/>
      <c r="W201" s="227"/>
      <c r="X201" s="210"/>
      <c r="Y201" s="210"/>
      <c r="Z201" s="210"/>
      <c r="AA201" s="210"/>
      <c r="AB201" s="210"/>
      <c r="AC201" s="210"/>
      <c r="AD201" s="210"/>
      <c r="AE201" s="210"/>
      <c r="AF201" s="210"/>
      <c r="AG201" s="210"/>
      <c r="AH201" s="210"/>
      <c r="AI201" s="210"/>
      <c r="AJ201" s="210"/>
      <c r="AK201" s="210"/>
    </row>
    <row r="202" spans="1:37" s="211" customFormat="1" ht="15.75" hidden="1" customHeight="1">
      <c r="A202" s="217"/>
      <c r="B202" s="213"/>
      <c r="C202" s="229"/>
      <c r="D202" s="229"/>
      <c r="E202" s="230"/>
      <c r="F202" s="209"/>
      <c r="G202" s="227"/>
      <c r="H202" s="227"/>
      <c r="I202" s="227"/>
      <c r="J202" s="227"/>
      <c r="K202" s="227"/>
      <c r="L202" s="227"/>
      <c r="M202" s="227"/>
      <c r="N202" s="227"/>
      <c r="O202" s="227"/>
      <c r="P202" s="227"/>
      <c r="Q202" s="227"/>
      <c r="R202" s="227"/>
      <c r="S202" s="227"/>
      <c r="T202" s="227"/>
      <c r="U202" s="227"/>
      <c r="V202" s="227"/>
      <c r="W202" s="227"/>
      <c r="X202" s="210"/>
      <c r="Y202" s="210"/>
      <c r="Z202" s="210"/>
      <c r="AA202" s="210"/>
      <c r="AB202" s="210"/>
      <c r="AC202" s="210"/>
      <c r="AD202" s="210"/>
      <c r="AE202" s="210"/>
      <c r="AF202" s="210"/>
      <c r="AG202" s="210"/>
      <c r="AH202" s="210"/>
      <c r="AI202" s="210"/>
      <c r="AJ202" s="210"/>
      <c r="AK202" s="210"/>
    </row>
    <row r="203" spans="1:37" s="211" customFormat="1" ht="15.75" hidden="1" customHeight="1">
      <c r="A203" s="217"/>
      <c r="B203" s="213"/>
      <c r="C203" s="229"/>
      <c r="D203" s="229"/>
      <c r="E203" s="230"/>
      <c r="F203" s="209" t="e">
        <f>COUNTIF(#REF!,"=N")</f>
        <v>#REF!</v>
      </c>
      <c r="G203" s="227"/>
      <c r="H203" s="227"/>
      <c r="I203" s="227"/>
      <c r="J203" s="227"/>
      <c r="K203" s="227"/>
      <c r="L203" s="227"/>
      <c r="M203" s="227"/>
      <c r="N203" s="227"/>
      <c r="O203" s="227"/>
      <c r="P203" s="227"/>
      <c r="Q203" s="227"/>
      <c r="R203" s="227"/>
      <c r="S203" s="227"/>
      <c r="T203" s="227"/>
      <c r="U203" s="227"/>
      <c r="V203" s="227"/>
      <c r="W203" s="227"/>
      <c r="X203" s="210"/>
      <c r="Y203" s="210"/>
      <c r="Z203" s="210"/>
      <c r="AA203" s="210"/>
      <c r="AB203" s="210"/>
      <c r="AC203" s="210"/>
      <c r="AD203" s="210"/>
      <c r="AE203" s="210"/>
      <c r="AF203" s="210"/>
      <c r="AG203" s="210"/>
      <c r="AH203" s="210"/>
      <c r="AI203" s="210"/>
      <c r="AJ203" s="210"/>
      <c r="AK203" s="210"/>
    </row>
    <row r="204" spans="1:37" s="211" customFormat="1" ht="15.75" hidden="1" customHeight="1">
      <c r="A204" s="217"/>
      <c r="B204" s="213"/>
      <c r="C204" s="229"/>
      <c r="D204" s="229"/>
      <c r="E204" s="230"/>
      <c r="F204" s="209"/>
      <c r="G204" s="227"/>
      <c r="H204" s="227"/>
      <c r="I204" s="227"/>
      <c r="J204" s="227"/>
      <c r="K204" s="227"/>
      <c r="L204" s="227"/>
      <c r="M204" s="227"/>
      <c r="N204" s="227"/>
      <c r="O204" s="227"/>
      <c r="P204" s="227"/>
      <c r="Q204" s="227"/>
      <c r="R204" s="227"/>
      <c r="S204" s="227"/>
      <c r="T204" s="227"/>
      <c r="U204" s="227"/>
      <c r="V204" s="227"/>
      <c r="W204" s="227"/>
      <c r="X204" s="210"/>
      <c r="Y204" s="210"/>
      <c r="Z204" s="210"/>
      <c r="AA204" s="210"/>
      <c r="AB204" s="210"/>
      <c r="AC204" s="210"/>
      <c r="AD204" s="210"/>
      <c r="AE204" s="210"/>
      <c r="AF204" s="210"/>
      <c r="AG204" s="210"/>
      <c r="AH204" s="210"/>
      <c r="AI204" s="210"/>
      <c r="AJ204" s="210"/>
      <c r="AK204" s="210"/>
    </row>
    <row r="205" spans="1:37" s="211" customFormat="1" ht="15.75" hidden="1" customHeight="1">
      <c r="A205" s="217"/>
      <c r="B205" s="213"/>
      <c r="C205" s="229"/>
      <c r="D205" s="229"/>
      <c r="E205" s="230"/>
      <c r="F205" s="209"/>
      <c r="G205" s="227"/>
      <c r="H205" s="227"/>
      <c r="I205" s="227"/>
      <c r="J205" s="227"/>
      <c r="K205" s="227"/>
      <c r="L205" s="227"/>
      <c r="M205" s="227"/>
      <c r="N205" s="227"/>
      <c r="O205" s="227"/>
      <c r="P205" s="227"/>
      <c r="Q205" s="227"/>
      <c r="R205" s="227"/>
      <c r="S205" s="227"/>
      <c r="T205" s="227"/>
      <c r="U205" s="227"/>
      <c r="V205" s="227"/>
      <c r="W205" s="227"/>
      <c r="X205" s="210"/>
      <c r="Y205" s="210"/>
      <c r="Z205" s="210"/>
      <c r="AA205" s="210"/>
      <c r="AB205" s="210"/>
      <c r="AC205" s="210"/>
      <c r="AD205" s="210"/>
      <c r="AE205" s="210"/>
      <c r="AF205" s="210"/>
      <c r="AG205" s="210"/>
      <c r="AH205" s="210"/>
      <c r="AI205" s="210"/>
      <c r="AJ205" s="210"/>
      <c r="AK205" s="210"/>
    </row>
    <row r="206" spans="1:37" s="211" customFormat="1" ht="15.75" hidden="1" customHeight="1">
      <c r="A206" s="217"/>
      <c r="B206" s="213"/>
      <c r="C206" s="229"/>
      <c r="D206" s="229"/>
      <c r="E206" s="230"/>
      <c r="F206" s="209"/>
      <c r="G206" s="227"/>
      <c r="H206" s="227"/>
      <c r="I206" s="227"/>
      <c r="J206" s="227"/>
      <c r="K206" s="227"/>
      <c r="L206" s="227"/>
      <c r="M206" s="227"/>
      <c r="N206" s="227"/>
      <c r="O206" s="227"/>
      <c r="P206" s="227"/>
      <c r="Q206" s="227"/>
      <c r="R206" s="227"/>
      <c r="S206" s="227"/>
      <c r="T206" s="227"/>
      <c r="U206" s="227"/>
      <c r="V206" s="227"/>
      <c r="W206" s="227"/>
      <c r="X206" s="210"/>
      <c r="Y206" s="210"/>
      <c r="Z206" s="210"/>
      <c r="AA206" s="210"/>
      <c r="AB206" s="210"/>
      <c r="AC206" s="210"/>
      <c r="AD206" s="210"/>
      <c r="AE206" s="210"/>
      <c r="AF206" s="210"/>
      <c r="AG206" s="210"/>
      <c r="AH206" s="210"/>
      <c r="AI206" s="210"/>
      <c r="AJ206" s="210"/>
      <c r="AK206" s="210"/>
    </row>
    <row r="207" spans="1:37" s="211" customFormat="1" ht="15.75" hidden="1" customHeight="1">
      <c r="A207" s="217"/>
      <c r="B207" s="213"/>
      <c r="C207" s="229"/>
      <c r="D207" s="229"/>
      <c r="E207" s="230"/>
      <c r="F207" s="209" t="e">
        <f>COUNTIF(#REF!,"=N")</f>
        <v>#REF!</v>
      </c>
      <c r="G207" s="227"/>
      <c r="H207" s="227"/>
      <c r="I207" s="227"/>
      <c r="J207" s="227"/>
      <c r="K207" s="227"/>
      <c r="L207" s="227"/>
      <c r="M207" s="227"/>
      <c r="N207" s="227"/>
      <c r="O207" s="227"/>
      <c r="P207" s="227"/>
      <c r="Q207" s="227"/>
      <c r="R207" s="227"/>
      <c r="S207" s="227"/>
      <c r="T207" s="227"/>
      <c r="U207" s="227"/>
      <c r="V207" s="227"/>
      <c r="W207" s="227"/>
      <c r="X207" s="210"/>
      <c r="Y207" s="210"/>
      <c r="Z207" s="210"/>
      <c r="AA207" s="210"/>
      <c r="AB207" s="210"/>
      <c r="AC207" s="210"/>
      <c r="AD207" s="210"/>
      <c r="AE207" s="210"/>
      <c r="AF207" s="210"/>
      <c r="AG207" s="210"/>
      <c r="AH207" s="210"/>
      <c r="AI207" s="210"/>
      <c r="AJ207" s="210"/>
      <c r="AK207" s="210"/>
    </row>
    <row r="208" spans="1:37" s="211" customFormat="1" ht="15.75" hidden="1" customHeight="1">
      <c r="A208" s="217"/>
      <c r="B208" s="213"/>
      <c r="C208" s="229"/>
      <c r="D208" s="229"/>
      <c r="E208" s="230"/>
      <c r="F208" s="209"/>
      <c r="G208" s="227"/>
      <c r="H208" s="227"/>
      <c r="I208" s="227"/>
      <c r="J208" s="227"/>
      <c r="K208" s="227"/>
      <c r="L208" s="227"/>
      <c r="M208" s="227"/>
      <c r="N208" s="227"/>
      <c r="O208" s="227"/>
      <c r="P208" s="227"/>
      <c r="Q208" s="227"/>
      <c r="R208" s="227"/>
      <c r="S208" s="227"/>
      <c r="T208" s="227"/>
      <c r="U208" s="227"/>
      <c r="V208" s="227"/>
      <c r="W208" s="227"/>
      <c r="X208" s="210"/>
      <c r="Y208" s="210"/>
      <c r="Z208" s="210"/>
      <c r="AA208" s="210"/>
      <c r="AB208" s="210"/>
      <c r="AC208" s="210"/>
      <c r="AD208" s="210"/>
      <c r="AE208" s="210"/>
      <c r="AF208" s="210"/>
      <c r="AG208" s="210"/>
      <c r="AH208" s="210"/>
      <c r="AI208" s="210"/>
      <c r="AJ208" s="210"/>
      <c r="AK208" s="210"/>
    </row>
    <row r="209" spans="1:37" s="211" customFormat="1" ht="15.75" hidden="1" customHeight="1">
      <c r="A209" s="217"/>
      <c r="B209" s="213"/>
      <c r="C209" s="229"/>
      <c r="D209" s="229"/>
      <c r="E209" s="230"/>
      <c r="F209" s="209"/>
      <c r="G209" s="227"/>
      <c r="H209" s="227"/>
      <c r="I209" s="227"/>
      <c r="J209" s="227"/>
      <c r="K209" s="227"/>
      <c r="L209" s="227"/>
      <c r="M209" s="227"/>
      <c r="N209" s="227"/>
      <c r="O209" s="227"/>
      <c r="P209" s="227"/>
      <c r="Q209" s="227"/>
      <c r="R209" s="227"/>
      <c r="S209" s="227"/>
      <c r="T209" s="227"/>
      <c r="U209" s="227"/>
      <c r="V209" s="227"/>
      <c r="W209" s="227"/>
      <c r="X209" s="210"/>
      <c r="Y209" s="210"/>
      <c r="Z209" s="210"/>
      <c r="AA209" s="210"/>
      <c r="AB209" s="210"/>
      <c r="AC209" s="210"/>
      <c r="AD209" s="210"/>
      <c r="AE209" s="210"/>
      <c r="AF209" s="210"/>
      <c r="AG209" s="210"/>
      <c r="AH209" s="210"/>
      <c r="AI209" s="210"/>
      <c r="AJ209" s="210"/>
      <c r="AK209" s="210"/>
    </row>
    <row r="210" spans="1:37" s="211" customFormat="1" ht="15.75" hidden="1" customHeight="1">
      <c r="A210" s="217"/>
      <c r="B210" s="213"/>
      <c r="C210" s="229"/>
      <c r="D210" s="229"/>
      <c r="E210" s="230"/>
      <c r="F210" s="209"/>
      <c r="G210" s="227"/>
      <c r="H210" s="227"/>
      <c r="I210" s="227"/>
      <c r="J210" s="227"/>
      <c r="K210" s="227"/>
      <c r="L210" s="227"/>
      <c r="M210" s="227"/>
      <c r="N210" s="227"/>
      <c r="O210" s="227"/>
      <c r="P210" s="227"/>
      <c r="Q210" s="227"/>
      <c r="R210" s="227"/>
      <c r="S210" s="227"/>
      <c r="T210" s="227"/>
      <c r="U210" s="227"/>
      <c r="V210" s="227"/>
      <c r="W210" s="227"/>
      <c r="X210" s="210"/>
      <c r="Y210" s="210"/>
      <c r="Z210" s="210"/>
      <c r="AA210" s="210"/>
      <c r="AB210" s="210"/>
      <c r="AC210" s="210"/>
      <c r="AD210" s="210"/>
      <c r="AE210" s="210"/>
      <c r="AF210" s="210"/>
      <c r="AG210" s="210"/>
      <c r="AH210" s="210"/>
      <c r="AI210" s="210"/>
      <c r="AJ210" s="210"/>
      <c r="AK210" s="210"/>
    </row>
    <row r="211" spans="1:37" s="211" customFormat="1" ht="15.75" hidden="1" customHeight="1">
      <c r="A211" s="217"/>
      <c r="B211" s="213"/>
      <c r="C211" s="229"/>
      <c r="D211" s="229"/>
      <c r="E211" s="230"/>
      <c r="F211" s="209"/>
      <c r="G211" s="227"/>
      <c r="H211" s="227"/>
      <c r="I211" s="227"/>
      <c r="J211" s="227"/>
      <c r="K211" s="227"/>
      <c r="L211" s="227"/>
      <c r="M211" s="227"/>
      <c r="N211" s="227"/>
      <c r="O211" s="227"/>
      <c r="P211" s="227"/>
      <c r="Q211" s="227"/>
      <c r="R211" s="227"/>
      <c r="S211" s="227"/>
      <c r="T211" s="227"/>
      <c r="U211" s="227"/>
      <c r="V211" s="227"/>
      <c r="W211" s="227"/>
      <c r="X211" s="210"/>
      <c r="Y211" s="210"/>
      <c r="Z211" s="210"/>
      <c r="AA211" s="210"/>
      <c r="AB211" s="210"/>
      <c r="AC211" s="210"/>
      <c r="AD211" s="210"/>
      <c r="AE211" s="210"/>
      <c r="AF211" s="210"/>
      <c r="AG211" s="210"/>
      <c r="AH211" s="210"/>
      <c r="AI211" s="210"/>
      <c r="AJ211" s="210"/>
      <c r="AK211" s="210"/>
    </row>
    <row r="212" spans="1:37" s="211" customFormat="1" ht="15.75" hidden="1" customHeight="1">
      <c r="A212" s="130"/>
      <c r="B212" s="213"/>
      <c r="C212" s="229"/>
      <c r="D212" s="229"/>
      <c r="E212" s="230"/>
      <c r="F212" s="209" t="e">
        <f>COUNTIF(#REF!,"=N")</f>
        <v>#REF!</v>
      </c>
      <c r="G212" s="227"/>
      <c r="H212" s="227"/>
      <c r="I212" s="227"/>
      <c r="J212" s="227"/>
      <c r="K212" s="227"/>
      <c r="L212" s="227"/>
      <c r="M212" s="227"/>
      <c r="N212" s="227"/>
      <c r="O212" s="227"/>
      <c r="P212" s="227"/>
      <c r="Q212" s="227"/>
      <c r="R212" s="227"/>
      <c r="S212" s="227"/>
      <c r="T212" s="227"/>
      <c r="U212" s="227"/>
      <c r="V212" s="227"/>
      <c r="W212" s="227"/>
      <c r="X212" s="210"/>
      <c r="Y212" s="210"/>
      <c r="Z212" s="210"/>
      <c r="AA212" s="210"/>
      <c r="AB212" s="210"/>
      <c r="AC212" s="210"/>
      <c r="AD212" s="210"/>
      <c r="AE212" s="210"/>
      <c r="AF212" s="210"/>
      <c r="AG212" s="210"/>
      <c r="AH212" s="210"/>
      <c r="AI212" s="210"/>
      <c r="AJ212" s="210"/>
      <c r="AK212" s="210"/>
    </row>
    <row r="213" spans="1:37" s="211" customFormat="1" ht="15.75" hidden="1" customHeight="1">
      <c r="A213" s="130"/>
      <c r="B213" s="213"/>
      <c r="C213" s="229"/>
      <c r="D213" s="229"/>
      <c r="E213" s="230"/>
      <c r="F213" s="209"/>
      <c r="G213" s="227"/>
      <c r="H213" s="227"/>
      <c r="I213" s="227"/>
      <c r="J213" s="227"/>
      <c r="K213" s="227"/>
      <c r="L213" s="227"/>
      <c r="M213" s="227"/>
      <c r="N213" s="227"/>
      <c r="O213" s="227"/>
      <c r="P213" s="227"/>
      <c r="Q213" s="227"/>
      <c r="R213" s="227"/>
      <c r="S213" s="227"/>
      <c r="T213" s="227"/>
      <c r="U213" s="227"/>
      <c r="V213" s="227"/>
      <c r="W213" s="227"/>
      <c r="X213" s="210"/>
      <c r="Y213" s="210"/>
      <c r="Z213" s="210"/>
      <c r="AA213" s="210"/>
      <c r="AB213" s="210"/>
      <c r="AC213" s="210"/>
      <c r="AD213" s="210"/>
      <c r="AE213" s="210"/>
      <c r="AF213" s="210"/>
      <c r="AG213" s="210"/>
      <c r="AH213" s="210"/>
      <c r="AI213" s="210"/>
      <c r="AJ213" s="210"/>
      <c r="AK213" s="210"/>
    </row>
    <row r="214" spans="1:37" s="211" customFormat="1" ht="15.75" hidden="1" customHeight="1">
      <c r="A214" s="130"/>
      <c r="B214" s="213"/>
      <c r="C214" s="229"/>
      <c r="D214" s="229"/>
      <c r="E214" s="230"/>
      <c r="F214" s="209"/>
      <c r="G214" s="227"/>
      <c r="H214" s="227"/>
      <c r="I214" s="227"/>
      <c r="J214" s="227"/>
      <c r="K214" s="227"/>
      <c r="L214" s="227"/>
      <c r="M214" s="227"/>
      <c r="N214" s="227"/>
      <c r="O214" s="227"/>
      <c r="P214" s="227"/>
      <c r="Q214" s="227"/>
      <c r="R214" s="227"/>
      <c r="S214" s="227"/>
      <c r="T214" s="227"/>
      <c r="U214" s="227"/>
      <c r="V214" s="227"/>
      <c r="W214" s="227"/>
      <c r="X214" s="210"/>
      <c r="Y214" s="210"/>
      <c r="Z214" s="210"/>
      <c r="AA214" s="210"/>
      <c r="AB214" s="210"/>
      <c r="AC214" s="210"/>
      <c r="AD214" s="210"/>
      <c r="AE214" s="210"/>
      <c r="AF214" s="210"/>
      <c r="AG214" s="210"/>
      <c r="AH214" s="210"/>
      <c r="AI214" s="210"/>
      <c r="AJ214" s="210"/>
      <c r="AK214" s="210"/>
    </row>
    <row r="215" spans="1:37" s="211" customFormat="1" ht="15.75" hidden="1" customHeight="1">
      <c r="A215" s="130"/>
      <c r="B215" s="213"/>
      <c r="C215" s="229"/>
      <c r="D215" s="229"/>
      <c r="E215" s="230"/>
      <c r="F215" s="209"/>
      <c r="G215" s="227"/>
      <c r="H215" s="227"/>
      <c r="I215" s="227"/>
      <c r="J215" s="227"/>
      <c r="K215" s="227"/>
      <c r="L215" s="227"/>
      <c r="M215" s="227"/>
      <c r="N215" s="227"/>
      <c r="O215" s="227"/>
      <c r="P215" s="227"/>
      <c r="Q215" s="227"/>
      <c r="R215" s="227"/>
      <c r="S215" s="227"/>
      <c r="T215" s="227"/>
      <c r="U215" s="227"/>
      <c r="V215" s="227"/>
      <c r="W215" s="227"/>
      <c r="X215" s="210"/>
      <c r="Y215" s="210"/>
      <c r="Z215" s="210"/>
      <c r="AA215" s="210"/>
      <c r="AB215" s="210"/>
      <c r="AC215" s="210"/>
      <c r="AD215" s="210"/>
      <c r="AE215" s="210"/>
      <c r="AF215" s="210"/>
      <c r="AG215" s="210"/>
      <c r="AH215" s="210"/>
      <c r="AI215" s="210"/>
      <c r="AJ215" s="210"/>
      <c r="AK215" s="210"/>
    </row>
    <row r="216" spans="1:37" s="211" customFormat="1" ht="15.75" hidden="1" customHeight="1">
      <c r="A216" s="130"/>
      <c r="B216" s="213"/>
      <c r="C216" s="229"/>
      <c r="D216" s="229"/>
      <c r="E216" s="230"/>
      <c r="F216" s="209" t="e">
        <f>COUNTIF(#REF!,"=N")</f>
        <v>#REF!</v>
      </c>
      <c r="G216" s="227"/>
      <c r="H216" s="227"/>
      <c r="I216" s="227"/>
      <c r="J216" s="227"/>
      <c r="K216" s="227"/>
      <c r="L216" s="227"/>
      <c r="M216" s="227"/>
      <c r="N216" s="227"/>
      <c r="O216" s="227"/>
      <c r="P216" s="227"/>
      <c r="Q216" s="227"/>
      <c r="R216" s="227"/>
      <c r="S216" s="227"/>
      <c r="T216" s="227"/>
      <c r="U216" s="227"/>
      <c r="V216" s="227"/>
      <c r="W216" s="227"/>
      <c r="X216" s="210"/>
      <c r="Y216" s="210"/>
      <c r="Z216" s="210"/>
      <c r="AA216" s="210"/>
      <c r="AB216" s="210"/>
      <c r="AC216" s="210"/>
      <c r="AD216" s="210"/>
      <c r="AE216" s="210"/>
      <c r="AF216" s="210"/>
      <c r="AG216" s="210"/>
      <c r="AH216" s="210"/>
      <c r="AI216" s="210"/>
      <c r="AJ216" s="210"/>
      <c r="AK216" s="210"/>
    </row>
    <row r="217" spans="1:37" s="211" customFormat="1" ht="15.75" hidden="1" customHeight="1">
      <c r="A217" s="130"/>
      <c r="B217" s="213"/>
      <c r="C217" s="229"/>
      <c r="D217" s="229"/>
      <c r="E217" s="230"/>
      <c r="F217" s="209"/>
      <c r="G217" s="227"/>
      <c r="H217" s="227"/>
      <c r="I217" s="227"/>
      <c r="J217" s="227"/>
      <c r="K217" s="227"/>
      <c r="L217" s="227"/>
      <c r="M217" s="227"/>
      <c r="N217" s="227"/>
      <c r="O217" s="227"/>
      <c r="P217" s="227"/>
      <c r="Q217" s="227"/>
      <c r="R217" s="227"/>
      <c r="S217" s="227"/>
      <c r="T217" s="227"/>
      <c r="U217" s="227"/>
      <c r="V217" s="227"/>
      <c r="W217" s="227"/>
      <c r="X217" s="210"/>
      <c r="Y217" s="210"/>
      <c r="Z217" s="210"/>
      <c r="AA217" s="210"/>
      <c r="AB217" s="210"/>
      <c r="AC217" s="210"/>
      <c r="AD217" s="210"/>
      <c r="AE217" s="210"/>
      <c r="AF217" s="210"/>
      <c r="AG217" s="210"/>
      <c r="AH217" s="210"/>
      <c r="AI217" s="210"/>
      <c r="AJ217" s="210"/>
      <c r="AK217" s="210"/>
    </row>
    <row r="218" spans="1:37" s="211" customFormat="1" ht="15.75" hidden="1" customHeight="1">
      <c r="A218" s="130"/>
      <c r="B218" s="213"/>
      <c r="C218" s="229"/>
      <c r="D218" s="229"/>
      <c r="E218" s="230"/>
      <c r="F218" s="209"/>
      <c r="G218" s="227"/>
      <c r="H218" s="227"/>
      <c r="I218" s="227"/>
      <c r="J218" s="227"/>
      <c r="K218" s="227"/>
      <c r="L218" s="227"/>
      <c r="M218" s="227"/>
      <c r="N218" s="227"/>
      <c r="O218" s="227"/>
      <c r="P218" s="227"/>
      <c r="Q218" s="227"/>
      <c r="R218" s="227"/>
      <c r="S218" s="227"/>
      <c r="T218" s="227"/>
      <c r="U218" s="227"/>
      <c r="V218" s="227"/>
      <c r="W218" s="227"/>
      <c r="X218" s="210"/>
      <c r="Y218" s="210"/>
      <c r="Z218" s="210"/>
      <c r="AA218" s="210"/>
      <c r="AB218" s="210"/>
      <c r="AC218" s="210"/>
      <c r="AD218" s="210"/>
      <c r="AE218" s="210"/>
      <c r="AF218" s="210"/>
      <c r="AG218" s="210"/>
      <c r="AH218" s="210"/>
      <c r="AI218" s="210"/>
      <c r="AJ218" s="210"/>
      <c r="AK218" s="210"/>
    </row>
    <row r="219" spans="1:37" s="211" customFormat="1" ht="15.75" hidden="1" customHeight="1">
      <c r="A219" s="130"/>
      <c r="B219" s="213"/>
      <c r="C219" s="229"/>
      <c r="D219" s="229"/>
      <c r="E219" s="230"/>
      <c r="F219" s="209"/>
      <c r="G219" s="227"/>
      <c r="H219" s="227"/>
      <c r="I219" s="227"/>
      <c r="J219" s="227"/>
      <c r="K219" s="227"/>
      <c r="L219" s="227"/>
      <c r="M219" s="227"/>
      <c r="N219" s="227"/>
      <c r="O219" s="227"/>
      <c r="P219" s="227"/>
      <c r="Q219" s="227"/>
      <c r="R219" s="227"/>
      <c r="S219" s="227"/>
      <c r="T219" s="227"/>
      <c r="U219" s="227"/>
      <c r="V219" s="227"/>
      <c r="W219" s="227"/>
      <c r="X219" s="210"/>
      <c r="Y219" s="210"/>
      <c r="Z219" s="210"/>
      <c r="AA219" s="210"/>
      <c r="AB219" s="210"/>
      <c r="AC219" s="210"/>
      <c r="AD219" s="210"/>
      <c r="AE219" s="210"/>
      <c r="AF219" s="210"/>
      <c r="AG219" s="210"/>
      <c r="AH219" s="210"/>
      <c r="AI219" s="210"/>
      <c r="AJ219" s="210"/>
      <c r="AK219" s="210"/>
    </row>
    <row r="220" spans="1:37" s="211" customFormat="1" ht="15.75" hidden="1" customHeight="1">
      <c r="A220" s="130"/>
      <c r="B220" s="213"/>
      <c r="C220" s="229"/>
      <c r="D220" s="229"/>
      <c r="E220" s="230"/>
      <c r="F220" s="209"/>
      <c r="G220" s="227"/>
      <c r="H220" s="227"/>
      <c r="I220" s="227"/>
      <c r="J220" s="227"/>
      <c r="K220" s="227"/>
      <c r="L220" s="227"/>
      <c r="M220" s="227"/>
      <c r="N220" s="227"/>
      <c r="O220" s="227"/>
      <c r="P220" s="227"/>
      <c r="Q220" s="227"/>
      <c r="R220" s="227"/>
      <c r="S220" s="227"/>
      <c r="T220" s="227"/>
      <c r="U220" s="227"/>
      <c r="V220" s="227"/>
      <c r="W220" s="227"/>
      <c r="X220" s="210"/>
      <c r="Y220" s="210"/>
      <c r="Z220" s="210"/>
      <c r="AA220" s="210"/>
      <c r="AB220" s="210"/>
      <c r="AC220" s="210"/>
      <c r="AD220" s="210"/>
      <c r="AE220" s="210"/>
      <c r="AF220" s="210"/>
      <c r="AG220" s="210"/>
      <c r="AH220" s="210"/>
      <c r="AI220" s="210"/>
      <c r="AJ220" s="210"/>
      <c r="AK220" s="210"/>
    </row>
    <row r="221" spans="1:37" s="211" customFormat="1" ht="15.75" hidden="1" customHeight="1">
      <c r="A221" s="130"/>
      <c r="B221" s="213"/>
      <c r="C221" s="229"/>
      <c r="D221" s="229"/>
      <c r="E221" s="230"/>
      <c r="F221" s="209"/>
      <c r="G221" s="227"/>
      <c r="H221" s="227"/>
      <c r="I221" s="227"/>
      <c r="J221" s="227"/>
      <c r="K221" s="227"/>
      <c r="L221" s="227"/>
      <c r="M221" s="227"/>
      <c r="N221" s="227"/>
      <c r="O221" s="227"/>
      <c r="P221" s="227"/>
      <c r="Q221" s="227"/>
      <c r="R221" s="227"/>
      <c r="S221" s="227"/>
      <c r="T221" s="227"/>
      <c r="U221" s="227"/>
      <c r="V221" s="227"/>
      <c r="W221" s="227"/>
      <c r="X221" s="210"/>
      <c r="Y221" s="210"/>
      <c r="Z221" s="210"/>
      <c r="AA221" s="210"/>
      <c r="AB221" s="210"/>
      <c r="AC221" s="210"/>
      <c r="AD221" s="210"/>
      <c r="AE221" s="210"/>
      <c r="AF221" s="210"/>
      <c r="AG221" s="210"/>
      <c r="AH221" s="210"/>
      <c r="AI221" s="210"/>
      <c r="AJ221" s="210"/>
      <c r="AK221" s="210"/>
    </row>
    <row r="222" spans="1:37" s="211" customFormat="1" ht="15.75" hidden="1" customHeight="1">
      <c r="A222" s="130"/>
      <c r="B222" s="213"/>
      <c r="C222" s="229"/>
      <c r="D222" s="229"/>
      <c r="E222" s="230"/>
      <c r="F222" s="209"/>
      <c r="G222" s="227"/>
      <c r="H222" s="227"/>
      <c r="I222" s="227"/>
      <c r="J222" s="227"/>
      <c r="K222" s="227"/>
      <c r="L222" s="227"/>
      <c r="M222" s="227"/>
      <c r="N222" s="227"/>
      <c r="O222" s="227"/>
      <c r="P222" s="227"/>
      <c r="Q222" s="227"/>
      <c r="R222" s="227"/>
      <c r="S222" s="227"/>
      <c r="T222" s="227"/>
      <c r="U222" s="227"/>
      <c r="V222" s="227"/>
      <c r="W222" s="227"/>
      <c r="X222" s="210"/>
      <c r="Y222" s="210"/>
      <c r="Z222" s="210"/>
      <c r="AA222" s="210"/>
      <c r="AB222" s="210"/>
      <c r="AC222" s="210"/>
      <c r="AD222" s="210"/>
      <c r="AE222" s="210"/>
      <c r="AF222" s="210"/>
      <c r="AG222" s="210"/>
      <c r="AH222" s="210"/>
      <c r="AI222" s="210"/>
      <c r="AJ222" s="210"/>
      <c r="AK222" s="210"/>
    </row>
    <row r="223" spans="1:37" s="211" customFormat="1" ht="15.75" hidden="1" customHeight="1">
      <c r="A223" s="130"/>
      <c r="B223" s="213"/>
      <c r="C223" s="229"/>
      <c r="D223" s="229"/>
      <c r="E223" s="230"/>
      <c r="F223" s="209" t="e">
        <f>COUNTIF(#REF!,"=N")</f>
        <v>#REF!</v>
      </c>
      <c r="G223" s="227"/>
      <c r="H223" s="227"/>
      <c r="I223" s="227"/>
      <c r="J223" s="227"/>
      <c r="K223" s="227"/>
      <c r="L223" s="227"/>
      <c r="M223" s="227"/>
      <c r="N223" s="227"/>
      <c r="O223" s="227"/>
      <c r="P223" s="227"/>
      <c r="Q223" s="227"/>
      <c r="R223" s="227"/>
      <c r="S223" s="227"/>
      <c r="T223" s="227"/>
      <c r="U223" s="227"/>
      <c r="V223" s="227"/>
      <c r="W223" s="227"/>
      <c r="X223" s="210"/>
      <c r="Y223" s="210"/>
      <c r="Z223" s="210"/>
      <c r="AA223" s="210"/>
      <c r="AB223" s="210"/>
      <c r="AC223" s="210"/>
      <c r="AD223" s="210"/>
      <c r="AE223" s="210"/>
      <c r="AF223" s="210"/>
      <c r="AG223" s="210"/>
      <c r="AH223" s="210"/>
      <c r="AI223" s="210"/>
      <c r="AJ223" s="210"/>
      <c r="AK223" s="210"/>
    </row>
    <row r="224" spans="1:37" s="211" customFormat="1" ht="15.75" hidden="1" customHeight="1">
      <c r="A224" s="130"/>
      <c r="B224" s="213"/>
      <c r="C224" s="229"/>
      <c r="D224" s="229"/>
      <c r="E224" s="230"/>
      <c r="F224" s="209"/>
      <c r="G224" s="227"/>
      <c r="H224" s="227"/>
      <c r="I224" s="227"/>
      <c r="J224" s="227"/>
      <c r="K224" s="227"/>
      <c r="L224" s="227"/>
      <c r="M224" s="227"/>
      <c r="N224" s="227"/>
      <c r="O224" s="227"/>
      <c r="P224" s="227"/>
      <c r="Q224" s="227"/>
      <c r="R224" s="227"/>
      <c r="S224" s="227"/>
      <c r="T224" s="227"/>
      <c r="U224" s="227"/>
      <c r="V224" s="227"/>
      <c r="W224" s="227"/>
      <c r="X224" s="210"/>
      <c r="Y224" s="210"/>
      <c r="Z224" s="210"/>
      <c r="AA224" s="210"/>
      <c r="AB224" s="210"/>
      <c r="AC224" s="210"/>
      <c r="AD224" s="210"/>
      <c r="AE224" s="210"/>
      <c r="AF224" s="210"/>
      <c r="AG224" s="210"/>
      <c r="AH224" s="210"/>
      <c r="AI224" s="210"/>
      <c r="AJ224" s="210"/>
      <c r="AK224" s="210"/>
    </row>
    <row r="225" spans="1:37" s="211" customFormat="1" ht="15.75" hidden="1" customHeight="1">
      <c r="A225" s="130"/>
      <c r="B225" s="213"/>
      <c r="C225" s="229"/>
      <c r="D225" s="229"/>
      <c r="E225" s="230"/>
      <c r="F225" s="209"/>
      <c r="G225" s="227"/>
      <c r="H225" s="227"/>
      <c r="I225" s="227"/>
      <c r="J225" s="227"/>
      <c r="K225" s="227"/>
      <c r="L225" s="227"/>
      <c r="M225" s="227"/>
      <c r="N225" s="227"/>
      <c r="O225" s="227"/>
      <c r="P225" s="227"/>
      <c r="Q225" s="227"/>
      <c r="R225" s="227"/>
      <c r="S225" s="227"/>
      <c r="T225" s="227"/>
      <c r="U225" s="227"/>
      <c r="V225" s="227"/>
      <c r="W225" s="227"/>
      <c r="X225" s="210"/>
      <c r="Y225" s="210"/>
      <c r="Z225" s="210"/>
      <c r="AA225" s="210"/>
      <c r="AB225" s="210"/>
      <c r="AC225" s="210"/>
      <c r="AD225" s="210"/>
      <c r="AE225" s="210"/>
      <c r="AF225" s="210"/>
      <c r="AG225" s="210"/>
      <c r="AH225" s="210"/>
      <c r="AI225" s="210"/>
      <c r="AJ225" s="210"/>
      <c r="AK225" s="210"/>
    </row>
    <row r="226" spans="1:37" s="211" customFormat="1" ht="15.75" hidden="1" customHeight="1">
      <c r="A226" s="130"/>
      <c r="B226" s="213"/>
      <c r="C226" s="229"/>
      <c r="D226" s="229"/>
      <c r="E226" s="230"/>
      <c r="F226" s="209"/>
      <c r="G226" s="227"/>
      <c r="H226" s="227"/>
      <c r="I226" s="227"/>
      <c r="J226" s="227"/>
      <c r="K226" s="227"/>
      <c r="L226" s="227"/>
      <c r="M226" s="227"/>
      <c r="N226" s="227"/>
      <c r="O226" s="227"/>
      <c r="P226" s="227"/>
      <c r="Q226" s="227"/>
      <c r="R226" s="227"/>
      <c r="S226" s="227"/>
      <c r="T226" s="227"/>
      <c r="U226" s="227"/>
      <c r="V226" s="227"/>
      <c r="W226" s="227"/>
      <c r="X226" s="210"/>
      <c r="Y226" s="210"/>
      <c r="Z226" s="210"/>
      <c r="AA226" s="210"/>
      <c r="AB226" s="210"/>
      <c r="AC226" s="210"/>
      <c r="AD226" s="210"/>
      <c r="AE226" s="210"/>
      <c r="AF226" s="210"/>
      <c r="AG226" s="210"/>
      <c r="AH226" s="210"/>
      <c r="AI226" s="210"/>
      <c r="AJ226" s="210"/>
      <c r="AK226" s="210"/>
    </row>
    <row r="227" spans="1:37" s="211" customFormat="1" ht="15.75" hidden="1" customHeight="1">
      <c r="A227" s="130"/>
      <c r="B227" s="213"/>
      <c r="C227" s="229"/>
      <c r="D227" s="229"/>
      <c r="E227" s="230"/>
      <c r="F227" s="209" t="e">
        <f>COUNTIF(#REF!,"=N")</f>
        <v>#REF!</v>
      </c>
      <c r="G227" s="227"/>
      <c r="H227" s="227"/>
      <c r="I227" s="227"/>
      <c r="J227" s="227"/>
      <c r="K227" s="227"/>
      <c r="L227" s="227"/>
      <c r="M227" s="227"/>
      <c r="N227" s="227"/>
      <c r="O227" s="227"/>
      <c r="P227" s="227"/>
      <c r="Q227" s="227"/>
      <c r="R227" s="227"/>
      <c r="S227" s="227"/>
      <c r="T227" s="227"/>
      <c r="U227" s="227"/>
      <c r="V227" s="227"/>
      <c r="W227" s="227"/>
      <c r="X227" s="210"/>
      <c r="Y227" s="210"/>
      <c r="Z227" s="210"/>
      <c r="AA227" s="210"/>
      <c r="AB227" s="210"/>
      <c r="AC227" s="210"/>
      <c r="AD227" s="210"/>
      <c r="AE227" s="210"/>
      <c r="AF227" s="210"/>
      <c r="AG227" s="210"/>
      <c r="AH227" s="210"/>
      <c r="AI227" s="210"/>
      <c r="AJ227" s="210"/>
      <c r="AK227" s="210"/>
    </row>
    <row r="228" spans="1:37" s="211" customFormat="1" ht="15.75" hidden="1" customHeight="1">
      <c r="A228" s="130"/>
      <c r="B228" s="213"/>
      <c r="C228" s="229"/>
      <c r="D228" s="229"/>
      <c r="E228" s="230"/>
      <c r="F228" s="209"/>
      <c r="G228" s="227"/>
      <c r="H228" s="227"/>
      <c r="I228" s="227"/>
      <c r="J228" s="227"/>
      <c r="K228" s="227"/>
      <c r="L228" s="227"/>
      <c r="M228" s="227"/>
      <c r="N228" s="227"/>
      <c r="O228" s="227"/>
      <c r="P228" s="227"/>
      <c r="Q228" s="227"/>
      <c r="R228" s="227"/>
      <c r="S228" s="227"/>
      <c r="T228" s="227"/>
      <c r="U228" s="227"/>
      <c r="V228" s="227"/>
      <c r="W228" s="227"/>
      <c r="X228" s="210"/>
      <c r="Y228" s="210"/>
      <c r="Z228" s="210"/>
      <c r="AA228" s="210"/>
      <c r="AB228" s="210"/>
      <c r="AC228" s="210"/>
      <c r="AD228" s="210"/>
      <c r="AE228" s="210"/>
      <c r="AF228" s="210"/>
      <c r="AG228" s="210"/>
      <c r="AH228" s="210"/>
      <c r="AI228" s="210"/>
      <c r="AJ228" s="210"/>
      <c r="AK228" s="210"/>
    </row>
    <row r="229" spans="1:37" s="211" customFormat="1" ht="15.75" hidden="1" customHeight="1">
      <c r="A229" s="130"/>
      <c r="B229" s="213"/>
      <c r="C229" s="229"/>
      <c r="D229" s="229"/>
      <c r="E229" s="230"/>
      <c r="F229" s="209"/>
      <c r="G229" s="227"/>
      <c r="H229" s="227"/>
      <c r="I229" s="227"/>
      <c r="J229" s="227"/>
      <c r="K229" s="227"/>
      <c r="L229" s="227"/>
      <c r="M229" s="227"/>
      <c r="N229" s="227"/>
      <c r="O229" s="227"/>
      <c r="P229" s="227"/>
      <c r="Q229" s="227"/>
      <c r="R229" s="227"/>
      <c r="S229" s="227"/>
      <c r="T229" s="227"/>
      <c r="U229" s="227"/>
      <c r="V229" s="227"/>
      <c r="W229" s="227"/>
      <c r="X229" s="210"/>
      <c r="Y229" s="210"/>
      <c r="Z229" s="210"/>
      <c r="AA229" s="210"/>
      <c r="AB229" s="210"/>
      <c r="AC229" s="210"/>
      <c r="AD229" s="210"/>
      <c r="AE229" s="210"/>
      <c r="AF229" s="210"/>
      <c r="AG229" s="210"/>
      <c r="AH229" s="210"/>
      <c r="AI229" s="210"/>
      <c r="AJ229" s="210"/>
      <c r="AK229" s="210"/>
    </row>
    <row r="230" spans="1:37" s="211" customFormat="1" ht="15.75" hidden="1" customHeight="1">
      <c r="A230" s="130"/>
      <c r="B230" s="213"/>
      <c r="C230" s="229"/>
      <c r="D230" s="229"/>
      <c r="E230" s="230"/>
      <c r="F230" s="209"/>
      <c r="G230" s="227"/>
      <c r="H230" s="227"/>
      <c r="I230" s="227"/>
      <c r="J230" s="227"/>
      <c r="K230" s="227"/>
      <c r="L230" s="227"/>
      <c r="M230" s="227"/>
      <c r="N230" s="227"/>
      <c r="O230" s="227"/>
      <c r="P230" s="227"/>
      <c r="Q230" s="227"/>
      <c r="R230" s="227"/>
      <c r="S230" s="227"/>
      <c r="T230" s="227"/>
      <c r="U230" s="227"/>
      <c r="V230" s="227"/>
      <c r="W230" s="227"/>
      <c r="X230" s="210"/>
      <c r="Y230" s="210"/>
      <c r="Z230" s="210"/>
      <c r="AA230" s="210"/>
      <c r="AB230" s="210"/>
      <c r="AC230" s="210"/>
      <c r="AD230" s="210"/>
      <c r="AE230" s="210"/>
      <c r="AF230" s="210"/>
      <c r="AG230" s="210"/>
      <c r="AH230" s="210"/>
      <c r="AI230" s="210"/>
      <c r="AJ230" s="210"/>
      <c r="AK230" s="210"/>
    </row>
    <row r="231" spans="1:37" s="211" customFormat="1" ht="15.75" hidden="1" customHeight="1">
      <c r="A231" s="130"/>
      <c r="B231" s="213"/>
      <c r="C231" s="229"/>
      <c r="D231" s="229"/>
      <c r="E231" s="230"/>
      <c r="F231" s="209" t="e">
        <f>COUNTIF(#REF!,"=N")</f>
        <v>#REF!</v>
      </c>
      <c r="G231" s="227"/>
      <c r="H231" s="227"/>
      <c r="I231" s="227"/>
      <c r="J231" s="227"/>
      <c r="K231" s="227"/>
      <c r="L231" s="227"/>
      <c r="M231" s="227"/>
      <c r="N231" s="227"/>
      <c r="O231" s="227"/>
      <c r="P231" s="227"/>
      <c r="Q231" s="227"/>
      <c r="R231" s="227"/>
      <c r="S231" s="227"/>
      <c r="T231" s="227"/>
      <c r="U231" s="227"/>
      <c r="V231" s="227"/>
      <c r="W231" s="227"/>
      <c r="X231" s="210"/>
      <c r="Y231" s="210"/>
      <c r="Z231" s="210"/>
      <c r="AA231" s="210"/>
      <c r="AB231" s="210"/>
      <c r="AC231" s="210"/>
      <c r="AD231" s="210"/>
      <c r="AE231" s="210"/>
      <c r="AF231" s="210"/>
      <c r="AG231" s="210"/>
      <c r="AH231" s="210"/>
      <c r="AI231" s="210"/>
      <c r="AJ231" s="210"/>
      <c r="AK231" s="210"/>
    </row>
    <row r="232" spans="1:37" s="211" customFormat="1" ht="15.75" hidden="1" customHeight="1">
      <c r="A232" s="130"/>
      <c r="B232" s="213"/>
      <c r="C232" s="229"/>
      <c r="D232" s="229"/>
      <c r="E232" s="230"/>
      <c r="F232" s="209"/>
      <c r="G232" s="227"/>
      <c r="H232" s="227"/>
      <c r="I232" s="227"/>
      <c r="J232" s="227"/>
      <c r="K232" s="227"/>
      <c r="L232" s="227"/>
      <c r="M232" s="227"/>
      <c r="N232" s="227"/>
      <c r="O232" s="227"/>
      <c r="P232" s="227"/>
      <c r="Q232" s="227"/>
      <c r="R232" s="227"/>
      <c r="S232" s="227"/>
      <c r="T232" s="227"/>
      <c r="U232" s="227"/>
      <c r="V232" s="227"/>
      <c r="W232" s="227"/>
      <c r="X232" s="210"/>
      <c r="Y232" s="210"/>
      <c r="Z232" s="210"/>
      <c r="AA232" s="210"/>
      <c r="AB232" s="210"/>
      <c r="AC232" s="210"/>
      <c r="AD232" s="210"/>
      <c r="AE232" s="210"/>
      <c r="AF232" s="210"/>
      <c r="AG232" s="210"/>
      <c r="AH232" s="210"/>
      <c r="AI232" s="210"/>
      <c r="AJ232" s="210"/>
      <c r="AK232" s="210"/>
    </row>
    <row r="233" spans="1:37" s="211" customFormat="1" ht="15.75" hidden="1" customHeight="1">
      <c r="A233" s="130"/>
      <c r="B233" s="213"/>
      <c r="C233" s="229"/>
      <c r="D233" s="229"/>
      <c r="E233" s="230"/>
      <c r="F233" s="209"/>
      <c r="G233" s="227"/>
      <c r="H233" s="227"/>
      <c r="I233" s="227"/>
      <c r="J233" s="227"/>
      <c r="K233" s="227"/>
      <c r="L233" s="227"/>
      <c r="M233" s="227"/>
      <c r="N233" s="227"/>
      <c r="O233" s="227"/>
      <c r="P233" s="227"/>
      <c r="Q233" s="227"/>
      <c r="R233" s="227"/>
      <c r="S233" s="227"/>
      <c r="T233" s="227"/>
      <c r="U233" s="227"/>
      <c r="V233" s="227"/>
      <c r="W233" s="227"/>
      <c r="X233" s="210"/>
      <c r="Y233" s="210"/>
      <c r="Z233" s="210"/>
      <c r="AA233" s="210"/>
      <c r="AB233" s="210"/>
      <c r="AC233" s="210"/>
      <c r="AD233" s="210"/>
      <c r="AE233" s="210"/>
      <c r="AF233" s="210"/>
      <c r="AG233" s="210"/>
      <c r="AH233" s="210"/>
      <c r="AI233" s="210"/>
      <c r="AJ233" s="210"/>
      <c r="AK233" s="210"/>
    </row>
    <row r="234" spans="1:37" s="211" customFormat="1" ht="15.75" hidden="1" customHeight="1">
      <c r="A234" s="130"/>
      <c r="B234" s="213"/>
      <c r="C234" s="229"/>
      <c r="D234" s="229"/>
      <c r="E234" s="230"/>
      <c r="F234" s="209"/>
      <c r="G234" s="227"/>
      <c r="H234" s="227"/>
      <c r="I234" s="227"/>
      <c r="J234" s="227"/>
      <c r="K234" s="227"/>
      <c r="L234" s="227"/>
      <c r="M234" s="227"/>
      <c r="N234" s="227"/>
      <c r="O234" s="227"/>
      <c r="P234" s="227"/>
      <c r="Q234" s="227"/>
      <c r="R234" s="227"/>
      <c r="S234" s="227"/>
      <c r="T234" s="227"/>
      <c r="U234" s="227"/>
      <c r="V234" s="227"/>
      <c r="W234" s="227"/>
      <c r="X234" s="210"/>
      <c r="Y234" s="210"/>
      <c r="Z234" s="210"/>
      <c r="AA234" s="210"/>
      <c r="AB234" s="210"/>
      <c r="AC234" s="210"/>
      <c r="AD234" s="210"/>
      <c r="AE234" s="210"/>
      <c r="AF234" s="210"/>
      <c r="AG234" s="210"/>
      <c r="AH234" s="210"/>
      <c r="AI234" s="210"/>
      <c r="AJ234" s="210"/>
      <c r="AK234" s="210"/>
    </row>
    <row r="235" spans="1:37" s="211" customFormat="1" ht="15.75" hidden="1" customHeight="1">
      <c r="A235" s="130"/>
      <c r="B235" s="213"/>
      <c r="C235" s="229"/>
      <c r="D235" s="229"/>
      <c r="E235" s="230"/>
      <c r="F235" s="209"/>
      <c r="G235" s="227"/>
      <c r="H235" s="227"/>
      <c r="I235" s="227"/>
      <c r="J235" s="227"/>
      <c r="K235" s="227"/>
      <c r="L235" s="227"/>
      <c r="M235" s="227"/>
      <c r="N235" s="227"/>
      <c r="O235" s="227"/>
      <c r="P235" s="227"/>
      <c r="Q235" s="227"/>
      <c r="R235" s="227"/>
      <c r="S235" s="227"/>
      <c r="T235" s="227"/>
      <c r="U235" s="227"/>
      <c r="V235" s="227"/>
      <c r="W235" s="227"/>
      <c r="X235" s="210"/>
      <c r="Y235" s="210"/>
      <c r="Z235" s="210"/>
      <c r="AA235" s="210"/>
      <c r="AB235" s="210"/>
      <c r="AC235" s="210"/>
      <c r="AD235" s="210"/>
      <c r="AE235" s="210"/>
      <c r="AF235" s="210"/>
      <c r="AG235" s="210"/>
      <c r="AH235" s="210"/>
      <c r="AI235" s="210"/>
      <c r="AJ235" s="210"/>
      <c r="AK235" s="210"/>
    </row>
    <row r="236" spans="1:37" s="211" customFormat="1" ht="15.75" hidden="1" customHeight="1">
      <c r="A236" s="130"/>
      <c r="B236" s="213"/>
      <c r="C236" s="229"/>
      <c r="D236" s="229"/>
      <c r="E236" s="230"/>
      <c r="F236" s="209" t="e">
        <f>COUNTIF(#REF!,"=N")</f>
        <v>#REF!</v>
      </c>
      <c r="G236" s="227"/>
      <c r="H236" s="227"/>
      <c r="I236" s="227"/>
      <c r="J236" s="227"/>
      <c r="K236" s="227"/>
      <c r="L236" s="227"/>
      <c r="M236" s="227"/>
      <c r="N236" s="227"/>
      <c r="O236" s="227"/>
      <c r="P236" s="227"/>
      <c r="Q236" s="227"/>
      <c r="R236" s="227"/>
      <c r="S236" s="227"/>
      <c r="T236" s="227"/>
      <c r="U236" s="227"/>
      <c r="V236" s="227"/>
      <c r="W236" s="227"/>
      <c r="X236" s="210"/>
      <c r="Y236" s="210"/>
      <c r="Z236" s="210"/>
      <c r="AA236" s="210"/>
      <c r="AB236" s="210"/>
      <c r="AC236" s="210"/>
      <c r="AD236" s="210"/>
      <c r="AE236" s="210"/>
      <c r="AF236" s="210"/>
      <c r="AG236" s="210"/>
      <c r="AH236" s="210"/>
      <c r="AI236" s="210"/>
      <c r="AJ236" s="210"/>
      <c r="AK236" s="210"/>
    </row>
    <row r="237" spans="1:37" s="211" customFormat="1" ht="15.75" hidden="1" customHeight="1">
      <c r="A237" s="130"/>
      <c r="B237" s="213"/>
      <c r="C237" s="229"/>
      <c r="D237" s="229"/>
      <c r="E237" s="230"/>
      <c r="F237" s="209"/>
      <c r="G237" s="227"/>
      <c r="H237" s="227"/>
      <c r="I237" s="227"/>
      <c r="J237" s="227"/>
      <c r="K237" s="227"/>
      <c r="L237" s="227"/>
      <c r="M237" s="227"/>
      <c r="N237" s="227"/>
      <c r="O237" s="227"/>
      <c r="P237" s="227"/>
      <c r="Q237" s="227"/>
      <c r="R237" s="227"/>
      <c r="S237" s="227"/>
      <c r="T237" s="227"/>
      <c r="U237" s="227"/>
      <c r="V237" s="227"/>
      <c r="W237" s="227"/>
      <c r="X237" s="210"/>
      <c r="Y237" s="210"/>
      <c r="Z237" s="210"/>
      <c r="AA237" s="210"/>
      <c r="AB237" s="210"/>
      <c r="AC237" s="210"/>
      <c r="AD237" s="210"/>
      <c r="AE237" s="210"/>
      <c r="AF237" s="210"/>
      <c r="AG237" s="210"/>
      <c r="AH237" s="210"/>
      <c r="AI237" s="210"/>
      <c r="AJ237" s="210"/>
      <c r="AK237" s="210"/>
    </row>
    <row r="238" spans="1:37" s="211" customFormat="1" ht="15.75" hidden="1" customHeight="1">
      <c r="A238" s="130"/>
      <c r="B238" s="213"/>
      <c r="C238" s="229"/>
      <c r="D238" s="229"/>
      <c r="E238" s="230"/>
      <c r="F238" s="209"/>
      <c r="G238" s="227"/>
      <c r="H238" s="227"/>
      <c r="I238" s="227"/>
      <c r="J238" s="227"/>
      <c r="K238" s="227"/>
      <c r="L238" s="227"/>
      <c r="M238" s="227"/>
      <c r="N238" s="227"/>
      <c r="O238" s="227"/>
      <c r="P238" s="227"/>
      <c r="Q238" s="227"/>
      <c r="R238" s="227"/>
      <c r="S238" s="227"/>
      <c r="T238" s="227"/>
      <c r="U238" s="227"/>
      <c r="V238" s="227"/>
      <c r="W238" s="227"/>
      <c r="X238" s="210"/>
      <c r="Y238" s="210"/>
      <c r="Z238" s="210"/>
      <c r="AA238" s="210"/>
      <c r="AB238" s="210"/>
      <c r="AC238" s="210"/>
      <c r="AD238" s="210"/>
      <c r="AE238" s="210"/>
      <c r="AF238" s="210"/>
      <c r="AG238" s="210"/>
      <c r="AH238" s="210"/>
      <c r="AI238" s="210"/>
      <c r="AJ238" s="210"/>
      <c r="AK238" s="210"/>
    </row>
    <row r="239" spans="1:37" s="211" customFormat="1" ht="15.75" hidden="1" customHeight="1">
      <c r="A239" s="130"/>
      <c r="B239" s="213"/>
      <c r="C239" s="229"/>
      <c r="D239" s="229"/>
      <c r="E239" s="230"/>
      <c r="F239" s="209"/>
      <c r="G239" s="227"/>
      <c r="H239" s="227"/>
      <c r="I239" s="227"/>
      <c r="J239" s="227"/>
      <c r="K239" s="227"/>
      <c r="L239" s="227"/>
      <c r="M239" s="227"/>
      <c r="N239" s="227"/>
      <c r="O239" s="227"/>
      <c r="P239" s="227"/>
      <c r="Q239" s="227"/>
      <c r="R239" s="227"/>
      <c r="S239" s="227"/>
      <c r="T239" s="227"/>
      <c r="U239" s="227"/>
      <c r="V239" s="227"/>
      <c r="W239" s="227"/>
      <c r="X239" s="210"/>
      <c r="Y239" s="210"/>
      <c r="Z239" s="210"/>
      <c r="AA239" s="210"/>
      <c r="AB239" s="210"/>
      <c r="AC239" s="210"/>
      <c r="AD239" s="210"/>
      <c r="AE239" s="210"/>
      <c r="AF239" s="210"/>
      <c r="AG239" s="210"/>
      <c r="AH239" s="210"/>
      <c r="AI239" s="210"/>
      <c r="AJ239" s="210"/>
      <c r="AK239" s="210"/>
    </row>
    <row r="240" spans="1:37" s="211" customFormat="1" ht="15.75" hidden="1" customHeight="1">
      <c r="A240" s="130"/>
      <c r="B240" s="213"/>
      <c r="C240" s="229"/>
      <c r="D240" s="229"/>
      <c r="E240" s="230"/>
      <c r="F240" s="209" t="e">
        <f>COUNTIF(#REF!,"=N")</f>
        <v>#REF!</v>
      </c>
      <c r="G240" s="227"/>
      <c r="H240" s="227"/>
      <c r="I240" s="227"/>
      <c r="J240" s="227"/>
      <c r="K240" s="227"/>
      <c r="L240" s="227"/>
      <c r="M240" s="227"/>
      <c r="N240" s="227"/>
      <c r="O240" s="227"/>
      <c r="P240" s="227"/>
      <c r="Q240" s="227"/>
      <c r="R240" s="227"/>
      <c r="S240" s="227"/>
      <c r="T240" s="227"/>
      <c r="U240" s="227"/>
      <c r="V240" s="227"/>
      <c r="W240" s="227"/>
      <c r="X240" s="210"/>
      <c r="Y240" s="210"/>
      <c r="Z240" s="210"/>
      <c r="AA240" s="210"/>
      <c r="AB240" s="210"/>
      <c r="AC240" s="210"/>
      <c r="AD240" s="210"/>
      <c r="AE240" s="210"/>
      <c r="AF240" s="210"/>
      <c r="AG240" s="210"/>
      <c r="AH240" s="210"/>
      <c r="AI240" s="210"/>
      <c r="AJ240" s="210"/>
      <c r="AK240" s="210"/>
    </row>
    <row r="241" spans="1:37" s="211" customFormat="1" ht="15.75" hidden="1" customHeight="1">
      <c r="A241" s="130"/>
      <c r="B241" s="213"/>
      <c r="C241" s="229"/>
      <c r="D241" s="229"/>
      <c r="E241" s="230"/>
      <c r="F241" s="209"/>
      <c r="G241" s="227"/>
      <c r="H241" s="227"/>
      <c r="I241" s="227"/>
      <c r="J241" s="227"/>
      <c r="K241" s="227"/>
      <c r="L241" s="227"/>
      <c r="M241" s="227"/>
      <c r="N241" s="227"/>
      <c r="O241" s="227"/>
      <c r="P241" s="227"/>
      <c r="Q241" s="227"/>
      <c r="R241" s="227"/>
      <c r="S241" s="227"/>
      <c r="T241" s="227"/>
      <c r="U241" s="227"/>
      <c r="V241" s="227"/>
      <c r="W241" s="227"/>
      <c r="X241" s="210"/>
      <c r="Y241" s="210"/>
      <c r="Z241" s="210"/>
      <c r="AA241" s="210"/>
      <c r="AB241" s="210"/>
      <c r="AC241" s="210"/>
      <c r="AD241" s="210"/>
      <c r="AE241" s="210"/>
      <c r="AF241" s="210"/>
      <c r="AG241" s="210"/>
      <c r="AH241" s="210"/>
      <c r="AI241" s="210"/>
      <c r="AJ241" s="210"/>
      <c r="AK241" s="210"/>
    </row>
    <row r="242" spans="1:37" s="211" customFormat="1" ht="15.75" hidden="1" customHeight="1">
      <c r="A242" s="130"/>
      <c r="B242" s="213"/>
      <c r="C242" s="229"/>
      <c r="D242" s="229"/>
      <c r="E242" s="230"/>
      <c r="F242" s="209"/>
      <c r="G242" s="227"/>
      <c r="H242" s="227"/>
      <c r="I242" s="227"/>
      <c r="J242" s="227"/>
      <c r="K242" s="227"/>
      <c r="L242" s="227"/>
      <c r="M242" s="227"/>
      <c r="N242" s="227"/>
      <c r="O242" s="227"/>
      <c r="P242" s="227"/>
      <c r="Q242" s="227"/>
      <c r="R242" s="227"/>
      <c r="S242" s="227"/>
      <c r="T242" s="227"/>
      <c r="U242" s="227"/>
      <c r="V242" s="227"/>
      <c r="W242" s="227"/>
      <c r="X242" s="210"/>
      <c r="Y242" s="210"/>
      <c r="Z242" s="210"/>
      <c r="AA242" s="210"/>
      <c r="AB242" s="210"/>
      <c r="AC242" s="210"/>
      <c r="AD242" s="210"/>
      <c r="AE242" s="210"/>
      <c r="AF242" s="210"/>
      <c r="AG242" s="210"/>
      <c r="AH242" s="210"/>
      <c r="AI242" s="210"/>
      <c r="AJ242" s="210"/>
      <c r="AK242" s="210"/>
    </row>
    <row r="243" spans="1:37" s="211" customFormat="1" ht="15.75" hidden="1" customHeight="1">
      <c r="A243" s="130"/>
      <c r="B243" s="213"/>
      <c r="C243" s="229"/>
      <c r="D243" s="229"/>
      <c r="E243" s="230"/>
      <c r="F243" s="209"/>
      <c r="G243" s="227"/>
      <c r="H243" s="227"/>
      <c r="I243" s="227"/>
      <c r="J243" s="227"/>
      <c r="K243" s="227"/>
      <c r="L243" s="227"/>
      <c r="M243" s="227"/>
      <c r="N243" s="227"/>
      <c r="O243" s="227"/>
      <c r="P243" s="227"/>
      <c r="Q243" s="227"/>
      <c r="R243" s="227"/>
      <c r="S243" s="227"/>
      <c r="T243" s="227"/>
      <c r="U243" s="227"/>
      <c r="V243" s="227"/>
      <c r="W243" s="227"/>
      <c r="X243" s="210"/>
      <c r="Y243" s="210"/>
      <c r="Z243" s="210"/>
      <c r="AA243" s="210"/>
      <c r="AB243" s="210"/>
      <c r="AC243" s="210"/>
      <c r="AD243" s="210"/>
      <c r="AE243" s="210"/>
      <c r="AF243" s="210"/>
      <c r="AG243" s="210"/>
      <c r="AH243" s="210"/>
      <c r="AI243" s="210"/>
      <c r="AJ243" s="210"/>
      <c r="AK243" s="210"/>
    </row>
    <row r="244" spans="1:37" s="211" customFormat="1" ht="15.75" hidden="1" customHeight="1">
      <c r="A244" s="130"/>
      <c r="B244" s="213"/>
      <c r="C244" s="229"/>
      <c r="D244" s="229"/>
      <c r="E244" s="230"/>
      <c r="F244" s="209"/>
      <c r="G244" s="227"/>
      <c r="H244" s="227"/>
      <c r="I244" s="227"/>
      <c r="J244" s="227"/>
      <c r="K244" s="227"/>
      <c r="L244" s="227"/>
      <c r="M244" s="227"/>
      <c r="N244" s="227"/>
      <c r="O244" s="227"/>
      <c r="P244" s="227"/>
      <c r="Q244" s="227"/>
      <c r="R244" s="227"/>
      <c r="S244" s="227"/>
      <c r="T244" s="227"/>
      <c r="U244" s="227"/>
      <c r="V244" s="227"/>
      <c r="W244" s="227"/>
      <c r="X244" s="210"/>
      <c r="Y244" s="210"/>
      <c r="Z244" s="210"/>
      <c r="AA244" s="210"/>
      <c r="AB244" s="210"/>
      <c r="AC244" s="210"/>
      <c r="AD244" s="210"/>
      <c r="AE244" s="210"/>
      <c r="AF244" s="210"/>
      <c r="AG244" s="210"/>
      <c r="AH244" s="210"/>
      <c r="AI244" s="210"/>
      <c r="AJ244" s="210"/>
      <c r="AK244" s="210"/>
    </row>
    <row r="245" spans="1:37" s="211" customFormat="1" ht="15.75" hidden="1" customHeight="1">
      <c r="A245" s="130"/>
      <c r="B245" s="213"/>
      <c r="C245" s="229"/>
      <c r="D245" s="229"/>
      <c r="E245" s="230"/>
      <c r="F245" s="209"/>
      <c r="G245" s="227"/>
      <c r="H245" s="227"/>
      <c r="I245" s="227"/>
      <c r="J245" s="227"/>
      <c r="K245" s="227"/>
      <c r="L245" s="227"/>
      <c r="M245" s="227"/>
      <c r="N245" s="227"/>
      <c r="O245" s="227"/>
      <c r="P245" s="227"/>
      <c r="Q245" s="227"/>
      <c r="R245" s="227"/>
      <c r="S245" s="227"/>
      <c r="T245" s="227"/>
      <c r="U245" s="227"/>
      <c r="V245" s="227"/>
      <c r="W245" s="227"/>
      <c r="X245" s="210"/>
      <c r="Y245" s="210"/>
      <c r="Z245" s="210"/>
      <c r="AA245" s="210"/>
      <c r="AB245" s="210"/>
      <c r="AC245" s="210"/>
      <c r="AD245" s="210"/>
      <c r="AE245" s="210"/>
      <c r="AF245" s="210"/>
      <c r="AG245" s="210"/>
      <c r="AH245" s="210"/>
      <c r="AI245" s="210"/>
      <c r="AJ245" s="210"/>
      <c r="AK245" s="210"/>
    </row>
    <row r="246" spans="1:37" s="211" customFormat="1" ht="15.75" hidden="1" customHeight="1">
      <c r="A246" s="130"/>
      <c r="B246" s="213"/>
      <c r="C246" s="229"/>
      <c r="D246" s="229"/>
      <c r="E246" s="230"/>
      <c r="F246" s="209"/>
      <c r="G246" s="227"/>
      <c r="H246" s="227"/>
      <c r="I246" s="227"/>
      <c r="J246" s="227"/>
      <c r="K246" s="227"/>
      <c r="L246" s="227"/>
      <c r="M246" s="227"/>
      <c r="N246" s="227"/>
      <c r="O246" s="227"/>
      <c r="P246" s="227"/>
      <c r="Q246" s="227"/>
      <c r="R246" s="227"/>
      <c r="S246" s="227"/>
      <c r="T246" s="227"/>
      <c r="U246" s="227"/>
      <c r="V246" s="227"/>
      <c r="W246" s="227"/>
      <c r="X246" s="210"/>
      <c r="Y246" s="210"/>
      <c r="Z246" s="210"/>
      <c r="AA246" s="210"/>
      <c r="AB246" s="210"/>
      <c r="AC246" s="210"/>
      <c r="AD246" s="210"/>
      <c r="AE246" s="210"/>
      <c r="AF246" s="210"/>
      <c r="AG246" s="210"/>
      <c r="AH246" s="210"/>
      <c r="AI246" s="210"/>
      <c r="AJ246" s="210"/>
      <c r="AK246" s="210"/>
    </row>
    <row r="247" spans="1:37" s="211" customFormat="1" ht="15.75" hidden="1" customHeight="1">
      <c r="A247" s="130"/>
      <c r="B247" s="213"/>
      <c r="C247" s="229"/>
      <c r="D247" s="229"/>
      <c r="E247" s="230"/>
      <c r="F247" s="209"/>
      <c r="G247" s="227"/>
      <c r="H247" s="227"/>
      <c r="I247" s="227"/>
      <c r="J247" s="227"/>
      <c r="K247" s="227"/>
      <c r="L247" s="227"/>
      <c r="M247" s="227"/>
      <c r="N247" s="227"/>
      <c r="O247" s="227"/>
      <c r="P247" s="227"/>
      <c r="Q247" s="227"/>
      <c r="R247" s="227"/>
      <c r="S247" s="227"/>
      <c r="T247" s="227"/>
      <c r="U247" s="227"/>
      <c r="V247" s="227"/>
      <c r="W247" s="227"/>
      <c r="X247" s="210"/>
      <c r="Y247" s="210"/>
      <c r="Z247" s="210"/>
      <c r="AA247" s="210"/>
      <c r="AB247" s="210"/>
      <c r="AC247" s="210"/>
      <c r="AD247" s="210"/>
      <c r="AE247" s="210"/>
      <c r="AF247" s="210"/>
      <c r="AG247" s="210"/>
      <c r="AH247" s="210"/>
      <c r="AI247" s="210"/>
      <c r="AJ247" s="210"/>
      <c r="AK247" s="210"/>
    </row>
    <row r="248" spans="1:37" s="211" customFormat="1" ht="15.75" hidden="1" customHeight="1">
      <c r="A248" s="130"/>
      <c r="B248" s="213"/>
      <c r="C248" s="229"/>
      <c r="D248" s="229"/>
      <c r="E248" s="230"/>
      <c r="F248" s="209" t="e">
        <f>COUNTIF(#REF!,"=N")</f>
        <v>#REF!</v>
      </c>
      <c r="G248" s="227"/>
      <c r="H248" s="227"/>
      <c r="I248" s="227"/>
      <c r="J248" s="227"/>
      <c r="K248" s="227"/>
      <c r="L248" s="227"/>
      <c r="M248" s="227"/>
      <c r="N248" s="227"/>
      <c r="O248" s="227"/>
      <c r="P248" s="227"/>
      <c r="Q248" s="227"/>
      <c r="R248" s="227"/>
      <c r="S248" s="227"/>
      <c r="T248" s="227"/>
      <c r="U248" s="227"/>
      <c r="V248" s="227"/>
      <c r="W248" s="227"/>
      <c r="X248" s="210"/>
      <c r="Y248" s="210"/>
      <c r="Z248" s="210"/>
      <c r="AA248" s="210"/>
      <c r="AB248" s="210"/>
      <c r="AC248" s="210"/>
      <c r="AD248" s="210"/>
      <c r="AE248" s="210"/>
      <c r="AF248" s="210"/>
      <c r="AG248" s="210"/>
      <c r="AH248" s="210"/>
      <c r="AI248" s="210"/>
      <c r="AJ248" s="210"/>
      <c r="AK248" s="210"/>
    </row>
    <row r="249" spans="1:37" s="211" customFormat="1" ht="15.75" hidden="1" customHeight="1">
      <c r="A249" s="130"/>
      <c r="B249" s="213"/>
      <c r="C249" s="229"/>
      <c r="D249" s="229"/>
      <c r="E249" s="230"/>
      <c r="F249" s="209"/>
      <c r="G249" s="227"/>
      <c r="H249" s="227"/>
      <c r="I249" s="227"/>
      <c r="J249" s="227"/>
      <c r="K249" s="227"/>
      <c r="L249" s="227"/>
      <c r="M249" s="227"/>
      <c r="N249" s="227"/>
      <c r="O249" s="227"/>
      <c r="P249" s="227"/>
      <c r="Q249" s="227"/>
      <c r="R249" s="227"/>
      <c r="S249" s="227"/>
      <c r="T249" s="227"/>
      <c r="U249" s="227"/>
      <c r="V249" s="227"/>
      <c r="W249" s="227"/>
      <c r="X249" s="210"/>
      <c r="Y249" s="210"/>
      <c r="Z249" s="210"/>
      <c r="AA249" s="210"/>
      <c r="AB249" s="210"/>
      <c r="AC249" s="210"/>
      <c r="AD249" s="210"/>
      <c r="AE249" s="210"/>
      <c r="AF249" s="210"/>
      <c r="AG249" s="210"/>
      <c r="AH249" s="210"/>
      <c r="AI249" s="210"/>
      <c r="AJ249" s="210"/>
      <c r="AK249" s="210"/>
    </row>
    <row r="250" spans="1:37" s="211" customFormat="1" ht="15.75" hidden="1" customHeight="1">
      <c r="A250" s="130"/>
      <c r="B250" s="213"/>
      <c r="C250" s="229"/>
      <c r="D250" s="229"/>
      <c r="E250" s="230"/>
      <c r="F250" s="209"/>
      <c r="G250" s="227"/>
      <c r="H250" s="227"/>
      <c r="I250" s="227"/>
      <c r="J250" s="227"/>
      <c r="K250" s="227"/>
      <c r="L250" s="227"/>
      <c r="M250" s="227"/>
      <c r="N250" s="227"/>
      <c r="O250" s="227"/>
      <c r="P250" s="227"/>
      <c r="Q250" s="227"/>
      <c r="R250" s="227"/>
      <c r="S250" s="227"/>
      <c r="T250" s="227"/>
      <c r="U250" s="227"/>
      <c r="V250" s="227"/>
      <c r="W250" s="227"/>
      <c r="X250" s="210"/>
      <c r="Y250" s="210"/>
      <c r="Z250" s="210"/>
      <c r="AA250" s="210"/>
      <c r="AB250" s="210"/>
      <c r="AC250" s="210"/>
      <c r="AD250" s="210"/>
      <c r="AE250" s="210"/>
      <c r="AF250" s="210"/>
      <c r="AG250" s="210"/>
      <c r="AH250" s="210"/>
      <c r="AI250" s="210"/>
      <c r="AJ250" s="210"/>
      <c r="AK250" s="210"/>
    </row>
    <row r="251" spans="1:37" s="211" customFormat="1" ht="15.75" hidden="1" customHeight="1">
      <c r="A251" s="130"/>
      <c r="B251" s="213"/>
      <c r="C251" s="229"/>
      <c r="D251" s="229"/>
      <c r="E251" s="230"/>
      <c r="F251" s="209"/>
      <c r="G251" s="227"/>
      <c r="H251" s="227"/>
      <c r="I251" s="227"/>
      <c r="J251" s="227"/>
      <c r="K251" s="227"/>
      <c r="L251" s="227"/>
      <c r="M251" s="227"/>
      <c r="N251" s="227"/>
      <c r="O251" s="227"/>
      <c r="P251" s="227"/>
      <c r="Q251" s="227"/>
      <c r="R251" s="227"/>
      <c r="S251" s="227"/>
      <c r="T251" s="227"/>
      <c r="U251" s="227"/>
      <c r="V251" s="227"/>
      <c r="W251" s="227"/>
      <c r="X251" s="210"/>
      <c r="Y251" s="210"/>
      <c r="Z251" s="210"/>
      <c r="AA251" s="210"/>
      <c r="AB251" s="210"/>
      <c r="AC251" s="210"/>
      <c r="AD251" s="210"/>
      <c r="AE251" s="210"/>
      <c r="AF251" s="210"/>
      <c r="AG251" s="210"/>
      <c r="AH251" s="210"/>
      <c r="AI251" s="210"/>
      <c r="AJ251" s="210"/>
      <c r="AK251" s="210"/>
    </row>
    <row r="252" spans="1:37" s="211" customFormat="1" ht="15.75" hidden="1" customHeight="1">
      <c r="A252" s="130"/>
      <c r="B252" s="213"/>
      <c r="C252" s="229"/>
      <c r="D252" s="229"/>
      <c r="E252" s="230"/>
      <c r="F252" s="209" t="e">
        <f>COUNTIF(#REF!,"=N")</f>
        <v>#REF!</v>
      </c>
      <c r="G252" s="227"/>
      <c r="H252" s="227"/>
      <c r="I252" s="227"/>
      <c r="J252" s="227"/>
      <c r="K252" s="227"/>
      <c r="L252" s="227"/>
      <c r="M252" s="227"/>
      <c r="N252" s="227"/>
      <c r="O252" s="227"/>
      <c r="P252" s="227"/>
      <c r="Q252" s="227"/>
      <c r="R252" s="227"/>
      <c r="S252" s="227"/>
      <c r="T252" s="227"/>
      <c r="U252" s="227"/>
      <c r="V252" s="227"/>
      <c r="W252" s="227"/>
      <c r="X252" s="210"/>
      <c r="Y252" s="210"/>
      <c r="Z252" s="210"/>
      <c r="AA252" s="210"/>
      <c r="AB252" s="210"/>
      <c r="AC252" s="210"/>
      <c r="AD252" s="210"/>
      <c r="AE252" s="210"/>
      <c r="AF252" s="210"/>
      <c r="AG252" s="210"/>
      <c r="AH252" s="210"/>
      <c r="AI252" s="210"/>
      <c r="AJ252" s="210"/>
      <c r="AK252" s="210"/>
    </row>
    <row r="253" spans="1:37" s="211" customFormat="1" ht="15.75" hidden="1" customHeight="1">
      <c r="A253" s="130"/>
      <c r="B253" s="213"/>
      <c r="C253" s="229"/>
      <c r="D253" s="229"/>
      <c r="E253" s="230"/>
      <c r="F253" s="209"/>
      <c r="G253" s="227"/>
      <c r="H253" s="227"/>
      <c r="I253" s="227"/>
      <c r="J253" s="227"/>
      <c r="K253" s="227"/>
      <c r="L253" s="227"/>
      <c r="M253" s="227"/>
      <c r="N253" s="227"/>
      <c r="O253" s="227"/>
      <c r="P253" s="227"/>
      <c r="Q253" s="227"/>
      <c r="R253" s="227"/>
      <c r="S253" s="227"/>
      <c r="T253" s="227"/>
      <c r="U253" s="227"/>
      <c r="V253" s="227"/>
      <c r="W253" s="227"/>
      <c r="X253" s="210"/>
      <c r="Y253" s="210"/>
      <c r="Z253" s="210"/>
      <c r="AA253" s="210"/>
      <c r="AB253" s="210"/>
      <c r="AC253" s="210"/>
      <c r="AD253" s="210"/>
      <c r="AE253" s="210"/>
      <c r="AF253" s="210"/>
      <c r="AG253" s="210"/>
      <c r="AH253" s="210"/>
      <c r="AI253" s="210"/>
      <c r="AJ253" s="210"/>
      <c r="AK253" s="210"/>
    </row>
    <row r="254" spans="1:37" s="211" customFormat="1" ht="15.75" hidden="1" customHeight="1">
      <c r="A254" s="130"/>
      <c r="B254" s="213"/>
      <c r="C254" s="229"/>
      <c r="D254" s="229"/>
      <c r="E254" s="230"/>
      <c r="F254" s="209"/>
      <c r="G254" s="227"/>
      <c r="H254" s="227"/>
      <c r="I254" s="227"/>
      <c r="J254" s="227"/>
      <c r="K254" s="227"/>
      <c r="L254" s="227"/>
      <c r="M254" s="227"/>
      <c r="N254" s="227"/>
      <c r="O254" s="227"/>
      <c r="P254" s="227"/>
      <c r="Q254" s="227"/>
      <c r="R254" s="227"/>
      <c r="S254" s="227"/>
      <c r="T254" s="227"/>
      <c r="U254" s="227"/>
      <c r="V254" s="227"/>
      <c r="W254" s="227"/>
      <c r="X254" s="210"/>
      <c r="Y254" s="210"/>
      <c r="Z254" s="210"/>
      <c r="AA254" s="210"/>
      <c r="AB254" s="210"/>
      <c r="AC254" s="210"/>
      <c r="AD254" s="210"/>
      <c r="AE254" s="210"/>
      <c r="AF254" s="210"/>
      <c r="AG254" s="210"/>
      <c r="AH254" s="210"/>
      <c r="AI254" s="210"/>
      <c r="AJ254" s="210"/>
      <c r="AK254" s="210"/>
    </row>
    <row r="255" spans="1:37" s="211" customFormat="1" ht="15.75" hidden="1" customHeight="1">
      <c r="A255" s="130"/>
      <c r="B255" s="213"/>
      <c r="C255" s="229"/>
      <c r="D255" s="229"/>
      <c r="E255" s="230"/>
      <c r="F255" s="209"/>
      <c r="G255" s="227"/>
      <c r="H255" s="227"/>
      <c r="I255" s="227"/>
      <c r="J255" s="227"/>
      <c r="K255" s="227"/>
      <c r="L255" s="227"/>
      <c r="M255" s="227"/>
      <c r="N255" s="227"/>
      <c r="O255" s="227"/>
      <c r="P255" s="227"/>
      <c r="Q255" s="227"/>
      <c r="R255" s="227"/>
      <c r="S255" s="227"/>
      <c r="T255" s="227"/>
      <c r="U255" s="227"/>
      <c r="V255" s="227"/>
      <c r="W255" s="227"/>
      <c r="X255" s="210"/>
      <c r="Y255" s="210"/>
      <c r="Z255" s="210"/>
      <c r="AA255" s="210"/>
      <c r="AB255" s="210"/>
      <c r="AC255" s="210"/>
      <c r="AD255" s="210"/>
      <c r="AE255" s="210"/>
      <c r="AF255" s="210"/>
      <c r="AG255" s="210"/>
      <c r="AH255" s="210"/>
      <c r="AI255" s="210"/>
      <c r="AJ255" s="210"/>
      <c r="AK255" s="210"/>
    </row>
    <row r="256" spans="1:37" s="211" customFormat="1" ht="15.75" hidden="1" customHeight="1">
      <c r="A256" s="130"/>
      <c r="B256" s="213"/>
      <c r="C256" s="229"/>
      <c r="D256" s="229"/>
      <c r="E256" s="230"/>
      <c r="F256" s="209" t="e">
        <f>COUNTIF(#REF!,"=N")</f>
        <v>#REF!</v>
      </c>
      <c r="G256" s="227"/>
      <c r="H256" s="227"/>
      <c r="I256" s="227"/>
      <c r="J256" s="227"/>
      <c r="K256" s="227"/>
      <c r="L256" s="227"/>
      <c r="M256" s="227"/>
      <c r="N256" s="227"/>
      <c r="O256" s="227"/>
      <c r="P256" s="227"/>
      <c r="Q256" s="227"/>
      <c r="R256" s="227"/>
      <c r="S256" s="227"/>
      <c r="T256" s="227"/>
      <c r="U256" s="227"/>
      <c r="V256" s="227"/>
      <c r="W256" s="227"/>
      <c r="X256" s="210"/>
      <c r="Y256" s="210"/>
      <c r="Z256" s="210"/>
      <c r="AA256" s="210"/>
      <c r="AB256" s="210"/>
      <c r="AC256" s="210"/>
      <c r="AD256" s="210"/>
      <c r="AE256" s="210"/>
      <c r="AF256" s="210"/>
      <c r="AG256" s="210"/>
      <c r="AH256" s="210"/>
      <c r="AI256" s="210"/>
      <c r="AJ256" s="210"/>
      <c r="AK256" s="210"/>
    </row>
    <row r="257" spans="1:37" s="211" customFormat="1" ht="15.75" hidden="1" customHeight="1">
      <c r="A257" s="130"/>
      <c r="B257" s="213"/>
      <c r="C257" s="229"/>
      <c r="D257" s="229"/>
      <c r="E257" s="230"/>
      <c r="F257" s="209"/>
      <c r="G257" s="227"/>
      <c r="H257" s="227"/>
      <c r="I257" s="227"/>
      <c r="J257" s="227"/>
      <c r="K257" s="227"/>
      <c r="L257" s="227"/>
      <c r="M257" s="227"/>
      <c r="N257" s="227"/>
      <c r="O257" s="227"/>
      <c r="P257" s="227"/>
      <c r="Q257" s="227"/>
      <c r="R257" s="227"/>
      <c r="S257" s="227"/>
      <c r="T257" s="227"/>
      <c r="U257" s="227"/>
      <c r="V257" s="227"/>
      <c r="W257" s="227"/>
      <c r="X257" s="210"/>
      <c r="Y257" s="210"/>
      <c r="Z257" s="210"/>
      <c r="AA257" s="210"/>
      <c r="AB257" s="210"/>
      <c r="AC257" s="210"/>
      <c r="AD257" s="210"/>
      <c r="AE257" s="210"/>
      <c r="AF257" s="210"/>
      <c r="AG257" s="210"/>
      <c r="AH257" s="210"/>
      <c r="AI257" s="210"/>
      <c r="AJ257" s="210"/>
      <c r="AK257" s="210"/>
    </row>
    <row r="258" spans="1:37" s="211" customFormat="1" ht="15.75" hidden="1" customHeight="1">
      <c r="A258" s="130"/>
      <c r="B258" s="213"/>
      <c r="C258" s="229"/>
      <c r="D258" s="229"/>
      <c r="E258" s="230"/>
      <c r="F258" s="209"/>
      <c r="G258" s="227"/>
      <c r="H258" s="227"/>
      <c r="I258" s="227"/>
      <c r="J258" s="227"/>
      <c r="K258" s="227"/>
      <c r="L258" s="227"/>
      <c r="M258" s="227"/>
      <c r="N258" s="227"/>
      <c r="O258" s="227"/>
      <c r="P258" s="227"/>
      <c r="Q258" s="227"/>
      <c r="R258" s="227"/>
      <c r="S258" s="227"/>
      <c r="T258" s="227"/>
      <c r="U258" s="227"/>
      <c r="V258" s="227"/>
      <c r="W258" s="227"/>
      <c r="X258" s="210"/>
      <c r="Y258" s="210"/>
      <c r="Z258" s="210"/>
      <c r="AA258" s="210"/>
      <c r="AB258" s="210"/>
      <c r="AC258" s="210"/>
      <c r="AD258" s="210"/>
      <c r="AE258" s="210"/>
      <c r="AF258" s="210"/>
      <c r="AG258" s="210"/>
      <c r="AH258" s="210"/>
      <c r="AI258" s="210"/>
      <c r="AJ258" s="210"/>
      <c r="AK258" s="210"/>
    </row>
    <row r="259" spans="1:37" s="211" customFormat="1" ht="15.75" hidden="1" customHeight="1">
      <c r="A259" s="130"/>
      <c r="B259" s="213"/>
      <c r="C259" s="229"/>
      <c r="D259" s="229"/>
      <c r="E259" s="230"/>
      <c r="F259" s="209"/>
      <c r="G259" s="227"/>
      <c r="H259" s="227"/>
      <c r="I259" s="227"/>
      <c r="J259" s="227"/>
      <c r="K259" s="227"/>
      <c r="L259" s="227"/>
      <c r="M259" s="227"/>
      <c r="N259" s="227"/>
      <c r="O259" s="227"/>
      <c r="P259" s="227"/>
      <c r="Q259" s="227"/>
      <c r="R259" s="227"/>
      <c r="S259" s="227"/>
      <c r="T259" s="227"/>
      <c r="U259" s="227"/>
      <c r="V259" s="227"/>
      <c r="W259" s="227"/>
      <c r="X259" s="210"/>
      <c r="Y259" s="210"/>
      <c r="Z259" s="210"/>
      <c r="AA259" s="210"/>
      <c r="AB259" s="210"/>
      <c r="AC259" s="210"/>
      <c r="AD259" s="210"/>
      <c r="AE259" s="210"/>
      <c r="AF259" s="210"/>
      <c r="AG259" s="210"/>
      <c r="AH259" s="210"/>
      <c r="AI259" s="210"/>
      <c r="AJ259" s="210"/>
      <c r="AK259" s="210"/>
    </row>
    <row r="260" spans="1:37" s="211" customFormat="1" ht="15.75" hidden="1" customHeight="1">
      <c r="A260" s="130"/>
      <c r="B260" s="213"/>
      <c r="C260" s="229"/>
      <c r="D260" s="229"/>
      <c r="E260" s="230"/>
      <c r="F260" s="209"/>
      <c r="G260" s="227"/>
      <c r="H260" s="227"/>
      <c r="I260" s="227"/>
      <c r="J260" s="227"/>
      <c r="K260" s="227"/>
      <c r="L260" s="227"/>
      <c r="M260" s="227"/>
      <c r="N260" s="227"/>
      <c r="O260" s="227"/>
      <c r="P260" s="227"/>
      <c r="Q260" s="227"/>
      <c r="R260" s="227"/>
      <c r="S260" s="227"/>
      <c r="T260" s="227"/>
      <c r="U260" s="227"/>
      <c r="V260" s="227"/>
      <c r="W260" s="227"/>
      <c r="X260" s="210"/>
      <c r="Y260" s="210"/>
      <c r="Z260" s="210"/>
      <c r="AA260" s="210"/>
      <c r="AB260" s="210"/>
      <c r="AC260" s="210"/>
      <c r="AD260" s="210"/>
      <c r="AE260" s="210"/>
      <c r="AF260" s="210"/>
      <c r="AG260" s="210"/>
      <c r="AH260" s="210"/>
      <c r="AI260" s="210"/>
      <c r="AJ260" s="210"/>
      <c r="AK260" s="210"/>
    </row>
    <row r="261" spans="1:37" s="211" customFormat="1" ht="15.75" hidden="1" customHeight="1">
      <c r="A261" s="130"/>
      <c r="B261" s="213"/>
      <c r="C261" s="229"/>
      <c r="D261" s="229"/>
      <c r="E261" s="230"/>
      <c r="F261" s="209" t="e">
        <f>COUNTIF(#REF!,"=N")</f>
        <v>#REF!</v>
      </c>
      <c r="G261" s="227"/>
      <c r="H261" s="227"/>
      <c r="I261" s="227"/>
      <c r="J261" s="227"/>
      <c r="K261" s="227"/>
      <c r="L261" s="227"/>
      <c r="M261" s="227"/>
      <c r="N261" s="227"/>
      <c r="O261" s="227"/>
      <c r="P261" s="227"/>
      <c r="Q261" s="227"/>
      <c r="R261" s="227"/>
      <c r="S261" s="227"/>
      <c r="T261" s="227"/>
      <c r="U261" s="227"/>
      <c r="V261" s="227"/>
      <c r="W261" s="227"/>
      <c r="X261" s="210"/>
      <c r="Y261" s="210"/>
      <c r="Z261" s="210"/>
      <c r="AA261" s="210"/>
      <c r="AB261" s="210"/>
      <c r="AC261" s="210"/>
      <c r="AD261" s="210"/>
      <c r="AE261" s="210"/>
      <c r="AF261" s="210"/>
      <c r="AG261" s="210"/>
      <c r="AH261" s="210"/>
      <c r="AI261" s="210"/>
      <c r="AJ261" s="210"/>
      <c r="AK261" s="210"/>
    </row>
    <row r="262" spans="1:37" s="211" customFormat="1" ht="15.75" hidden="1" customHeight="1">
      <c r="A262" s="130"/>
      <c r="B262" s="213"/>
      <c r="C262" s="229"/>
      <c r="D262" s="229"/>
      <c r="E262" s="230"/>
      <c r="F262" s="209"/>
      <c r="G262" s="227"/>
      <c r="H262" s="227"/>
      <c r="I262" s="227"/>
      <c r="J262" s="227"/>
      <c r="K262" s="227"/>
      <c r="L262" s="227"/>
      <c r="M262" s="227"/>
      <c r="N262" s="227"/>
      <c r="O262" s="227"/>
      <c r="P262" s="227"/>
      <c r="Q262" s="227"/>
      <c r="R262" s="227"/>
      <c r="S262" s="227"/>
      <c r="T262" s="227"/>
      <c r="U262" s="227"/>
      <c r="V262" s="227"/>
      <c r="W262" s="227"/>
      <c r="X262" s="210"/>
      <c r="Y262" s="210"/>
      <c r="Z262" s="210"/>
      <c r="AA262" s="210"/>
      <c r="AB262" s="210"/>
      <c r="AC262" s="210"/>
      <c r="AD262" s="210"/>
      <c r="AE262" s="210"/>
      <c r="AF262" s="210"/>
      <c r="AG262" s="210"/>
      <c r="AH262" s="210"/>
      <c r="AI262" s="210"/>
      <c r="AJ262" s="210"/>
      <c r="AK262" s="210"/>
    </row>
    <row r="263" spans="1:37" s="211" customFormat="1" ht="15.75" hidden="1" customHeight="1">
      <c r="A263" s="130"/>
      <c r="B263" s="213"/>
      <c r="C263" s="229"/>
      <c r="D263" s="229"/>
      <c r="E263" s="230"/>
      <c r="F263" s="209"/>
      <c r="G263" s="227"/>
      <c r="H263" s="227"/>
      <c r="I263" s="227"/>
      <c r="J263" s="227"/>
      <c r="K263" s="227"/>
      <c r="L263" s="227"/>
      <c r="M263" s="227"/>
      <c r="N263" s="227"/>
      <c r="O263" s="227"/>
      <c r="P263" s="227"/>
      <c r="Q263" s="227"/>
      <c r="R263" s="227"/>
      <c r="S263" s="227"/>
      <c r="T263" s="227"/>
      <c r="U263" s="227"/>
      <c r="V263" s="227"/>
      <c r="W263" s="227"/>
      <c r="X263" s="210"/>
      <c r="Y263" s="210"/>
      <c r="Z263" s="210"/>
      <c r="AA263" s="210"/>
      <c r="AB263" s="210"/>
      <c r="AC263" s="210"/>
      <c r="AD263" s="210"/>
      <c r="AE263" s="210"/>
      <c r="AF263" s="210"/>
      <c r="AG263" s="210"/>
      <c r="AH263" s="210"/>
      <c r="AI263" s="210"/>
      <c r="AJ263" s="210"/>
      <c r="AK263" s="210"/>
    </row>
    <row r="264" spans="1:37" s="211" customFormat="1" ht="15.75" hidden="1" customHeight="1">
      <c r="A264" s="130"/>
      <c r="B264" s="213"/>
      <c r="C264" s="229"/>
      <c r="D264" s="229"/>
      <c r="E264" s="230"/>
      <c r="F264" s="209"/>
      <c r="G264" s="227"/>
      <c r="H264" s="227"/>
      <c r="I264" s="227"/>
      <c r="J264" s="227"/>
      <c r="K264" s="227"/>
      <c r="L264" s="227"/>
      <c r="M264" s="227"/>
      <c r="N264" s="227"/>
      <c r="O264" s="227"/>
      <c r="P264" s="227"/>
      <c r="Q264" s="227"/>
      <c r="R264" s="227"/>
      <c r="S264" s="227"/>
      <c r="T264" s="227"/>
      <c r="U264" s="227"/>
      <c r="V264" s="227"/>
      <c r="W264" s="227"/>
      <c r="X264" s="210"/>
      <c r="Y264" s="210"/>
      <c r="Z264" s="210"/>
      <c r="AA264" s="210"/>
      <c r="AB264" s="210"/>
      <c r="AC264" s="210"/>
      <c r="AD264" s="210"/>
      <c r="AE264" s="210"/>
      <c r="AF264" s="210"/>
      <c r="AG264" s="210"/>
      <c r="AH264" s="210"/>
      <c r="AI264" s="210"/>
      <c r="AJ264" s="210"/>
      <c r="AK264" s="210"/>
    </row>
    <row r="265" spans="1:37" s="211" customFormat="1" ht="15.75" hidden="1" customHeight="1">
      <c r="A265" s="130"/>
      <c r="B265" s="213"/>
      <c r="C265" s="229"/>
      <c r="D265" s="229"/>
      <c r="E265" s="230"/>
      <c r="F265" s="209" t="e">
        <f>COUNTIF(#REF!,"=N")</f>
        <v>#REF!</v>
      </c>
      <c r="G265" s="227"/>
      <c r="H265" s="227"/>
      <c r="I265" s="227"/>
      <c r="J265" s="227"/>
      <c r="K265" s="227"/>
      <c r="L265" s="227"/>
      <c r="M265" s="227"/>
      <c r="N265" s="227"/>
      <c r="O265" s="227"/>
      <c r="P265" s="227"/>
      <c r="Q265" s="227"/>
      <c r="R265" s="227"/>
      <c r="S265" s="227"/>
      <c r="T265" s="227"/>
      <c r="U265" s="227"/>
      <c r="V265" s="227"/>
      <c r="W265" s="227"/>
      <c r="X265" s="210"/>
      <c r="Y265" s="210"/>
      <c r="Z265" s="210"/>
      <c r="AA265" s="210"/>
      <c r="AB265" s="210"/>
      <c r="AC265" s="210"/>
      <c r="AD265" s="210"/>
      <c r="AE265" s="210"/>
      <c r="AF265" s="210"/>
      <c r="AG265" s="210"/>
      <c r="AH265" s="210"/>
      <c r="AI265" s="210"/>
      <c r="AJ265" s="210"/>
      <c r="AK265" s="210"/>
    </row>
    <row r="266" spans="1:37" s="211" customFormat="1" ht="15.75" hidden="1" customHeight="1">
      <c r="A266" s="130"/>
      <c r="B266" s="213"/>
      <c r="C266" s="229"/>
      <c r="D266" s="229"/>
      <c r="E266" s="230"/>
      <c r="F266" s="209"/>
      <c r="G266" s="227"/>
      <c r="H266" s="227"/>
      <c r="I266" s="227"/>
      <c r="J266" s="227"/>
      <c r="K266" s="227"/>
      <c r="L266" s="227"/>
      <c r="M266" s="227"/>
      <c r="N266" s="227"/>
      <c r="O266" s="227"/>
      <c r="P266" s="227"/>
      <c r="Q266" s="227"/>
      <c r="R266" s="227"/>
      <c r="S266" s="227"/>
      <c r="T266" s="227"/>
      <c r="U266" s="227"/>
      <c r="V266" s="227"/>
      <c r="W266" s="227"/>
      <c r="X266" s="210"/>
      <c r="Y266" s="210"/>
      <c r="Z266" s="210"/>
      <c r="AA266" s="210"/>
      <c r="AB266" s="210"/>
      <c r="AC266" s="210"/>
      <c r="AD266" s="210"/>
      <c r="AE266" s="210"/>
      <c r="AF266" s="210"/>
      <c r="AG266" s="210"/>
      <c r="AH266" s="210"/>
      <c r="AI266" s="210"/>
      <c r="AJ266" s="210"/>
      <c r="AK266" s="210"/>
    </row>
    <row r="267" spans="1:37" s="211" customFormat="1" ht="15.75" hidden="1" customHeight="1">
      <c r="A267" s="130"/>
      <c r="B267" s="213"/>
      <c r="C267" s="229"/>
      <c r="D267" s="229"/>
      <c r="E267" s="230"/>
      <c r="F267" s="209"/>
      <c r="G267" s="227"/>
      <c r="H267" s="227"/>
      <c r="I267" s="227"/>
      <c r="J267" s="227"/>
      <c r="K267" s="227"/>
      <c r="L267" s="227"/>
      <c r="M267" s="227"/>
      <c r="N267" s="227"/>
      <c r="O267" s="227"/>
      <c r="P267" s="227"/>
      <c r="Q267" s="227"/>
      <c r="R267" s="227"/>
      <c r="S267" s="227"/>
      <c r="T267" s="227"/>
      <c r="U267" s="227"/>
      <c r="V267" s="227"/>
      <c r="W267" s="227"/>
      <c r="X267" s="210"/>
      <c r="Y267" s="210"/>
      <c r="Z267" s="210"/>
      <c r="AA267" s="210"/>
      <c r="AB267" s="210"/>
      <c r="AC267" s="210"/>
      <c r="AD267" s="210"/>
      <c r="AE267" s="210"/>
      <c r="AF267" s="210"/>
      <c r="AG267" s="210"/>
      <c r="AH267" s="210"/>
      <c r="AI267" s="210"/>
      <c r="AJ267" s="210"/>
      <c r="AK267" s="210"/>
    </row>
    <row r="268" spans="1:37" s="211" customFormat="1" ht="15.75" hidden="1" customHeight="1">
      <c r="A268" s="130"/>
      <c r="B268" s="213"/>
      <c r="C268" s="229"/>
      <c r="D268" s="229"/>
      <c r="E268" s="230"/>
      <c r="F268" s="209"/>
      <c r="G268" s="227"/>
      <c r="H268" s="227"/>
      <c r="I268" s="227"/>
      <c r="J268" s="227"/>
      <c r="K268" s="227"/>
      <c r="L268" s="227"/>
      <c r="M268" s="227"/>
      <c r="N268" s="227"/>
      <c r="O268" s="227"/>
      <c r="P268" s="227"/>
      <c r="Q268" s="227"/>
      <c r="R268" s="227"/>
      <c r="S268" s="227"/>
      <c r="T268" s="227"/>
      <c r="U268" s="227"/>
      <c r="V268" s="227"/>
      <c r="W268" s="227"/>
      <c r="X268" s="210"/>
      <c r="Y268" s="210"/>
      <c r="Z268" s="210"/>
      <c r="AA268" s="210"/>
      <c r="AB268" s="210"/>
      <c r="AC268" s="210"/>
      <c r="AD268" s="210"/>
      <c r="AE268" s="210"/>
      <c r="AF268" s="210"/>
      <c r="AG268" s="210"/>
      <c r="AH268" s="210"/>
      <c r="AI268" s="210"/>
      <c r="AJ268" s="210"/>
      <c r="AK268" s="210"/>
    </row>
    <row r="269" spans="1:37" s="211" customFormat="1" ht="15.75" hidden="1" customHeight="1">
      <c r="A269" s="130"/>
      <c r="B269" s="213"/>
      <c r="C269" s="229"/>
      <c r="D269" s="229"/>
      <c r="E269" s="230"/>
      <c r="F269" s="209"/>
      <c r="G269" s="227"/>
      <c r="H269" s="227"/>
      <c r="I269" s="227"/>
      <c r="J269" s="227"/>
      <c r="K269" s="227"/>
      <c r="L269" s="227"/>
      <c r="M269" s="227"/>
      <c r="N269" s="227"/>
      <c r="O269" s="227"/>
      <c r="P269" s="227"/>
      <c r="Q269" s="227"/>
      <c r="R269" s="227"/>
      <c r="S269" s="227"/>
      <c r="T269" s="227"/>
      <c r="U269" s="227"/>
      <c r="V269" s="227"/>
      <c r="W269" s="227"/>
      <c r="X269" s="210"/>
      <c r="Y269" s="210"/>
      <c r="Z269" s="210"/>
      <c r="AA269" s="210"/>
      <c r="AB269" s="210"/>
      <c r="AC269" s="210"/>
      <c r="AD269" s="210"/>
      <c r="AE269" s="210"/>
      <c r="AF269" s="210"/>
      <c r="AG269" s="210"/>
      <c r="AH269" s="210"/>
      <c r="AI269" s="210"/>
      <c r="AJ269" s="210"/>
      <c r="AK269" s="210"/>
    </row>
    <row r="270" spans="1:37" s="211" customFormat="1" ht="15.75" hidden="1" customHeight="1">
      <c r="A270" s="130"/>
      <c r="B270" s="213"/>
      <c r="C270" s="229"/>
      <c r="D270" s="229"/>
      <c r="E270" s="230"/>
      <c r="F270" s="209" t="e">
        <f>COUNTIF(#REF!,"=N")</f>
        <v>#REF!</v>
      </c>
      <c r="G270" s="227"/>
      <c r="H270" s="227"/>
      <c r="I270" s="227"/>
      <c r="J270" s="227"/>
      <c r="K270" s="227"/>
      <c r="L270" s="227"/>
      <c r="M270" s="227"/>
      <c r="N270" s="227"/>
      <c r="O270" s="227"/>
      <c r="P270" s="227"/>
      <c r="Q270" s="227"/>
      <c r="R270" s="227"/>
      <c r="S270" s="227"/>
      <c r="T270" s="227"/>
      <c r="U270" s="227"/>
      <c r="V270" s="227"/>
      <c r="W270" s="227"/>
      <c r="X270" s="210"/>
      <c r="Y270" s="210"/>
      <c r="Z270" s="210"/>
      <c r="AA270" s="210"/>
      <c r="AB270" s="210"/>
      <c r="AC270" s="210"/>
      <c r="AD270" s="210"/>
      <c r="AE270" s="210"/>
      <c r="AF270" s="210"/>
      <c r="AG270" s="210"/>
      <c r="AH270" s="210"/>
      <c r="AI270" s="210"/>
      <c r="AJ270" s="210"/>
      <c r="AK270" s="210"/>
    </row>
    <row r="271" spans="1:37" s="211" customFormat="1" ht="15.75" hidden="1" customHeight="1">
      <c r="A271" s="130"/>
      <c r="B271" s="213"/>
      <c r="C271" s="229"/>
      <c r="D271" s="229"/>
      <c r="E271" s="230"/>
      <c r="F271" s="209"/>
      <c r="G271" s="227"/>
      <c r="H271" s="227"/>
      <c r="I271" s="227"/>
      <c r="J271" s="227"/>
      <c r="K271" s="227"/>
      <c r="L271" s="227"/>
      <c r="M271" s="227"/>
      <c r="N271" s="227"/>
      <c r="O271" s="227"/>
      <c r="P271" s="227"/>
      <c r="Q271" s="227"/>
      <c r="R271" s="227"/>
      <c r="S271" s="227"/>
      <c r="T271" s="227"/>
      <c r="U271" s="227"/>
      <c r="V271" s="227"/>
      <c r="W271" s="227"/>
      <c r="X271" s="210"/>
      <c r="Y271" s="210"/>
      <c r="Z271" s="210"/>
      <c r="AA271" s="210"/>
      <c r="AB271" s="210"/>
      <c r="AC271" s="210"/>
      <c r="AD271" s="210"/>
      <c r="AE271" s="210"/>
      <c r="AF271" s="210"/>
      <c r="AG271" s="210"/>
      <c r="AH271" s="210"/>
      <c r="AI271" s="210"/>
      <c r="AJ271" s="210"/>
      <c r="AK271" s="210"/>
    </row>
    <row r="272" spans="1:37" s="211" customFormat="1" ht="15.75" hidden="1" customHeight="1">
      <c r="A272" s="130"/>
      <c r="B272" s="213"/>
      <c r="C272" s="229"/>
      <c r="D272" s="229"/>
      <c r="E272" s="230"/>
      <c r="F272" s="209"/>
      <c r="G272" s="227"/>
      <c r="H272" s="227"/>
      <c r="I272" s="227"/>
      <c r="J272" s="227"/>
      <c r="K272" s="227"/>
      <c r="L272" s="227"/>
      <c r="M272" s="227"/>
      <c r="N272" s="227"/>
      <c r="O272" s="227"/>
      <c r="P272" s="227"/>
      <c r="Q272" s="227"/>
      <c r="R272" s="227"/>
      <c r="S272" s="227"/>
      <c r="T272" s="227"/>
      <c r="U272" s="227"/>
      <c r="V272" s="227"/>
      <c r="W272" s="227"/>
      <c r="X272" s="210"/>
      <c r="Y272" s="210"/>
      <c r="Z272" s="210"/>
      <c r="AA272" s="210"/>
      <c r="AB272" s="210"/>
      <c r="AC272" s="210"/>
      <c r="AD272" s="210"/>
      <c r="AE272" s="210"/>
      <c r="AF272" s="210"/>
      <c r="AG272" s="210"/>
      <c r="AH272" s="210"/>
      <c r="AI272" s="210"/>
      <c r="AJ272" s="210"/>
      <c r="AK272" s="210"/>
    </row>
    <row r="273" spans="1:37" s="211" customFormat="1" ht="15.75" hidden="1" customHeight="1">
      <c r="A273" s="130"/>
      <c r="B273" s="213"/>
      <c r="C273" s="229"/>
      <c r="D273" s="229"/>
      <c r="E273" s="230"/>
      <c r="F273" s="209"/>
      <c r="G273" s="227"/>
      <c r="H273" s="227"/>
      <c r="I273" s="227"/>
      <c r="J273" s="227"/>
      <c r="K273" s="227"/>
      <c r="L273" s="227"/>
      <c r="M273" s="227"/>
      <c r="N273" s="227"/>
      <c r="O273" s="227"/>
      <c r="P273" s="227"/>
      <c r="Q273" s="227"/>
      <c r="R273" s="227"/>
      <c r="S273" s="227"/>
      <c r="T273" s="227"/>
      <c r="U273" s="227"/>
      <c r="V273" s="227"/>
      <c r="W273" s="227"/>
      <c r="X273" s="210"/>
      <c r="Y273" s="210"/>
      <c r="Z273" s="210"/>
      <c r="AA273" s="210"/>
      <c r="AB273" s="210"/>
      <c r="AC273" s="210"/>
      <c r="AD273" s="210"/>
      <c r="AE273" s="210"/>
      <c r="AF273" s="210"/>
      <c r="AG273" s="210"/>
      <c r="AH273" s="210"/>
      <c r="AI273" s="210"/>
      <c r="AJ273" s="210"/>
      <c r="AK273" s="210"/>
    </row>
    <row r="274" spans="1:37" s="211" customFormat="1" ht="15.75" hidden="1" customHeight="1">
      <c r="A274" s="130"/>
      <c r="B274" s="213"/>
      <c r="C274" s="229"/>
      <c r="D274" s="229"/>
      <c r="E274" s="230"/>
      <c r="F274" s="209" t="e">
        <f>COUNTIF(#REF!,"=N")</f>
        <v>#REF!</v>
      </c>
      <c r="G274" s="227"/>
      <c r="H274" s="227"/>
      <c r="I274" s="227"/>
      <c r="J274" s="227"/>
      <c r="K274" s="227"/>
      <c r="L274" s="227"/>
      <c r="M274" s="227"/>
      <c r="N274" s="227"/>
      <c r="O274" s="227"/>
      <c r="P274" s="227"/>
      <c r="Q274" s="227"/>
      <c r="R274" s="227"/>
      <c r="S274" s="227"/>
      <c r="T274" s="227"/>
      <c r="U274" s="227"/>
      <c r="V274" s="227"/>
      <c r="W274" s="227"/>
      <c r="X274" s="210"/>
      <c r="Y274" s="210"/>
      <c r="Z274" s="210"/>
      <c r="AA274" s="210"/>
      <c r="AB274" s="210"/>
      <c r="AC274" s="210"/>
      <c r="AD274" s="210"/>
      <c r="AE274" s="210"/>
      <c r="AF274" s="210"/>
      <c r="AG274" s="210"/>
      <c r="AH274" s="210"/>
      <c r="AI274" s="210"/>
      <c r="AJ274" s="210"/>
      <c r="AK274" s="210"/>
    </row>
    <row r="275" spans="1:37" s="211" customFormat="1" ht="15.75" hidden="1" customHeight="1">
      <c r="A275" s="130"/>
      <c r="B275" s="213"/>
      <c r="C275" s="229"/>
      <c r="D275" s="229"/>
      <c r="E275" s="230"/>
      <c r="F275" s="209"/>
      <c r="G275" s="227"/>
      <c r="H275" s="227"/>
      <c r="I275" s="227"/>
      <c r="J275" s="227"/>
      <c r="K275" s="227"/>
      <c r="L275" s="227"/>
      <c r="M275" s="227"/>
      <c r="N275" s="227"/>
      <c r="O275" s="227"/>
      <c r="P275" s="227"/>
      <c r="Q275" s="227"/>
      <c r="R275" s="227"/>
      <c r="S275" s="227"/>
      <c r="T275" s="227"/>
      <c r="U275" s="227"/>
      <c r="V275" s="227"/>
      <c r="W275" s="227"/>
      <c r="X275" s="210"/>
      <c r="Y275" s="210"/>
      <c r="Z275" s="210"/>
      <c r="AA275" s="210"/>
      <c r="AB275" s="210"/>
      <c r="AC275" s="210"/>
      <c r="AD275" s="210"/>
      <c r="AE275" s="210"/>
      <c r="AF275" s="210"/>
      <c r="AG275" s="210"/>
      <c r="AH275" s="210"/>
      <c r="AI275" s="210"/>
      <c r="AJ275" s="210"/>
      <c r="AK275" s="210"/>
    </row>
    <row r="276" spans="1:37" s="211" customFormat="1" ht="15.75" hidden="1" customHeight="1">
      <c r="A276" s="130"/>
      <c r="B276" s="213"/>
      <c r="C276" s="229"/>
      <c r="D276" s="229"/>
      <c r="E276" s="230"/>
      <c r="F276" s="209"/>
      <c r="G276" s="227"/>
      <c r="H276" s="227"/>
      <c r="I276" s="227"/>
      <c r="J276" s="227"/>
      <c r="K276" s="227"/>
      <c r="L276" s="227"/>
      <c r="M276" s="227"/>
      <c r="N276" s="227"/>
      <c r="O276" s="227"/>
      <c r="P276" s="227"/>
      <c r="Q276" s="227"/>
      <c r="R276" s="227"/>
      <c r="S276" s="227"/>
      <c r="T276" s="227"/>
      <c r="U276" s="227"/>
      <c r="V276" s="227"/>
      <c r="W276" s="227"/>
      <c r="X276" s="210"/>
      <c r="Y276" s="210"/>
      <c r="Z276" s="210"/>
      <c r="AA276" s="210"/>
      <c r="AB276" s="210"/>
      <c r="AC276" s="210"/>
      <c r="AD276" s="210"/>
      <c r="AE276" s="210"/>
      <c r="AF276" s="210"/>
      <c r="AG276" s="210"/>
      <c r="AH276" s="210"/>
      <c r="AI276" s="210"/>
      <c r="AJ276" s="210"/>
      <c r="AK276" s="210"/>
    </row>
    <row r="277" spans="1:37" s="211" customFormat="1" ht="15.75" hidden="1" customHeight="1">
      <c r="A277" s="130"/>
      <c r="B277" s="213"/>
      <c r="C277" s="229"/>
      <c r="D277" s="229"/>
      <c r="E277" s="230"/>
      <c r="F277" s="209"/>
      <c r="G277" s="227"/>
      <c r="H277" s="227"/>
      <c r="I277" s="227"/>
      <c r="J277" s="227"/>
      <c r="K277" s="227"/>
      <c r="L277" s="227"/>
      <c r="M277" s="227"/>
      <c r="N277" s="227"/>
      <c r="O277" s="227"/>
      <c r="P277" s="227"/>
      <c r="Q277" s="227"/>
      <c r="R277" s="227"/>
      <c r="S277" s="227"/>
      <c r="T277" s="227"/>
      <c r="U277" s="227"/>
      <c r="V277" s="227"/>
      <c r="W277" s="227"/>
      <c r="X277" s="210"/>
      <c r="Y277" s="210"/>
      <c r="Z277" s="210"/>
      <c r="AA277" s="210"/>
      <c r="AB277" s="210"/>
      <c r="AC277" s="210"/>
      <c r="AD277" s="210"/>
      <c r="AE277" s="210"/>
      <c r="AF277" s="210"/>
      <c r="AG277" s="210"/>
      <c r="AH277" s="210"/>
      <c r="AI277" s="210"/>
      <c r="AJ277" s="210"/>
      <c r="AK277" s="210"/>
    </row>
    <row r="278" spans="1:37" s="211" customFormat="1" ht="15.75" hidden="1" customHeight="1">
      <c r="A278" s="130"/>
      <c r="B278" s="213"/>
      <c r="C278" s="229"/>
      <c r="D278" s="229"/>
      <c r="E278" s="230"/>
      <c r="F278" s="209" t="e">
        <f>COUNTIF(#REF!,"=N")</f>
        <v>#REF!</v>
      </c>
      <c r="G278" s="227"/>
      <c r="H278" s="227"/>
      <c r="I278" s="227"/>
      <c r="J278" s="227"/>
      <c r="K278" s="227"/>
      <c r="L278" s="227"/>
      <c r="M278" s="227"/>
      <c r="N278" s="227"/>
      <c r="O278" s="227"/>
      <c r="P278" s="227"/>
      <c r="Q278" s="227"/>
      <c r="R278" s="227"/>
      <c r="S278" s="227"/>
      <c r="T278" s="227"/>
      <c r="U278" s="227"/>
      <c r="V278" s="227"/>
      <c r="W278" s="227"/>
      <c r="X278" s="210"/>
      <c r="Y278" s="210"/>
      <c r="Z278" s="210"/>
      <c r="AA278" s="210"/>
      <c r="AB278" s="210"/>
      <c r="AC278" s="210"/>
      <c r="AD278" s="210"/>
      <c r="AE278" s="210"/>
      <c r="AF278" s="210"/>
      <c r="AG278" s="210"/>
      <c r="AH278" s="210"/>
      <c r="AI278" s="210"/>
      <c r="AJ278" s="210"/>
      <c r="AK278" s="210"/>
    </row>
    <row r="279" spans="1:37" s="211" customFormat="1" ht="15.75" hidden="1" customHeight="1">
      <c r="A279" s="130"/>
      <c r="B279" s="213"/>
      <c r="C279" s="229"/>
      <c r="D279" s="229"/>
      <c r="E279" s="230"/>
      <c r="F279" s="209"/>
      <c r="G279" s="227"/>
      <c r="H279" s="227"/>
      <c r="I279" s="227"/>
      <c r="J279" s="227"/>
      <c r="K279" s="227"/>
      <c r="L279" s="227"/>
      <c r="M279" s="227"/>
      <c r="N279" s="227"/>
      <c r="O279" s="227"/>
      <c r="P279" s="227"/>
      <c r="Q279" s="227"/>
      <c r="R279" s="227"/>
      <c r="S279" s="227"/>
      <c r="T279" s="227"/>
      <c r="U279" s="227"/>
      <c r="V279" s="227"/>
      <c r="W279" s="227"/>
      <c r="X279" s="210"/>
      <c r="Y279" s="210"/>
      <c r="Z279" s="210"/>
      <c r="AA279" s="210"/>
      <c r="AB279" s="210"/>
      <c r="AC279" s="210"/>
      <c r="AD279" s="210"/>
      <c r="AE279" s="210"/>
      <c r="AF279" s="210"/>
      <c r="AG279" s="210"/>
      <c r="AH279" s="210"/>
      <c r="AI279" s="210"/>
      <c r="AJ279" s="210"/>
      <c r="AK279" s="210"/>
    </row>
    <row r="280" spans="1:37" s="211" customFormat="1" ht="15.75" hidden="1" customHeight="1">
      <c r="A280" s="130"/>
      <c r="B280" s="213"/>
      <c r="C280" s="229"/>
      <c r="D280" s="229"/>
      <c r="E280" s="230"/>
      <c r="F280" s="209"/>
      <c r="G280" s="227"/>
      <c r="H280" s="227"/>
      <c r="I280" s="227"/>
      <c r="J280" s="227"/>
      <c r="K280" s="227"/>
      <c r="L280" s="227"/>
      <c r="M280" s="227"/>
      <c r="N280" s="227"/>
      <c r="O280" s="227"/>
      <c r="P280" s="227"/>
      <c r="Q280" s="227"/>
      <c r="R280" s="227"/>
      <c r="S280" s="227"/>
      <c r="T280" s="227"/>
      <c r="U280" s="227"/>
      <c r="V280" s="227"/>
      <c r="W280" s="227"/>
      <c r="X280" s="210"/>
      <c r="Y280" s="210"/>
      <c r="Z280" s="210"/>
      <c r="AA280" s="210"/>
      <c r="AB280" s="210"/>
      <c r="AC280" s="210"/>
      <c r="AD280" s="210"/>
      <c r="AE280" s="210"/>
      <c r="AF280" s="210"/>
      <c r="AG280" s="210"/>
      <c r="AH280" s="210"/>
      <c r="AI280" s="210"/>
      <c r="AJ280" s="210"/>
      <c r="AK280" s="210"/>
    </row>
    <row r="281" spans="1:37" s="211" customFormat="1" ht="15.75" hidden="1" customHeight="1">
      <c r="A281" s="130"/>
      <c r="B281" s="213"/>
      <c r="C281" s="229"/>
      <c r="D281" s="229"/>
      <c r="E281" s="230"/>
      <c r="F281" s="209"/>
      <c r="G281" s="227"/>
      <c r="H281" s="227"/>
      <c r="I281" s="227"/>
      <c r="J281" s="227"/>
      <c r="K281" s="227"/>
      <c r="L281" s="227"/>
      <c r="M281" s="227"/>
      <c r="N281" s="227"/>
      <c r="O281" s="227"/>
      <c r="P281" s="227"/>
      <c r="Q281" s="227"/>
      <c r="R281" s="227"/>
      <c r="S281" s="227"/>
      <c r="T281" s="227"/>
      <c r="U281" s="227"/>
      <c r="V281" s="227"/>
      <c r="W281" s="227"/>
      <c r="X281" s="210"/>
      <c r="Y281" s="210"/>
      <c r="Z281" s="210"/>
      <c r="AA281" s="210"/>
      <c r="AB281" s="210"/>
      <c r="AC281" s="210"/>
      <c r="AD281" s="210"/>
      <c r="AE281" s="210"/>
      <c r="AF281" s="210"/>
      <c r="AG281" s="210"/>
      <c r="AH281" s="210"/>
      <c r="AI281" s="210"/>
      <c r="AJ281" s="210"/>
      <c r="AK281" s="210"/>
    </row>
    <row r="282" spans="1:37" s="211" customFormat="1" ht="15.75" hidden="1" customHeight="1">
      <c r="A282" s="130"/>
      <c r="B282" s="213"/>
      <c r="C282" s="229"/>
      <c r="D282" s="229"/>
      <c r="E282" s="230"/>
      <c r="F282" s="209"/>
      <c r="G282" s="227"/>
      <c r="H282" s="227"/>
      <c r="I282" s="227"/>
      <c r="J282" s="227"/>
      <c r="K282" s="227"/>
      <c r="L282" s="227"/>
      <c r="M282" s="227"/>
      <c r="N282" s="227"/>
      <c r="O282" s="227"/>
      <c r="P282" s="227"/>
      <c r="Q282" s="227"/>
      <c r="R282" s="227"/>
      <c r="S282" s="227"/>
      <c r="T282" s="227"/>
      <c r="U282" s="227"/>
      <c r="V282" s="227"/>
      <c r="W282" s="227"/>
      <c r="X282" s="210"/>
      <c r="Y282" s="210"/>
      <c r="Z282" s="210"/>
      <c r="AA282" s="210"/>
      <c r="AB282" s="210"/>
      <c r="AC282" s="210"/>
      <c r="AD282" s="210"/>
      <c r="AE282" s="210"/>
      <c r="AF282" s="210"/>
      <c r="AG282" s="210"/>
      <c r="AH282" s="210"/>
      <c r="AI282" s="210"/>
      <c r="AJ282" s="210"/>
      <c r="AK282" s="210"/>
    </row>
    <row r="283" spans="1:37" s="211" customFormat="1" ht="15.75" hidden="1" customHeight="1">
      <c r="A283" s="130"/>
      <c r="B283" s="213"/>
      <c r="C283" s="229"/>
      <c r="D283" s="229"/>
      <c r="E283" s="230"/>
      <c r="F283" s="209" t="e">
        <f>COUNTIF(#REF!,"=N")</f>
        <v>#REF!</v>
      </c>
      <c r="G283" s="227"/>
      <c r="H283" s="227"/>
      <c r="I283" s="227"/>
      <c r="J283" s="227"/>
      <c r="K283" s="227"/>
      <c r="L283" s="227"/>
      <c r="M283" s="227"/>
      <c r="N283" s="227"/>
      <c r="O283" s="227"/>
      <c r="P283" s="227"/>
      <c r="Q283" s="227"/>
      <c r="R283" s="227"/>
      <c r="S283" s="227"/>
      <c r="T283" s="227"/>
      <c r="U283" s="227"/>
      <c r="V283" s="227"/>
      <c r="W283" s="227"/>
      <c r="X283" s="210"/>
      <c r="Y283" s="210"/>
      <c r="Z283" s="210"/>
      <c r="AA283" s="210"/>
      <c r="AB283" s="210"/>
      <c r="AC283" s="210"/>
      <c r="AD283" s="210"/>
      <c r="AE283" s="210"/>
      <c r="AF283" s="210"/>
      <c r="AG283" s="210"/>
      <c r="AH283" s="210"/>
      <c r="AI283" s="210"/>
      <c r="AJ283" s="210"/>
      <c r="AK283" s="210"/>
    </row>
    <row r="284" spans="1:37" s="211" customFormat="1" ht="15.75" hidden="1" customHeight="1">
      <c r="A284" s="130"/>
      <c r="B284" s="213"/>
      <c r="C284" s="229"/>
      <c r="D284" s="229"/>
      <c r="E284" s="230"/>
      <c r="F284" s="209"/>
      <c r="G284" s="227"/>
      <c r="H284" s="227"/>
      <c r="I284" s="227"/>
      <c r="J284" s="227"/>
      <c r="K284" s="227"/>
      <c r="L284" s="227"/>
      <c r="M284" s="227"/>
      <c r="N284" s="227"/>
      <c r="O284" s="227"/>
      <c r="P284" s="227"/>
      <c r="Q284" s="227"/>
      <c r="R284" s="227"/>
      <c r="S284" s="227"/>
      <c r="T284" s="227"/>
      <c r="U284" s="227"/>
      <c r="V284" s="227"/>
      <c r="W284" s="227"/>
      <c r="X284" s="210"/>
      <c r="Y284" s="210"/>
      <c r="Z284" s="210"/>
      <c r="AA284" s="210"/>
      <c r="AB284" s="210"/>
      <c r="AC284" s="210"/>
      <c r="AD284" s="210"/>
      <c r="AE284" s="210"/>
      <c r="AF284" s="210"/>
      <c r="AG284" s="210"/>
      <c r="AH284" s="210"/>
      <c r="AI284" s="210"/>
      <c r="AJ284" s="210"/>
      <c r="AK284" s="210"/>
    </row>
    <row r="285" spans="1:37" s="211" customFormat="1" ht="15.75" hidden="1" customHeight="1">
      <c r="A285" s="130"/>
      <c r="B285" s="213"/>
      <c r="C285" s="229"/>
      <c r="D285" s="229"/>
      <c r="E285" s="230"/>
      <c r="F285" s="209"/>
      <c r="G285" s="227"/>
      <c r="H285" s="227"/>
      <c r="I285" s="227"/>
      <c r="J285" s="227"/>
      <c r="K285" s="227"/>
      <c r="L285" s="227"/>
      <c r="M285" s="227"/>
      <c r="N285" s="227"/>
      <c r="O285" s="227"/>
      <c r="P285" s="227"/>
      <c r="Q285" s="227"/>
      <c r="R285" s="227"/>
      <c r="S285" s="227"/>
      <c r="T285" s="227"/>
      <c r="U285" s="227"/>
      <c r="V285" s="227"/>
      <c r="W285" s="227"/>
      <c r="X285" s="210"/>
      <c r="Y285" s="210"/>
      <c r="Z285" s="210"/>
      <c r="AA285" s="210"/>
      <c r="AB285" s="210"/>
      <c r="AC285" s="210"/>
      <c r="AD285" s="210"/>
      <c r="AE285" s="210"/>
      <c r="AF285" s="210"/>
      <c r="AG285" s="210"/>
      <c r="AH285" s="210"/>
      <c r="AI285" s="210"/>
      <c r="AJ285" s="210"/>
      <c r="AK285" s="210"/>
    </row>
    <row r="286" spans="1:37" s="211" customFormat="1" ht="15.75" hidden="1" customHeight="1">
      <c r="A286" s="130"/>
      <c r="B286" s="213"/>
      <c r="C286" s="229"/>
      <c r="D286" s="229"/>
      <c r="E286" s="230"/>
      <c r="F286" s="209"/>
      <c r="G286" s="227"/>
      <c r="H286" s="227"/>
      <c r="I286" s="227"/>
      <c r="J286" s="227"/>
      <c r="K286" s="227"/>
      <c r="L286" s="227"/>
      <c r="M286" s="227"/>
      <c r="N286" s="227"/>
      <c r="O286" s="227"/>
      <c r="P286" s="227"/>
      <c r="Q286" s="227"/>
      <c r="R286" s="227"/>
      <c r="S286" s="227"/>
      <c r="T286" s="227"/>
      <c r="U286" s="227"/>
      <c r="V286" s="227"/>
      <c r="W286" s="227"/>
      <c r="X286" s="210"/>
      <c r="Y286" s="210"/>
      <c r="Z286" s="210"/>
      <c r="AA286" s="210"/>
      <c r="AB286" s="210"/>
      <c r="AC286" s="210"/>
      <c r="AD286" s="210"/>
      <c r="AE286" s="210"/>
      <c r="AF286" s="210"/>
      <c r="AG286" s="210"/>
      <c r="AH286" s="210"/>
      <c r="AI286" s="210"/>
      <c r="AJ286" s="210"/>
      <c r="AK286" s="210"/>
    </row>
    <row r="287" spans="1:37" s="211" customFormat="1" ht="15.75" hidden="1" customHeight="1">
      <c r="A287" s="130"/>
      <c r="B287" s="213"/>
      <c r="C287" s="229"/>
      <c r="D287" s="229"/>
      <c r="E287" s="230"/>
      <c r="F287" s="209" t="e">
        <f>COUNTIF(#REF!,"=N")</f>
        <v>#REF!</v>
      </c>
      <c r="G287" s="227"/>
      <c r="H287" s="227"/>
      <c r="I287" s="227"/>
      <c r="J287" s="227"/>
      <c r="K287" s="227"/>
      <c r="L287" s="227"/>
      <c r="M287" s="227"/>
      <c r="N287" s="227"/>
      <c r="O287" s="227"/>
      <c r="P287" s="227"/>
      <c r="Q287" s="227"/>
      <c r="R287" s="227"/>
      <c r="S287" s="227"/>
      <c r="T287" s="227"/>
      <c r="U287" s="227"/>
      <c r="V287" s="227"/>
      <c r="W287" s="227"/>
      <c r="X287" s="210"/>
      <c r="Y287" s="210"/>
      <c r="Z287" s="210"/>
      <c r="AA287" s="210"/>
      <c r="AB287" s="210"/>
      <c r="AC287" s="210"/>
      <c r="AD287" s="210"/>
      <c r="AE287" s="210"/>
      <c r="AF287" s="210"/>
      <c r="AG287" s="210"/>
      <c r="AH287" s="210"/>
      <c r="AI287" s="210"/>
      <c r="AJ287" s="210"/>
      <c r="AK287" s="210"/>
    </row>
    <row r="288" spans="1:37" s="211" customFormat="1" ht="15.75" hidden="1" customHeight="1">
      <c r="A288" s="130"/>
      <c r="B288" s="213"/>
      <c r="C288" s="229"/>
      <c r="D288" s="229"/>
      <c r="E288" s="230"/>
      <c r="F288" s="209"/>
      <c r="G288" s="227"/>
      <c r="H288" s="227"/>
      <c r="I288" s="227"/>
      <c r="J288" s="227"/>
      <c r="K288" s="227"/>
      <c r="L288" s="227"/>
      <c r="M288" s="227"/>
      <c r="N288" s="227"/>
      <c r="O288" s="227"/>
      <c r="P288" s="227"/>
      <c r="Q288" s="227"/>
      <c r="R288" s="227"/>
      <c r="S288" s="227"/>
      <c r="T288" s="227"/>
      <c r="U288" s="227"/>
      <c r="V288" s="227"/>
      <c r="W288" s="227"/>
      <c r="X288" s="210"/>
      <c r="Y288" s="210"/>
      <c r="Z288" s="210"/>
      <c r="AA288" s="210"/>
      <c r="AB288" s="210"/>
      <c r="AC288" s="210"/>
      <c r="AD288" s="210"/>
      <c r="AE288" s="210"/>
      <c r="AF288" s="210"/>
      <c r="AG288" s="210"/>
      <c r="AH288" s="210"/>
      <c r="AI288" s="210"/>
      <c r="AJ288" s="210"/>
      <c r="AK288" s="210"/>
    </row>
    <row r="289" spans="1:37" s="211" customFormat="1" ht="15.75" hidden="1" customHeight="1">
      <c r="A289" s="130"/>
      <c r="B289" s="213"/>
      <c r="C289" s="229"/>
      <c r="D289" s="229"/>
      <c r="E289" s="230"/>
      <c r="F289" s="209"/>
      <c r="G289" s="227"/>
      <c r="H289" s="227"/>
      <c r="I289" s="227"/>
      <c r="J289" s="227"/>
      <c r="K289" s="227"/>
      <c r="L289" s="227"/>
      <c r="M289" s="227"/>
      <c r="N289" s="227"/>
      <c r="O289" s="227"/>
      <c r="P289" s="227"/>
      <c r="Q289" s="227"/>
      <c r="R289" s="227"/>
      <c r="S289" s="227"/>
      <c r="T289" s="227"/>
      <c r="U289" s="227"/>
      <c r="V289" s="227"/>
      <c r="W289" s="227"/>
      <c r="X289" s="210"/>
      <c r="Y289" s="210"/>
      <c r="Z289" s="210"/>
      <c r="AA289" s="210"/>
      <c r="AB289" s="210"/>
      <c r="AC289" s="210"/>
      <c r="AD289" s="210"/>
      <c r="AE289" s="210"/>
      <c r="AF289" s="210"/>
      <c r="AG289" s="210"/>
      <c r="AH289" s="210"/>
      <c r="AI289" s="210"/>
      <c r="AJ289" s="210"/>
      <c r="AK289" s="210"/>
    </row>
    <row r="290" spans="1:37" s="211" customFormat="1" ht="15.75" hidden="1" customHeight="1">
      <c r="A290" s="130"/>
      <c r="B290" s="213"/>
      <c r="C290" s="229"/>
      <c r="D290" s="229"/>
      <c r="E290" s="230"/>
      <c r="F290" s="209"/>
      <c r="G290" s="227"/>
      <c r="H290" s="227"/>
      <c r="I290" s="227"/>
      <c r="J290" s="227"/>
      <c r="K290" s="227"/>
      <c r="L290" s="227"/>
      <c r="M290" s="227"/>
      <c r="N290" s="227"/>
      <c r="O290" s="227"/>
      <c r="P290" s="227"/>
      <c r="Q290" s="227"/>
      <c r="R290" s="227"/>
      <c r="S290" s="227"/>
      <c r="T290" s="227"/>
      <c r="U290" s="227"/>
      <c r="V290" s="227"/>
      <c r="W290" s="227"/>
      <c r="X290" s="210"/>
      <c r="Y290" s="210"/>
      <c r="Z290" s="210"/>
      <c r="AA290" s="210"/>
      <c r="AB290" s="210"/>
      <c r="AC290" s="210"/>
      <c r="AD290" s="210"/>
      <c r="AE290" s="210"/>
      <c r="AF290" s="210"/>
      <c r="AG290" s="210"/>
      <c r="AH290" s="210"/>
      <c r="AI290" s="210"/>
      <c r="AJ290" s="210"/>
      <c r="AK290" s="210"/>
    </row>
    <row r="291" spans="1:37" s="211" customFormat="1" ht="15.75" hidden="1" customHeight="1">
      <c r="A291" s="130"/>
      <c r="B291" s="213"/>
      <c r="C291" s="229"/>
      <c r="D291" s="229"/>
      <c r="E291" s="230"/>
      <c r="F291" s="209"/>
      <c r="G291" s="227"/>
      <c r="H291" s="227"/>
      <c r="I291" s="227"/>
      <c r="J291" s="227"/>
      <c r="K291" s="227"/>
      <c r="L291" s="227"/>
      <c r="M291" s="227"/>
      <c r="N291" s="227"/>
      <c r="O291" s="227"/>
      <c r="P291" s="227"/>
      <c r="Q291" s="227"/>
      <c r="R291" s="227"/>
      <c r="S291" s="227"/>
      <c r="T291" s="227"/>
      <c r="U291" s="227"/>
      <c r="V291" s="227"/>
      <c r="W291" s="227"/>
      <c r="X291" s="210"/>
      <c r="Y291" s="210"/>
      <c r="Z291" s="210"/>
      <c r="AA291" s="210"/>
      <c r="AB291" s="210"/>
      <c r="AC291" s="210"/>
      <c r="AD291" s="210"/>
      <c r="AE291" s="210"/>
      <c r="AF291" s="210"/>
      <c r="AG291" s="210"/>
      <c r="AH291" s="210"/>
      <c r="AI291" s="210"/>
      <c r="AJ291" s="210"/>
      <c r="AK291" s="210"/>
    </row>
    <row r="292" spans="1:37" s="211" customFormat="1" ht="15.75" hidden="1" customHeight="1">
      <c r="A292" s="130"/>
      <c r="B292" s="213"/>
      <c r="C292" s="229"/>
      <c r="D292" s="229"/>
      <c r="E292" s="230"/>
      <c r="F292" s="209"/>
      <c r="G292" s="227"/>
      <c r="H292" s="227"/>
      <c r="I292" s="227"/>
      <c r="J292" s="227"/>
      <c r="K292" s="227"/>
      <c r="L292" s="227"/>
      <c r="M292" s="227"/>
      <c r="N292" s="227"/>
      <c r="O292" s="227"/>
      <c r="P292" s="227"/>
      <c r="Q292" s="227"/>
      <c r="R292" s="227"/>
      <c r="S292" s="227"/>
      <c r="T292" s="227"/>
      <c r="U292" s="227"/>
      <c r="V292" s="227"/>
      <c r="W292" s="227"/>
      <c r="X292" s="210"/>
      <c r="Y292" s="210"/>
      <c r="Z292" s="210"/>
      <c r="AA292" s="210"/>
      <c r="AB292" s="210"/>
      <c r="AC292" s="210"/>
      <c r="AD292" s="210"/>
      <c r="AE292" s="210"/>
      <c r="AF292" s="210"/>
      <c r="AG292" s="210"/>
      <c r="AH292" s="210"/>
      <c r="AI292" s="210"/>
      <c r="AJ292" s="210"/>
      <c r="AK292" s="210"/>
    </row>
    <row r="293" spans="1:37" s="211" customFormat="1" ht="15.75" hidden="1" customHeight="1">
      <c r="A293" s="130"/>
      <c r="B293" s="213"/>
      <c r="C293" s="229"/>
      <c r="D293" s="229"/>
      <c r="E293" s="230"/>
      <c r="F293" s="209"/>
      <c r="G293" s="227"/>
      <c r="H293" s="227"/>
      <c r="I293" s="227"/>
      <c r="J293" s="227"/>
      <c r="K293" s="227"/>
      <c r="L293" s="227"/>
      <c r="M293" s="227"/>
      <c r="N293" s="227"/>
      <c r="O293" s="227"/>
      <c r="P293" s="227"/>
      <c r="Q293" s="227"/>
      <c r="R293" s="227"/>
      <c r="S293" s="227"/>
      <c r="T293" s="227"/>
      <c r="U293" s="227"/>
      <c r="V293" s="227"/>
      <c r="W293" s="227"/>
      <c r="X293" s="210"/>
      <c r="Y293" s="210"/>
      <c r="Z293" s="210"/>
      <c r="AA293" s="210"/>
      <c r="AB293" s="210"/>
      <c r="AC293" s="210"/>
      <c r="AD293" s="210"/>
      <c r="AE293" s="210"/>
      <c r="AF293" s="210"/>
      <c r="AG293" s="210"/>
      <c r="AH293" s="210"/>
      <c r="AI293" s="210"/>
      <c r="AJ293" s="210"/>
      <c r="AK293" s="210"/>
    </row>
    <row r="294" spans="1:37" s="211" customFormat="1" ht="15.75" hidden="1" customHeight="1">
      <c r="A294" s="130"/>
      <c r="B294" s="213"/>
      <c r="C294" s="229"/>
      <c r="D294" s="229"/>
      <c r="E294" s="230"/>
      <c r="F294" s="209"/>
      <c r="G294" s="227"/>
      <c r="H294" s="227"/>
      <c r="I294" s="227"/>
      <c r="J294" s="227"/>
      <c r="K294" s="227"/>
      <c r="L294" s="227"/>
      <c r="M294" s="227"/>
      <c r="N294" s="227"/>
      <c r="O294" s="227"/>
      <c r="P294" s="227"/>
      <c r="Q294" s="227"/>
      <c r="R294" s="227"/>
      <c r="S294" s="227"/>
      <c r="T294" s="227"/>
      <c r="U294" s="227"/>
      <c r="V294" s="227"/>
      <c r="W294" s="227"/>
      <c r="X294" s="210"/>
      <c r="Y294" s="210"/>
      <c r="Z294" s="210"/>
      <c r="AA294" s="210"/>
      <c r="AB294" s="210"/>
      <c r="AC294" s="210"/>
      <c r="AD294" s="210"/>
      <c r="AE294" s="210"/>
      <c r="AF294" s="210"/>
      <c r="AG294" s="210"/>
      <c r="AH294" s="210"/>
      <c r="AI294" s="210"/>
      <c r="AJ294" s="210"/>
      <c r="AK294" s="210"/>
    </row>
    <row r="295" spans="1:37" s="211" customFormat="1" ht="15.75" hidden="1" customHeight="1">
      <c r="A295" s="130"/>
      <c r="B295" s="213"/>
      <c r="C295" s="229"/>
      <c r="D295" s="229"/>
      <c r="E295" s="230"/>
      <c r="F295" s="209" t="e">
        <f>COUNTIF(#REF!,"=N")</f>
        <v>#REF!</v>
      </c>
      <c r="G295" s="227"/>
      <c r="H295" s="227"/>
      <c r="I295" s="227"/>
      <c r="J295" s="227"/>
      <c r="K295" s="227"/>
      <c r="L295" s="227"/>
      <c r="M295" s="227"/>
      <c r="N295" s="227"/>
      <c r="O295" s="227"/>
      <c r="P295" s="227"/>
      <c r="Q295" s="227"/>
      <c r="R295" s="227"/>
      <c r="S295" s="227"/>
      <c r="T295" s="227"/>
      <c r="U295" s="227"/>
      <c r="V295" s="227"/>
      <c r="W295" s="227"/>
      <c r="X295" s="210"/>
      <c r="Y295" s="210"/>
      <c r="Z295" s="210"/>
      <c r="AA295" s="210"/>
      <c r="AB295" s="210"/>
      <c r="AC295" s="210"/>
      <c r="AD295" s="210"/>
      <c r="AE295" s="210"/>
      <c r="AF295" s="210"/>
      <c r="AG295" s="210"/>
      <c r="AH295" s="210"/>
      <c r="AI295" s="210"/>
      <c r="AJ295" s="210"/>
      <c r="AK295" s="210"/>
    </row>
    <row r="296" spans="1:37" s="211" customFormat="1" ht="15.75" hidden="1" customHeight="1">
      <c r="A296" s="130"/>
      <c r="B296" s="213"/>
      <c r="C296" s="229"/>
      <c r="D296" s="229"/>
      <c r="E296" s="230"/>
      <c r="F296" s="209"/>
      <c r="G296" s="227"/>
      <c r="H296" s="227"/>
      <c r="I296" s="227"/>
      <c r="J296" s="227"/>
      <c r="K296" s="227"/>
      <c r="L296" s="227"/>
      <c r="M296" s="227"/>
      <c r="N296" s="227"/>
      <c r="O296" s="227"/>
      <c r="P296" s="227"/>
      <c r="Q296" s="227"/>
      <c r="R296" s="227"/>
      <c r="S296" s="227"/>
      <c r="T296" s="227"/>
      <c r="U296" s="227"/>
      <c r="V296" s="227"/>
      <c r="W296" s="227"/>
      <c r="X296" s="210"/>
      <c r="Y296" s="210"/>
      <c r="Z296" s="210"/>
      <c r="AA296" s="210"/>
      <c r="AB296" s="210"/>
      <c r="AC296" s="210"/>
      <c r="AD296" s="210"/>
      <c r="AE296" s="210"/>
      <c r="AF296" s="210"/>
      <c r="AG296" s="210"/>
      <c r="AH296" s="210"/>
      <c r="AI296" s="210"/>
      <c r="AJ296" s="210"/>
      <c r="AK296" s="210"/>
    </row>
    <row r="297" spans="1:37" s="211" customFormat="1" ht="15.75" hidden="1" customHeight="1">
      <c r="A297" s="130"/>
      <c r="B297" s="213"/>
      <c r="C297" s="229"/>
      <c r="D297" s="229"/>
      <c r="E297" s="230"/>
      <c r="F297" s="209"/>
      <c r="G297" s="227"/>
      <c r="H297" s="227"/>
      <c r="I297" s="227"/>
      <c r="J297" s="227"/>
      <c r="K297" s="227"/>
      <c r="L297" s="227"/>
      <c r="M297" s="227"/>
      <c r="N297" s="227"/>
      <c r="O297" s="227"/>
      <c r="P297" s="227"/>
      <c r="Q297" s="227"/>
      <c r="R297" s="227"/>
      <c r="S297" s="227"/>
      <c r="T297" s="227"/>
      <c r="U297" s="227"/>
      <c r="V297" s="227"/>
      <c r="W297" s="227"/>
      <c r="X297" s="210"/>
      <c r="Y297" s="210"/>
      <c r="Z297" s="210"/>
      <c r="AA297" s="210"/>
      <c r="AB297" s="210"/>
      <c r="AC297" s="210"/>
      <c r="AD297" s="210"/>
      <c r="AE297" s="210"/>
      <c r="AF297" s="210"/>
      <c r="AG297" s="210"/>
      <c r="AH297" s="210"/>
      <c r="AI297" s="210"/>
      <c r="AJ297" s="210"/>
      <c r="AK297" s="210"/>
    </row>
    <row r="298" spans="1:37" s="211" customFormat="1" ht="15.75" hidden="1" customHeight="1">
      <c r="A298" s="130"/>
      <c r="B298" s="213"/>
      <c r="C298" s="229"/>
      <c r="D298" s="229"/>
      <c r="E298" s="230"/>
      <c r="F298" s="209"/>
      <c r="G298" s="227"/>
      <c r="H298" s="227"/>
      <c r="I298" s="227"/>
      <c r="J298" s="227"/>
      <c r="K298" s="227"/>
      <c r="L298" s="227"/>
      <c r="M298" s="227"/>
      <c r="N298" s="227"/>
      <c r="O298" s="227"/>
      <c r="P298" s="227"/>
      <c r="Q298" s="227"/>
      <c r="R298" s="227"/>
      <c r="S298" s="227"/>
      <c r="T298" s="227"/>
      <c r="U298" s="227"/>
      <c r="V298" s="227"/>
      <c r="W298" s="227"/>
      <c r="X298" s="210"/>
      <c r="Y298" s="210"/>
      <c r="Z298" s="210"/>
      <c r="AA298" s="210"/>
      <c r="AB298" s="210"/>
      <c r="AC298" s="210"/>
      <c r="AD298" s="210"/>
      <c r="AE298" s="210"/>
      <c r="AF298" s="210"/>
      <c r="AG298" s="210"/>
      <c r="AH298" s="210"/>
      <c r="AI298" s="210"/>
      <c r="AJ298" s="210"/>
      <c r="AK298" s="210"/>
    </row>
    <row r="299" spans="1:37" s="211" customFormat="1" ht="15.75" hidden="1" customHeight="1">
      <c r="A299" s="130"/>
      <c r="B299" s="213"/>
      <c r="C299" s="229"/>
      <c r="D299" s="229"/>
      <c r="E299" s="230"/>
      <c r="F299" s="209" t="e">
        <f>COUNTIF(#REF!,"=N")</f>
        <v>#REF!</v>
      </c>
      <c r="G299" s="227"/>
      <c r="H299" s="227"/>
      <c r="I299" s="227"/>
      <c r="J299" s="227"/>
      <c r="K299" s="227"/>
      <c r="L299" s="227"/>
      <c r="M299" s="227"/>
      <c r="N299" s="227"/>
      <c r="O299" s="227"/>
      <c r="P299" s="227"/>
      <c r="Q299" s="227"/>
      <c r="R299" s="227"/>
      <c r="S299" s="227"/>
      <c r="T299" s="227"/>
      <c r="U299" s="227"/>
      <c r="V299" s="227"/>
      <c r="W299" s="227"/>
      <c r="X299" s="210"/>
      <c r="Y299" s="210"/>
      <c r="Z299" s="210"/>
      <c r="AA299" s="210"/>
      <c r="AB299" s="210"/>
      <c r="AC299" s="210"/>
      <c r="AD299" s="210"/>
      <c r="AE299" s="210"/>
      <c r="AF299" s="210"/>
      <c r="AG299" s="210"/>
      <c r="AH299" s="210"/>
      <c r="AI299" s="210"/>
      <c r="AJ299" s="210"/>
      <c r="AK299" s="210"/>
    </row>
    <row r="300" spans="1:37" s="211" customFormat="1" ht="15.75" hidden="1" customHeight="1">
      <c r="A300" s="130"/>
      <c r="B300" s="213"/>
      <c r="C300" s="229"/>
      <c r="D300" s="229"/>
      <c r="E300" s="230"/>
      <c r="F300" s="209"/>
      <c r="G300" s="227"/>
      <c r="H300" s="227"/>
      <c r="I300" s="227"/>
      <c r="J300" s="227"/>
      <c r="K300" s="227"/>
      <c r="L300" s="227"/>
      <c r="M300" s="227"/>
      <c r="N300" s="227"/>
      <c r="O300" s="227"/>
      <c r="P300" s="227"/>
      <c r="Q300" s="227"/>
      <c r="R300" s="227"/>
      <c r="S300" s="227"/>
      <c r="T300" s="227"/>
      <c r="U300" s="227"/>
      <c r="V300" s="227"/>
      <c r="W300" s="227"/>
      <c r="X300" s="210"/>
      <c r="Y300" s="210"/>
      <c r="Z300" s="210"/>
      <c r="AA300" s="210"/>
      <c r="AB300" s="210"/>
      <c r="AC300" s="210"/>
      <c r="AD300" s="210"/>
      <c r="AE300" s="210"/>
      <c r="AF300" s="210"/>
      <c r="AG300" s="210"/>
      <c r="AH300" s="210"/>
      <c r="AI300" s="210"/>
      <c r="AJ300" s="210"/>
      <c r="AK300" s="210"/>
    </row>
    <row r="301" spans="1:37" s="211" customFormat="1" ht="15.75" hidden="1" customHeight="1">
      <c r="A301" s="130"/>
      <c r="B301" s="213"/>
      <c r="C301" s="229"/>
      <c r="D301" s="229"/>
      <c r="E301" s="230"/>
      <c r="F301" s="209"/>
      <c r="G301" s="227"/>
      <c r="H301" s="227"/>
      <c r="I301" s="227"/>
      <c r="J301" s="227"/>
      <c r="K301" s="227"/>
      <c r="L301" s="227"/>
      <c r="M301" s="227"/>
      <c r="N301" s="227"/>
      <c r="O301" s="227"/>
      <c r="P301" s="227"/>
      <c r="Q301" s="227"/>
      <c r="R301" s="227"/>
      <c r="S301" s="227"/>
      <c r="T301" s="227"/>
      <c r="U301" s="227"/>
      <c r="V301" s="227"/>
      <c r="W301" s="227"/>
      <c r="X301" s="210"/>
      <c r="Y301" s="210"/>
      <c r="Z301" s="210"/>
      <c r="AA301" s="210"/>
      <c r="AB301" s="210"/>
      <c r="AC301" s="210"/>
      <c r="AD301" s="210"/>
      <c r="AE301" s="210"/>
      <c r="AF301" s="210"/>
      <c r="AG301" s="210"/>
      <c r="AH301" s="210"/>
      <c r="AI301" s="210"/>
      <c r="AJ301" s="210"/>
      <c r="AK301" s="210"/>
    </row>
    <row r="302" spans="1:37" s="211" customFormat="1" ht="15.75" hidden="1" customHeight="1">
      <c r="A302" s="130"/>
      <c r="B302" s="213"/>
      <c r="C302" s="229"/>
      <c r="D302" s="229"/>
      <c r="E302" s="230"/>
      <c r="F302" s="209"/>
      <c r="G302" s="227"/>
      <c r="H302" s="227"/>
      <c r="I302" s="227"/>
      <c r="J302" s="227"/>
      <c r="K302" s="227"/>
      <c r="L302" s="227"/>
      <c r="M302" s="227"/>
      <c r="N302" s="227"/>
      <c r="O302" s="227"/>
      <c r="P302" s="227"/>
      <c r="Q302" s="227"/>
      <c r="R302" s="227"/>
      <c r="S302" s="227"/>
      <c r="T302" s="227"/>
      <c r="U302" s="227"/>
      <c r="V302" s="227"/>
      <c r="W302" s="227"/>
      <c r="X302" s="210"/>
      <c r="Y302" s="210"/>
      <c r="Z302" s="210"/>
      <c r="AA302" s="210"/>
      <c r="AB302" s="210"/>
      <c r="AC302" s="210"/>
      <c r="AD302" s="210"/>
      <c r="AE302" s="210"/>
      <c r="AF302" s="210"/>
      <c r="AG302" s="210"/>
      <c r="AH302" s="210"/>
      <c r="AI302" s="210"/>
      <c r="AJ302" s="210"/>
      <c r="AK302" s="210"/>
    </row>
    <row r="303" spans="1:37" s="211" customFormat="1" ht="15.75" hidden="1" customHeight="1">
      <c r="A303" s="130"/>
      <c r="B303" s="213"/>
      <c r="C303" s="229"/>
      <c r="D303" s="229"/>
      <c r="E303" s="230"/>
      <c r="F303" s="209" t="e">
        <f>COUNTIF(#REF!,"=N")</f>
        <v>#REF!</v>
      </c>
      <c r="G303" s="227"/>
      <c r="H303" s="227"/>
      <c r="I303" s="227"/>
      <c r="J303" s="227"/>
      <c r="K303" s="227"/>
      <c r="L303" s="227"/>
      <c r="M303" s="227"/>
      <c r="N303" s="227"/>
      <c r="O303" s="227"/>
      <c r="P303" s="227"/>
      <c r="Q303" s="227"/>
      <c r="R303" s="227"/>
      <c r="S303" s="227"/>
      <c r="T303" s="227"/>
      <c r="U303" s="227"/>
      <c r="V303" s="227"/>
      <c r="W303" s="227"/>
      <c r="X303" s="210"/>
      <c r="Y303" s="210"/>
      <c r="Z303" s="210"/>
      <c r="AA303" s="210"/>
      <c r="AB303" s="210"/>
      <c r="AC303" s="210"/>
      <c r="AD303" s="210"/>
      <c r="AE303" s="210"/>
      <c r="AF303" s="210"/>
      <c r="AG303" s="210"/>
      <c r="AH303" s="210"/>
      <c r="AI303" s="210"/>
      <c r="AJ303" s="210"/>
      <c r="AK303" s="210"/>
    </row>
    <row r="304" spans="1:37" s="211" customFormat="1" ht="15.75" hidden="1" customHeight="1">
      <c r="A304" s="130"/>
      <c r="B304" s="213"/>
      <c r="C304" s="229"/>
      <c r="D304" s="229"/>
      <c r="E304" s="230"/>
      <c r="F304" s="209"/>
      <c r="G304" s="227"/>
      <c r="H304" s="227"/>
      <c r="I304" s="227"/>
      <c r="J304" s="227"/>
      <c r="K304" s="227"/>
      <c r="L304" s="227"/>
      <c r="M304" s="227"/>
      <c r="N304" s="227"/>
      <c r="O304" s="227"/>
      <c r="P304" s="227"/>
      <c r="Q304" s="227"/>
      <c r="R304" s="227"/>
      <c r="S304" s="227"/>
      <c r="T304" s="227"/>
      <c r="U304" s="227"/>
      <c r="V304" s="227"/>
      <c r="W304" s="227"/>
      <c r="X304" s="210"/>
      <c r="Y304" s="210"/>
      <c r="Z304" s="210"/>
      <c r="AA304" s="210"/>
      <c r="AB304" s="210"/>
      <c r="AC304" s="210"/>
      <c r="AD304" s="210"/>
      <c r="AE304" s="210"/>
      <c r="AF304" s="210"/>
      <c r="AG304" s="210"/>
      <c r="AH304" s="210"/>
      <c r="AI304" s="210"/>
      <c r="AJ304" s="210"/>
      <c r="AK304" s="210"/>
    </row>
    <row r="305" spans="1:37" s="211" customFormat="1" ht="15.75" hidden="1" customHeight="1">
      <c r="A305" s="130"/>
      <c r="B305" s="213"/>
      <c r="C305" s="229"/>
      <c r="D305" s="229"/>
      <c r="E305" s="230"/>
      <c r="F305" s="209"/>
      <c r="G305" s="227"/>
      <c r="H305" s="227"/>
      <c r="I305" s="227"/>
      <c r="J305" s="227"/>
      <c r="K305" s="227"/>
      <c r="L305" s="227"/>
      <c r="M305" s="227"/>
      <c r="N305" s="227"/>
      <c r="O305" s="227"/>
      <c r="P305" s="227"/>
      <c r="Q305" s="227"/>
      <c r="R305" s="227"/>
      <c r="S305" s="227"/>
      <c r="T305" s="227"/>
      <c r="U305" s="227"/>
      <c r="V305" s="227"/>
      <c r="W305" s="227"/>
      <c r="X305" s="210"/>
      <c r="Y305" s="210"/>
      <c r="Z305" s="210"/>
      <c r="AA305" s="210"/>
      <c r="AB305" s="210"/>
      <c r="AC305" s="210"/>
      <c r="AD305" s="210"/>
      <c r="AE305" s="210"/>
      <c r="AF305" s="210"/>
      <c r="AG305" s="210"/>
      <c r="AH305" s="210"/>
      <c r="AI305" s="210"/>
      <c r="AJ305" s="210"/>
      <c r="AK305" s="210"/>
    </row>
    <row r="306" spans="1:37" s="211" customFormat="1" ht="15.75" hidden="1" customHeight="1">
      <c r="A306" s="130"/>
      <c r="B306" s="213"/>
      <c r="C306" s="229"/>
      <c r="D306" s="229"/>
      <c r="E306" s="230"/>
      <c r="F306" s="209"/>
      <c r="G306" s="227"/>
      <c r="H306" s="227"/>
      <c r="I306" s="227"/>
      <c r="J306" s="227"/>
      <c r="K306" s="227"/>
      <c r="L306" s="227"/>
      <c r="M306" s="227"/>
      <c r="N306" s="227"/>
      <c r="O306" s="227"/>
      <c r="P306" s="227"/>
      <c r="Q306" s="227"/>
      <c r="R306" s="227"/>
      <c r="S306" s="227"/>
      <c r="T306" s="227"/>
      <c r="U306" s="227"/>
      <c r="V306" s="227"/>
      <c r="W306" s="227"/>
      <c r="X306" s="210"/>
      <c r="Y306" s="210"/>
      <c r="Z306" s="210"/>
      <c r="AA306" s="210"/>
      <c r="AB306" s="210"/>
      <c r="AC306" s="210"/>
      <c r="AD306" s="210"/>
      <c r="AE306" s="210"/>
      <c r="AF306" s="210"/>
      <c r="AG306" s="210"/>
      <c r="AH306" s="210"/>
      <c r="AI306" s="210"/>
      <c r="AJ306" s="210"/>
      <c r="AK306" s="210"/>
    </row>
    <row r="307" spans="1:37" s="211" customFormat="1" ht="15.75" hidden="1" customHeight="1">
      <c r="A307" s="130"/>
      <c r="B307" s="213"/>
      <c r="C307" s="229"/>
      <c r="D307" s="229"/>
      <c r="E307" s="230"/>
      <c r="F307" s="209"/>
      <c r="G307" s="227"/>
      <c r="H307" s="227"/>
      <c r="I307" s="227"/>
      <c r="J307" s="227"/>
      <c r="K307" s="227"/>
      <c r="L307" s="227"/>
      <c r="M307" s="227"/>
      <c r="N307" s="227"/>
      <c r="O307" s="227"/>
      <c r="P307" s="227"/>
      <c r="Q307" s="227"/>
      <c r="R307" s="227"/>
      <c r="S307" s="227"/>
      <c r="T307" s="227"/>
      <c r="U307" s="227"/>
      <c r="V307" s="227"/>
      <c r="W307" s="227"/>
      <c r="X307" s="210"/>
      <c r="Y307" s="210"/>
      <c r="Z307" s="210"/>
      <c r="AA307" s="210"/>
      <c r="AB307" s="210"/>
      <c r="AC307" s="210"/>
      <c r="AD307" s="210"/>
      <c r="AE307" s="210"/>
      <c r="AF307" s="210"/>
      <c r="AG307" s="210"/>
      <c r="AH307" s="210"/>
      <c r="AI307" s="210"/>
      <c r="AJ307" s="210"/>
      <c r="AK307" s="210"/>
    </row>
    <row r="308" spans="1:37" s="211" customFormat="1" ht="15.75" hidden="1" customHeight="1">
      <c r="A308" s="130"/>
      <c r="B308" s="213"/>
      <c r="C308" s="229"/>
      <c r="D308" s="229"/>
      <c r="E308" s="230"/>
      <c r="F308" s="209" t="e">
        <f>COUNTIF(#REF!,"=N")</f>
        <v>#REF!</v>
      </c>
      <c r="G308" s="227"/>
      <c r="H308" s="227"/>
      <c r="I308" s="227"/>
      <c r="J308" s="227"/>
      <c r="K308" s="227"/>
      <c r="L308" s="227"/>
      <c r="M308" s="227"/>
      <c r="N308" s="227"/>
      <c r="O308" s="227"/>
      <c r="P308" s="227"/>
      <c r="Q308" s="227"/>
      <c r="R308" s="227"/>
      <c r="S308" s="227"/>
      <c r="T308" s="227"/>
      <c r="U308" s="227"/>
      <c r="V308" s="227"/>
      <c r="W308" s="227"/>
      <c r="X308" s="210"/>
      <c r="Y308" s="210"/>
      <c r="Z308" s="210"/>
      <c r="AA308" s="210"/>
      <c r="AB308" s="210"/>
      <c r="AC308" s="210"/>
      <c r="AD308" s="210"/>
      <c r="AE308" s="210"/>
      <c r="AF308" s="210"/>
      <c r="AG308" s="210"/>
      <c r="AH308" s="210"/>
      <c r="AI308" s="210"/>
      <c r="AJ308" s="210"/>
      <c r="AK308" s="210"/>
    </row>
    <row r="309" spans="1:37" s="211" customFormat="1" ht="15.75" hidden="1" customHeight="1">
      <c r="A309" s="130"/>
      <c r="B309" s="213"/>
      <c r="C309" s="229"/>
      <c r="D309" s="229"/>
      <c r="E309" s="230"/>
      <c r="F309" s="209"/>
      <c r="G309" s="227"/>
      <c r="H309" s="227"/>
      <c r="I309" s="227"/>
      <c r="J309" s="227"/>
      <c r="K309" s="227"/>
      <c r="L309" s="227"/>
      <c r="M309" s="227"/>
      <c r="N309" s="227"/>
      <c r="O309" s="227"/>
      <c r="P309" s="227"/>
      <c r="Q309" s="227"/>
      <c r="R309" s="227"/>
      <c r="S309" s="227"/>
      <c r="T309" s="227"/>
      <c r="U309" s="227"/>
      <c r="V309" s="227"/>
      <c r="W309" s="227"/>
      <c r="X309" s="210"/>
      <c r="Y309" s="210"/>
      <c r="Z309" s="210"/>
      <c r="AA309" s="210"/>
      <c r="AB309" s="210"/>
      <c r="AC309" s="210"/>
      <c r="AD309" s="210"/>
      <c r="AE309" s="210"/>
      <c r="AF309" s="210"/>
      <c r="AG309" s="210"/>
      <c r="AH309" s="210"/>
      <c r="AI309" s="210"/>
      <c r="AJ309" s="210"/>
      <c r="AK309" s="210"/>
    </row>
    <row r="310" spans="1:37" s="211" customFormat="1" ht="15.75" hidden="1" customHeight="1">
      <c r="A310" s="130"/>
      <c r="B310" s="213"/>
      <c r="C310" s="229"/>
      <c r="D310" s="229"/>
      <c r="E310" s="230"/>
      <c r="F310" s="209"/>
      <c r="G310" s="227"/>
      <c r="H310" s="227"/>
      <c r="I310" s="227"/>
      <c r="J310" s="227"/>
      <c r="K310" s="227"/>
      <c r="L310" s="227"/>
      <c r="M310" s="227"/>
      <c r="N310" s="227"/>
      <c r="O310" s="227"/>
      <c r="P310" s="227"/>
      <c r="Q310" s="227"/>
      <c r="R310" s="227"/>
      <c r="S310" s="227"/>
      <c r="T310" s="227"/>
      <c r="U310" s="227"/>
      <c r="V310" s="227"/>
      <c r="W310" s="227"/>
      <c r="X310" s="210"/>
      <c r="Y310" s="210"/>
      <c r="Z310" s="210"/>
      <c r="AA310" s="210"/>
      <c r="AB310" s="210"/>
      <c r="AC310" s="210"/>
      <c r="AD310" s="210"/>
      <c r="AE310" s="210"/>
      <c r="AF310" s="210"/>
      <c r="AG310" s="210"/>
      <c r="AH310" s="210"/>
      <c r="AI310" s="210"/>
      <c r="AJ310" s="210"/>
      <c r="AK310" s="210"/>
    </row>
    <row r="311" spans="1:37" s="211" customFormat="1" ht="15.75" hidden="1" customHeight="1">
      <c r="A311" s="130"/>
      <c r="B311" s="213"/>
      <c r="C311" s="229"/>
      <c r="D311" s="229"/>
      <c r="E311" s="230"/>
      <c r="F311" s="209"/>
      <c r="G311" s="227"/>
      <c r="H311" s="227"/>
      <c r="I311" s="227"/>
      <c r="J311" s="227"/>
      <c r="K311" s="227"/>
      <c r="L311" s="227"/>
      <c r="M311" s="227"/>
      <c r="N311" s="227"/>
      <c r="O311" s="227"/>
      <c r="P311" s="227"/>
      <c r="Q311" s="227"/>
      <c r="R311" s="227"/>
      <c r="S311" s="227"/>
      <c r="T311" s="227"/>
      <c r="U311" s="227"/>
      <c r="V311" s="227"/>
      <c r="W311" s="227"/>
      <c r="X311" s="210"/>
      <c r="Y311" s="210"/>
      <c r="Z311" s="210"/>
      <c r="AA311" s="210"/>
      <c r="AB311" s="210"/>
      <c r="AC311" s="210"/>
      <c r="AD311" s="210"/>
      <c r="AE311" s="210"/>
      <c r="AF311" s="210"/>
      <c r="AG311" s="210"/>
      <c r="AH311" s="210"/>
      <c r="AI311" s="210"/>
      <c r="AJ311" s="210"/>
      <c r="AK311" s="210"/>
    </row>
    <row r="312" spans="1:37" s="211" customFormat="1" ht="15.75" hidden="1" customHeight="1">
      <c r="A312" s="130"/>
      <c r="B312" s="213"/>
      <c r="C312" s="229"/>
      <c r="D312" s="229"/>
      <c r="E312" s="230"/>
      <c r="F312" s="209" t="e">
        <f>COUNTIF(#REF!,"=N")</f>
        <v>#REF!</v>
      </c>
      <c r="G312" s="227"/>
      <c r="H312" s="227"/>
      <c r="I312" s="227"/>
      <c r="J312" s="227"/>
      <c r="K312" s="227"/>
      <c r="L312" s="227"/>
      <c r="M312" s="227"/>
      <c r="N312" s="227"/>
      <c r="O312" s="227"/>
      <c r="P312" s="227"/>
      <c r="Q312" s="227"/>
      <c r="R312" s="227"/>
      <c r="S312" s="227"/>
      <c r="T312" s="227"/>
      <c r="U312" s="227"/>
      <c r="V312" s="227"/>
      <c r="W312" s="227"/>
      <c r="X312" s="210"/>
      <c r="Y312" s="210"/>
      <c r="Z312" s="210"/>
      <c r="AA312" s="210"/>
      <c r="AB312" s="210"/>
      <c r="AC312" s="210"/>
      <c r="AD312" s="210"/>
      <c r="AE312" s="210"/>
      <c r="AF312" s="210"/>
      <c r="AG312" s="210"/>
      <c r="AH312" s="210"/>
      <c r="AI312" s="210"/>
      <c r="AJ312" s="210"/>
      <c r="AK312" s="210"/>
    </row>
    <row r="313" spans="1:37" s="211" customFormat="1" ht="15.75" hidden="1" customHeight="1">
      <c r="A313" s="130"/>
      <c r="B313" s="213"/>
      <c r="C313" s="229"/>
      <c r="D313" s="229"/>
      <c r="E313" s="230"/>
      <c r="F313" s="209"/>
      <c r="G313" s="227"/>
      <c r="H313" s="227"/>
      <c r="I313" s="227"/>
      <c r="J313" s="227"/>
      <c r="K313" s="227"/>
      <c r="L313" s="227"/>
      <c r="M313" s="227"/>
      <c r="N313" s="227"/>
      <c r="O313" s="227"/>
      <c r="P313" s="227"/>
      <c r="Q313" s="227"/>
      <c r="R313" s="227"/>
      <c r="S313" s="227"/>
      <c r="T313" s="227"/>
      <c r="U313" s="227"/>
      <c r="V313" s="227"/>
      <c r="W313" s="227"/>
      <c r="X313" s="210"/>
      <c r="Y313" s="210"/>
      <c r="Z313" s="210"/>
      <c r="AA313" s="210"/>
      <c r="AB313" s="210"/>
      <c r="AC313" s="210"/>
      <c r="AD313" s="210"/>
      <c r="AE313" s="210"/>
      <c r="AF313" s="210"/>
      <c r="AG313" s="210"/>
      <c r="AH313" s="210"/>
      <c r="AI313" s="210"/>
      <c r="AJ313" s="210"/>
      <c r="AK313" s="210"/>
    </row>
    <row r="314" spans="1:37" s="211" customFormat="1" ht="15.75" customHeight="1">
      <c r="A314" s="130"/>
      <c r="B314" s="213"/>
      <c r="C314" s="229"/>
      <c r="D314" s="229"/>
      <c r="E314" s="230"/>
      <c r="F314" s="209"/>
      <c r="G314" s="227"/>
      <c r="H314" s="227"/>
      <c r="I314" s="227"/>
      <c r="J314" s="227"/>
      <c r="K314" s="227"/>
      <c r="L314" s="227"/>
      <c r="M314" s="227"/>
      <c r="N314" s="227"/>
      <c r="O314" s="227"/>
      <c r="P314" s="227"/>
      <c r="Q314" s="227"/>
      <c r="R314" s="227"/>
      <c r="S314" s="227"/>
      <c r="T314" s="227"/>
      <c r="U314" s="227"/>
      <c r="V314" s="227"/>
      <c r="W314" s="227"/>
      <c r="X314" s="210"/>
      <c r="Y314" s="210"/>
      <c r="Z314" s="210"/>
      <c r="AA314" s="210"/>
      <c r="AB314" s="210"/>
      <c r="AC314" s="210"/>
      <c r="AD314" s="210"/>
      <c r="AE314" s="210"/>
      <c r="AF314" s="210"/>
      <c r="AG314" s="210"/>
      <c r="AH314" s="210"/>
      <c r="AI314" s="210"/>
      <c r="AJ314" s="210"/>
      <c r="AK314" s="210"/>
    </row>
    <row r="315" spans="1:37" s="211" customFormat="1" ht="15.75" customHeight="1">
      <c r="A315" s="130"/>
      <c r="B315" s="213"/>
      <c r="C315" s="229"/>
      <c r="D315" s="229"/>
      <c r="E315" s="230"/>
      <c r="F315" s="209"/>
      <c r="G315" s="227"/>
      <c r="H315" s="227"/>
      <c r="I315" s="227"/>
      <c r="J315" s="227"/>
      <c r="K315" s="227"/>
      <c r="L315" s="227"/>
      <c r="M315" s="227"/>
      <c r="N315" s="227"/>
      <c r="O315" s="227"/>
      <c r="P315" s="227"/>
      <c r="Q315" s="227"/>
      <c r="R315" s="227"/>
      <c r="S315" s="227"/>
      <c r="T315" s="227"/>
      <c r="U315" s="227"/>
      <c r="V315" s="227"/>
      <c r="W315" s="227"/>
      <c r="X315" s="210"/>
      <c r="Y315" s="210"/>
      <c r="Z315" s="210"/>
      <c r="AA315" s="210"/>
      <c r="AB315" s="210"/>
      <c r="AC315" s="210"/>
      <c r="AD315" s="210"/>
      <c r="AE315" s="210"/>
      <c r="AF315" s="210"/>
      <c r="AG315" s="210"/>
      <c r="AH315" s="210"/>
      <c r="AI315" s="210"/>
      <c r="AJ315" s="210"/>
      <c r="AK315" s="210"/>
    </row>
    <row r="316" spans="1:37" s="211" customFormat="1" ht="15.75" customHeight="1">
      <c r="A316" s="130"/>
      <c r="B316" s="213"/>
      <c r="C316" s="229"/>
      <c r="D316" s="229"/>
      <c r="E316" s="230"/>
      <c r="F316" s="209"/>
      <c r="G316" s="227"/>
      <c r="H316" s="227"/>
      <c r="I316" s="227"/>
      <c r="J316" s="227"/>
      <c r="K316" s="227"/>
      <c r="L316" s="227"/>
      <c r="M316" s="227"/>
      <c r="N316" s="227"/>
      <c r="O316" s="227"/>
      <c r="P316" s="227"/>
      <c r="Q316" s="227"/>
      <c r="R316" s="227"/>
      <c r="S316" s="227"/>
      <c r="T316" s="227"/>
      <c r="U316" s="227"/>
      <c r="V316" s="227"/>
      <c r="W316" s="227"/>
      <c r="X316" s="210"/>
      <c r="Y316" s="210"/>
      <c r="Z316" s="210"/>
      <c r="AA316" s="210"/>
      <c r="AB316" s="210"/>
      <c r="AC316" s="210"/>
      <c r="AD316" s="210"/>
      <c r="AE316" s="210"/>
      <c r="AF316" s="210"/>
      <c r="AG316" s="210"/>
      <c r="AH316" s="210"/>
      <c r="AI316" s="210"/>
      <c r="AJ316" s="210"/>
      <c r="AK316" s="210"/>
    </row>
    <row r="317" spans="1:37" s="211" customFormat="1" ht="15.75" customHeight="1">
      <c r="A317" s="130"/>
      <c r="B317" s="213"/>
      <c r="C317" s="229"/>
      <c r="D317" s="229"/>
      <c r="E317" s="230"/>
      <c r="F317" s="209" t="e">
        <f>COUNTIF(#REF!,"=N")</f>
        <v>#REF!</v>
      </c>
      <c r="G317" s="227"/>
      <c r="H317" s="227"/>
      <c r="I317" s="227"/>
      <c r="J317" s="227"/>
      <c r="K317" s="227"/>
      <c r="L317" s="227"/>
      <c r="M317" s="227"/>
      <c r="N317" s="227"/>
      <c r="O317" s="227"/>
      <c r="P317" s="227"/>
      <c r="Q317" s="227"/>
      <c r="R317" s="227"/>
      <c r="S317" s="227"/>
      <c r="T317" s="227"/>
      <c r="U317" s="227"/>
      <c r="V317" s="227"/>
      <c r="W317" s="227"/>
      <c r="X317" s="210"/>
      <c r="Y317" s="210"/>
      <c r="Z317" s="210"/>
      <c r="AA317" s="210"/>
      <c r="AB317" s="210"/>
      <c r="AC317" s="210"/>
      <c r="AD317" s="210"/>
      <c r="AE317" s="210"/>
      <c r="AF317" s="210"/>
      <c r="AG317" s="210"/>
      <c r="AH317" s="210"/>
      <c r="AI317" s="210"/>
      <c r="AJ317" s="210"/>
      <c r="AK317" s="210"/>
    </row>
    <row r="318" spans="1:37" s="211" customFormat="1">
      <c r="A318" s="130"/>
      <c r="B318" s="213"/>
      <c r="C318" s="229"/>
      <c r="D318" s="229"/>
      <c r="E318" s="230"/>
      <c r="F318" s="209"/>
      <c r="G318" s="227"/>
      <c r="H318" s="227"/>
      <c r="I318" s="227"/>
      <c r="J318" s="227"/>
      <c r="K318" s="227"/>
      <c r="L318" s="227"/>
      <c r="M318" s="227"/>
      <c r="N318" s="227"/>
      <c r="O318" s="227"/>
      <c r="P318" s="227"/>
      <c r="Q318" s="227"/>
      <c r="R318" s="227"/>
      <c r="S318" s="227"/>
      <c r="T318" s="227"/>
      <c r="U318" s="227"/>
      <c r="V318" s="227"/>
      <c r="W318" s="227"/>
      <c r="X318" s="210"/>
      <c r="Y318" s="210"/>
      <c r="Z318" s="210"/>
      <c r="AA318" s="210"/>
      <c r="AB318" s="210"/>
      <c r="AC318" s="210"/>
      <c r="AD318" s="210"/>
      <c r="AE318" s="210"/>
      <c r="AF318" s="210"/>
      <c r="AG318" s="210"/>
      <c r="AH318" s="210"/>
      <c r="AI318" s="210"/>
      <c r="AJ318" s="210"/>
      <c r="AK318" s="210"/>
    </row>
    <row r="319" spans="1:37" s="211" customFormat="1">
      <c r="A319" s="130"/>
      <c r="B319" s="213"/>
      <c r="C319" s="229" t="e">
        <f>COUNTIF(#REF!,"=P")</f>
        <v>#REF!</v>
      </c>
      <c r="D319" s="229" t="e">
        <f>COUNTIF(#REF!,"=D")</f>
        <v>#REF!</v>
      </c>
      <c r="E319" s="230" t="e">
        <f>COUNTIF(#REF!,"=I")</f>
        <v>#REF!</v>
      </c>
      <c r="F319" s="209" t="e">
        <f>COUNTIF(#REF!,"=N")</f>
        <v>#REF!</v>
      </c>
      <c r="G319" s="227"/>
      <c r="H319" s="227"/>
      <c r="I319" s="227"/>
      <c r="J319" s="227"/>
      <c r="K319" s="227"/>
      <c r="L319" s="227"/>
      <c r="M319" s="227"/>
      <c r="N319" s="227"/>
      <c r="O319" s="227"/>
      <c r="P319" s="227"/>
      <c r="Q319" s="227"/>
      <c r="R319" s="227"/>
      <c r="S319" s="227"/>
      <c r="T319" s="227"/>
      <c r="U319" s="227"/>
      <c r="V319" s="227"/>
      <c r="W319" s="227"/>
      <c r="X319" s="210"/>
      <c r="Y319" s="210"/>
      <c r="Z319" s="210"/>
      <c r="AA319" s="210"/>
      <c r="AB319" s="210"/>
      <c r="AC319" s="210"/>
      <c r="AD319" s="210"/>
      <c r="AE319" s="210"/>
      <c r="AF319" s="210"/>
      <c r="AG319" s="210"/>
      <c r="AH319" s="210"/>
      <c r="AI319" s="210"/>
      <c r="AJ319" s="210"/>
      <c r="AK319" s="210"/>
    </row>
    <row r="320" spans="1:37" s="211" customFormat="1">
      <c r="A320" s="130"/>
      <c r="B320" s="213"/>
      <c r="C320" s="229"/>
      <c r="D320" s="229"/>
      <c r="E320" s="230"/>
      <c r="F320" s="209"/>
      <c r="G320" s="227"/>
      <c r="H320" s="227"/>
      <c r="I320" s="227"/>
      <c r="J320" s="227"/>
      <c r="K320" s="227"/>
      <c r="L320" s="227"/>
      <c r="M320" s="227"/>
      <c r="N320" s="227"/>
      <c r="O320" s="227"/>
      <c r="P320" s="227"/>
      <c r="Q320" s="227"/>
      <c r="R320" s="227"/>
      <c r="S320" s="227"/>
      <c r="T320" s="227"/>
      <c r="U320" s="227"/>
      <c r="V320" s="227"/>
      <c r="W320" s="227"/>
      <c r="X320" s="210"/>
      <c r="Y320" s="210"/>
      <c r="Z320" s="210"/>
      <c r="AA320" s="210"/>
      <c r="AB320" s="210"/>
      <c r="AC320" s="210"/>
      <c r="AD320" s="210"/>
      <c r="AE320" s="210"/>
      <c r="AF320" s="210"/>
      <c r="AG320" s="210"/>
      <c r="AH320" s="210"/>
      <c r="AI320" s="210"/>
      <c r="AJ320" s="210"/>
      <c r="AK320" s="210"/>
    </row>
    <row r="321" spans="1:37" s="211" customFormat="1">
      <c r="A321" s="130"/>
      <c r="B321" s="213"/>
      <c r="C321" s="229"/>
      <c r="D321" s="229"/>
      <c r="E321" s="230"/>
      <c r="F321" s="209"/>
      <c r="G321" s="227"/>
      <c r="H321" s="227"/>
      <c r="I321" s="227"/>
      <c r="J321" s="227"/>
      <c r="K321" s="227"/>
      <c r="L321" s="227"/>
      <c r="M321" s="227"/>
      <c r="N321" s="227"/>
      <c r="O321" s="227"/>
      <c r="P321" s="227"/>
      <c r="Q321" s="227"/>
      <c r="R321" s="227"/>
      <c r="S321" s="227"/>
      <c r="T321" s="227"/>
      <c r="U321" s="227"/>
      <c r="V321" s="227"/>
      <c r="W321" s="227"/>
      <c r="X321" s="210"/>
      <c r="Y321" s="210"/>
      <c r="Z321" s="210"/>
      <c r="AA321" s="210"/>
      <c r="AB321" s="210"/>
      <c r="AC321" s="210"/>
      <c r="AD321" s="210"/>
      <c r="AE321" s="210"/>
      <c r="AF321" s="210"/>
      <c r="AG321" s="210"/>
      <c r="AH321" s="210"/>
      <c r="AI321" s="210"/>
      <c r="AJ321" s="210"/>
      <c r="AK321" s="210"/>
    </row>
    <row r="322" spans="1:37" s="211" customFormat="1">
      <c r="A322" s="130"/>
      <c r="B322" s="213"/>
      <c r="C322" s="229"/>
      <c r="D322" s="229"/>
      <c r="E322" s="230"/>
      <c r="F322" s="209"/>
      <c r="G322" s="227"/>
      <c r="H322" s="227"/>
      <c r="I322" s="227"/>
      <c r="J322" s="227"/>
      <c r="K322" s="227"/>
      <c r="L322" s="227"/>
      <c r="M322" s="227"/>
      <c r="N322" s="227"/>
      <c r="O322" s="227"/>
      <c r="P322" s="227"/>
      <c r="Q322" s="227"/>
      <c r="R322" s="227"/>
      <c r="S322" s="227"/>
      <c r="T322" s="227"/>
      <c r="U322" s="227"/>
      <c r="V322" s="227"/>
      <c r="W322" s="227"/>
      <c r="X322" s="210"/>
      <c r="Y322" s="210"/>
      <c r="Z322" s="210"/>
      <c r="AA322" s="210"/>
      <c r="AB322" s="210"/>
      <c r="AC322" s="210"/>
      <c r="AD322" s="210"/>
      <c r="AE322" s="210"/>
      <c r="AF322" s="210"/>
      <c r="AG322" s="210"/>
      <c r="AH322" s="210"/>
      <c r="AI322" s="210"/>
      <c r="AJ322" s="210"/>
      <c r="AK322" s="210"/>
    </row>
    <row r="323" spans="1:37" s="211" customFormat="1">
      <c r="A323" s="130"/>
      <c r="B323" s="213"/>
      <c r="C323" s="229" t="e">
        <f>COUNTIF(#REF!,"=P")</f>
        <v>#REF!</v>
      </c>
      <c r="D323" s="229" t="e">
        <f>COUNTIF(#REF!,"=D")</f>
        <v>#REF!</v>
      </c>
      <c r="E323" s="230" t="e">
        <f>COUNTIF(#REF!,"=I")</f>
        <v>#REF!</v>
      </c>
      <c r="F323" s="209" t="e">
        <f>COUNTIF(#REF!,"=N")</f>
        <v>#REF!</v>
      </c>
      <c r="G323" s="227"/>
      <c r="H323" s="227"/>
      <c r="I323" s="227"/>
      <c r="J323" s="227"/>
      <c r="K323" s="227"/>
      <c r="L323" s="227"/>
      <c r="M323" s="227"/>
      <c r="N323" s="227"/>
      <c r="O323" s="227"/>
      <c r="P323" s="227"/>
      <c r="Q323" s="227"/>
      <c r="R323" s="227"/>
      <c r="S323" s="227"/>
      <c r="T323" s="227"/>
      <c r="U323" s="227"/>
      <c r="V323" s="227"/>
      <c r="W323" s="227"/>
      <c r="X323" s="210"/>
      <c r="Y323" s="210"/>
      <c r="Z323" s="210"/>
      <c r="AA323" s="210"/>
      <c r="AB323" s="210"/>
      <c r="AC323" s="210"/>
      <c r="AD323" s="210"/>
      <c r="AE323" s="210"/>
      <c r="AF323" s="210"/>
      <c r="AG323" s="210"/>
      <c r="AH323" s="210"/>
      <c r="AI323" s="210"/>
      <c r="AJ323" s="210"/>
      <c r="AK323" s="210"/>
    </row>
    <row r="324" spans="1:37" s="211" customFormat="1">
      <c r="A324" s="130"/>
      <c r="B324" s="213"/>
      <c r="C324" s="229"/>
      <c r="D324" s="229"/>
      <c r="E324" s="230"/>
      <c r="F324" s="209"/>
      <c r="G324" s="227"/>
      <c r="H324" s="227"/>
      <c r="I324" s="227"/>
      <c r="J324" s="227"/>
      <c r="K324" s="227"/>
      <c r="L324" s="227"/>
      <c r="M324" s="227"/>
      <c r="N324" s="227"/>
      <c r="O324" s="227"/>
      <c r="P324" s="227"/>
      <c r="Q324" s="227"/>
      <c r="R324" s="227"/>
      <c r="S324" s="227"/>
      <c r="T324" s="227"/>
      <c r="U324" s="227"/>
      <c r="V324" s="227"/>
      <c r="W324" s="227"/>
      <c r="X324" s="210"/>
      <c r="Y324" s="210"/>
      <c r="Z324" s="210"/>
      <c r="AA324" s="210"/>
      <c r="AB324" s="210"/>
      <c r="AC324" s="210"/>
      <c r="AD324" s="210"/>
      <c r="AE324" s="210"/>
      <c r="AF324" s="210"/>
      <c r="AG324" s="210"/>
      <c r="AH324" s="210"/>
      <c r="AI324" s="210"/>
      <c r="AJ324" s="210"/>
      <c r="AK324" s="210"/>
    </row>
    <row r="325" spans="1:37" s="211" customFormat="1">
      <c r="A325" s="130"/>
      <c r="B325" s="213"/>
      <c r="C325" s="229"/>
      <c r="D325" s="229"/>
      <c r="E325" s="230"/>
      <c r="F325" s="209"/>
      <c r="G325" s="227"/>
      <c r="H325" s="227"/>
      <c r="I325" s="227"/>
      <c r="J325" s="227"/>
      <c r="K325" s="227"/>
      <c r="L325" s="227"/>
      <c r="M325" s="227"/>
      <c r="N325" s="227"/>
      <c r="O325" s="227"/>
      <c r="P325" s="227"/>
      <c r="Q325" s="227"/>
      <c r="R325" s="227"/>
      <c r="S325" s="227"/>
      <c r="T325" s="227"/>
      <c r="U325" s="227"/>
      <c r="V325" s="227"/>
      <c r="W325" s="227"/>
      <c r="X325" s="210"/>
      <c r="Y325" s="210"/>
      <c r="Z325" s="210"/>
      <c r="AA325" s="210"/>
      <c r="AB325" s="210"/>
      <c r="AC325" s="210"/>
      <c r="AD325" s="210"/>
      <c r="AE325" s="210"/>
      <c r="AF325" s="210"/>
      <c r="AG325" s="210"/>
      <c r="AH325" s="210"/>
      <c r="AI325" s="210"/>
      <c r="AJ325" s="210"/>
      <c r="AK325" s="210"/>
    </row>
    <row r="326" spans="1:37" s="211" customFormat="1">
      <c r="A326" s="130"/>
      <c r="B326" s="213"/>
      <c r="C326" s="229"/>
      <c r="D326" s="229"/>
      <c r="E326" s="230"/>
      <c r="F326" s="209"/>
      <c r="G326" s="227"/>
      <c r="H326" s="227"/>
      <c r="I326" s="227"/>
      <c r="J326" s="227"/>
      <c r="K326" s="227"/>
      <c r="L326" s="227"/>
      <c r="M326" s="227"/>
      <c r="N326" s="227"/>
      <c r="O326" s="227"/>
      <c r="P326" s="227"/>
      <c r="Q326" s="227"/>
      <c r="R326" s="227"/>
      <c r="S326" s="227"/>
      <c r="T326" s="227"/>
      <c r="U326" s="227"/>
      <c r="V326" s="227"/>
      <c r="W326" s="227"/>
      <c r="X326" s="210"/>
      <c r="Y326" s="210"/>
      <c r="Z326" s="210"/>
      <c r="AA326" s="210"/>
      <c r="AB326" s="210"/>
      <c r="AC326" s="210"/>
      <c r="AD326" s="210"/>
      <c r="AE326" s="210"/>
      <c r="AF326" s="210"/>
      <c r="AG326" s="210"/>
      <c r="AH326" s="210"/>
      <c r="AI326" s="210"/>
      <c r="AJ326" s="210"/>
      <c r="AK326" s="210"/>
    </row>
    <row r="327" spans="1:37" s="211" customFormat="1">
      <c r="A327" s="130"/>
      <c r="B327" s="213"/>
      <c r="C327" s="229"/>
      <c r="D327" s="229"/>
      <c r="E327" s="230"/>
      <c r="F327" s="209"/>
      <c r="G327" s="227"/>
      <c r="H327" s="227"/>
      <c r="I327" s="227"/>
      <c r="J327" s="227"/>
      <c r="K327" s="227"/>
      <c r="L327" s="227"/>
      <c r="M327" s="227"/>
      <c r="N327" s="227"/>
      <c r="O327" s="227"/>
      <c r="P327" s="227"/>
      <c r="Q327" s="227"/>
      <c r="R327" s="227"/>
      <c r="S327" s="227"/>
      <c r="T327" s="227"/>
      <c r="U327" s="227"/>
      <c r="V327" s="227"/>
      <c r="W327" s="227"/>
      <c r="X327" s="210"/>
      <c r="Y327" s="210"/>
      <c r="Z327" s="210"/>
      <c r="AA327" s="210"/>
      <c r="AB327" s="210"/>
      <c r="AC327" s="210"/>
      <c r="AD327" s="210"/>
      <c r="AE327" s="210"/>
      <c r="AF327" s="210"/>
      <c r="AG327" s="210"/>
      <c r="AH327" s="210"/>
      <c r="AI327" s="210"/>
      <c r="AJ327" s="210"/>
      <c r="AK327" s="210"/>
    </row>
    <row r="328" spans="1:37" s="211" customFormat="1" ht="15.75" thickBot="1">
      <c r="A328" s="131"/>
      <c r="B328" s="215"/>
      <c r="C328" s="231"/>
      <c r="D328" s="231"/>
      <c r="E328" s="232"/>
      <c r="F328" s="209"/>
      <c r="G328" s="227"/>
      <c r="H328" s="227"/>
      <c r="I328" s="227"/>
      <c r="J328" s="227"/>
      <c r="K328" s="227"/>
      <c r="L328" s="227"/>
      <c r="M328" s="227"/>
      <c r="N328" s="227"/>
      <c r="O328" s="227"/>
      <c r="P328" s="227"/>
      <c r="Q328" s="227"/>
      <c r="R328" s="227"/>
      <c r="S328" s="227"/>
      <c r="T328" s="227"/>
      <c r="U328" s="227"/>
      <c r="V328" s="227"/>
      <c r="W328" s="227"/>
      <c r="X328" s="210"/>
      <c r="Y328" s="210"/>
      <c r="Z328" s="210"/>
      <c r="AA328" s="210"/>
      <c r="AB328" s="210"/>
      <c r="AC328" s="210"/>
      <c r="AD328" s="210"/>
      <c r="AE328" s="210"/>
      <c r="AF328" s="210"/>
      <c r="AG328" s="210"/>
      <c r="AH328" s="210"/>
      <c r="AI328" s="210"/>
      <c r="AJ328" s="210"/>
      <c r="AK328" s="210"/>
    </row>
    <row r="329" spans="1:37" ht="12.75">
      <c r="A329" s="10"/>
      <c r="B329" s="212"/>
    </row>
    <row r="330" spans="1:37" ht="12.75">
      <c r="A330" s="10"/>
      <c r="B330" s="212"/>
    </row>
    <row r="331" spans="1:37" ht="12.75">
      <c r="A331" s="10"/>
      <c r="B331" s="212"/>
    </row>
    <row r="332" spans="1:37" ht="12.75">
      <c r="A332" s="10"/>
      <c r="B332" s="212"/>
    </row>
    <row r="333" spans="1:37" ht="12.75">
      <c r="A333" s="10"/>
      <c r="B333" s="212"/>
    </row>
    <row r="334" spans="1:37" ht="12.75">
      <c r="A334" s="10"/>
      <c r="B334" s="10"/>
    </row>
    <row r="335" spans="1:37" ht="12.75">
      <c r="A335" s="10"/>
      <c r="B335" s="10"/>
    </row>
    <row r="336" spans="1:37" ht="12.75">
      <c r="A336" s="10"/>
      <c r="B336" s="10"/>
    </row>
    <row r="337" spans="1:2" ht="12.75">
      <c r="A337" s="10"/>
      <c r="B337" s="10"/>
    </row>
    <row r="338" spans="1:2" ht="12.75">
      <c r="A338" s="10"/>
      <c r="B338" s="10"/>
    </row>
    <row r="339" spans="1:2" ht="12.75">
      <c r="A339" s="10"/>
      <c r="B339" s="10"/>
    </row>
    <row r="340" spans="1:2" ht="12.75">
      <c r="A340" s="10"/>
      <c r="B340" s="10"/>
    </row>
    <row r="341" spans="1:2" ht="12.75">
      <c r="A341" s="10"/>
      <c r="B341" s="10"/>
    </row>
    <row r="342" spans="1:2" ht="12.75">
      <c r="A342" s="10"/>
      <c r="B342" s="10"/>
    </row>
    <row r="343" spans="1:2" ht="12.75">
      <c r="A343" s="10"/>
      <c r="B343" s="10"/>
    </row>
    <row r="344" spans="1:2" ht="12.75">
      <c r="A344" s="10"/>
      <c r="B344" s="10"/>
    </row>
    <row r="345" spans="1:2" ht="12.75">
      <c r="A345" s="10"/>
      <c r="B345" s="10"/>
    </row>
    <row r="346" spans="1:2" ht="12.75">
      <c r="A346" s="10"/>
      <c r="B346" s="10"/>
    </row>
    <row r="347" spans="1:2" ht="12.75">
      <c r="A347" s="10"/>
      <c r="B347" s="10"/>
    </row>
    <row r="348" spans="1:2" ht="12.75">
      <c r="A348" s="10"/>
      <c r="B348" s="10"/>
    </row>
    <row r="349" spans="1:2" ht="12.75">
      <c r="A349" s="10"/>
      <c r="B349" s="10"/>
    </row>
    <row r="350" spans="1:2" ht="12.75">
      <c r="A350" s="10"/>
      <c r="B350" s="10"/>
    </row>
    <row r="351" spans="1:2" ht="12.75">
      <c r="A351" s="10"/>
      <c r="B351" s="10"/>
    </row>
    <row r="352" spans="1:2" ht="12.75">
      <c r="A352" s="10"/>
      <c r="B352" s="10"/>
    </row>
    <row r="353" spans="1:2" ht="12.75">
      <c r="A353" s="10"/>
      <c r="B353" s="10"/>
    </row>
    <row r="354" spans="1:2" ht="12.75">
      <c r="A354" s="10"/>
      <c r="B354" s="10"/>
    </row>
    <row r="355" spans="1:2" ht="12.75">
      <c r="A355" s="10"/>
      <c r="B355" s="10"/>
    </row>
    <row r="356" spans="1:2" ht="12.75">
      <c r="A356" s="10"/>
      <c r="B356" s="10"/>
    </row>
    <row r="357" spans="1:2" ht="12.75">
      <c r="A357" s="10"/>
      <c r="B357" s="10"/>
    </row>
    <row r="358" spans="1:2" ht="12.75">
      <c r="A358" s="10"/>
      <c r="B358" s="10"/>
    </row>
    <row r="359" spans="1:2" ht="12.75">
      <c r="A359" s="10"/>
      <c r="B359" s="10"/>
    </row>
    <row r="360" spans="1:2" ht="12.75">
      <c r="A360" s="10"/>
      <c r="B360" s="10"/>
    </row>
    <row r="361" spans="1:2" ht="12.75">
      <c r="A361" s="10"/>
      <c r="B361" s="10"/>
    </row>
    <row r="362" spans="1:2" ht="12.75">
      <c r="A362" s="10"/>
      <c r="B362" s="10"/>
    </row>
    <row r="363" spans="1:2" ht="12.75">
      <c r="A363" s="10"/>
      <c r="B363" s="10"/>
    </row>
    <row r="364" spans="1:2" ht="12.75">
      <c r="A364" s="10"/>
      <c r="B364" s="10"/>
    </row>
    <row r="365" spans="1:2" ht="12.75">
      <c r="A365" s="10"/>
      <c r="B365" s="10"/>
    </row>
    <row r="366" spans="1:2" ht="12.75">
      <c r="A366" s="10"/>
      <c r="B366" s="10"/>
    </row>
    <row r="367" spans="1:2" ht="12.75">
      <c r="A367" s="10"/>
      <c r="B367" s="10"/>
    </row>
    <row r="368" spans="1:2" ht="12.75">
      <c r="A368" s="10"/>
      <c r="B368" s="10"/>
    </row>
    <row r="369" spans="1:2" ht="12.75">
      <c r="A369" s="10"/>
      <c r="B369" s="10"/>
    </row>
    <row r="370" spans="1:2" ht="12.75">
      <c r="A370" s="10"/>
      <c r="B370" s="10"/>
    </row>
    <row r="371" spans="1:2" ht="12.75">
      <c r="A371" s="10"/>
      <c r="B371" s="10"/>
    </row>
    <row r="372" spans="1:2" ht="12.75">
      <c r="A372" s="10"/>
      <c r="B372" s="10"/>
    </row>
    <row r="373" spans="1:2" ht="12.75">
      <c r="A373" s="10"/>
      <c r="B373" s="10"/>
    </row>
    <row r="374" spans="1:2" ht="12.75">
      <c r="A374" s="10"/>
      <c r="B374" s="10"/>
    </row>
    <row r="375" spans="1:2" ht="12.75">
      <c r="A375" s="10"/>
      <c r="B375" s="10"/>
    </row>
    <row r="376" spans="1:2" ht="12.75">
      <c r="A376" s="10"/>
      <c r="B376" s="10"/>
    </row>
    <row r="377" spans="1:2" ht="12.75">
      <c r="A377" s="10"/>
      <c r="B377" s="10"/>
    </row>
    <row r="378" spans="1:2" ht="12.75">
      <c r="A378" s="10"/>
      <c r="B378" s="10"/>
    </row>
    <row r="379" spans="1:2" ht="12.75">
      <c r="A379" s="10"/>
      <c r="B379" s="10"/>
    </row>
    <row r="380" spans="1:2" ht="12.75">
      <c r="A380" s="10"/>
      <c r="B380" s="10"/>
    </row>
    <row r="381" spans="1:2" ht="12.75">
      <c r="A381" s="10"/>
      <c r="B381" s="10"/>
    </row>
    <row r="382" spans="1:2" ht="12.75">
      <c r="A382" s="10"/>
      <c r="B382" s="10"/>
    </row>
    <row r="383" spans="1:2" ht="12.75">
      <c r="A383" s="10"/>
      <c r="B383" s="10"/>
    </row>
    <row r="384" spans="1:2" ht="12.75">
      <c r="A384" s="10"/>
      <c r="B384" s="10"/>
    </row>
    <row r="385" spans="1:2" ht="12.75">
      <c r="A385" s="10"/>
      <c r="B385" s="10"/>
    </row>
    <row r="386" spans="1:2" ht="12.75">
      <c r="A386" s="10"/>
      <c r="B386" s="10"/>
    </row>
    <row r="387" spans="1:2" ht="12.75">
      <c r="A387" s="10"/>
      <c r="B387" s="10"/>
    </row>
    <row r="388" spans="1:2" ht="12.75">
      <c r="A388" s="10"/>
      <c r="B388" s="10"/>
    </row>
    <row r="389" spans="1:2" ht="12.75">
      <c r="A389" s="10"/>
      <c r="B389" s="10"/>
    </row>
    <row r="390" spans="1:2" ht="12.75">
      <c r="A390" s="10"/>
      <c r="B390" s="10"/>
    </row>
    <row r="391" spans="1:2" ht="12.75">
      <c r="A391" s="10"/>
      <c r="B391" s="10"/>
    </row>
    <row r="392" spans="1:2" ht="12.75">
      <c r="A392" s="10"/>
      <c r="B392" s="10"/>
    </row>
    <row r="393" spans="1:2" ht="12.75">
      <c r="A393" s="10"/>
      <c r="B393" s="10"/>
    </row>
    <row r="394" spans="1:2" ht="12.75">
      <c r="A394" s="10"/>
      <c r="B394" s="10"/>
    </row>
    <row r="395" spans="1:2" ht="12.75">
      <c r="A395" s="10"/>
      <c r="B395" s="10"/>
    </row>
    <row r="396" spans="1:2" ht="12.75">
      <c r="A396" s="10"/>
      <c r="B396" s="10"/>
    </row>
    <row r="397" spans="1:2" ht="12.75">
      <c r="A397" s="10"/>
      <c r="B397" s="10"/>
    </row>
    <row r="398" spans="1:2" ht="12.75">
      <c r="A398" s="10"/>
      <c r="B398" s="10"/>
    </row>
    <row r="399" spans="1:2" ht="12.75">
      <c r="A399" s="10"/>
      <c r="B399" s="10"/>
    </row>
    <row r="400" spans="1:2" ht="12.75">
      <c r="A400" s="10"/>
      <c r="B400" s="10"/>
    </row>
    <row r="401" spans="1:2" ht="12.75">
      <c r="A401" s="10"/>
      <c r="B401" s="10"/>
    </row>
    <row r="402" spans="1:2" ht="12.75">
      <c r="A402" s="10"/>
      <c r="B402" s="10"/>
    </row>
    <row r="403" spans="1:2" ht="12.75">
      <c r="A403" s="10"/>
      <c r="B403" s="10"/>
    </row>
    <row r="404" spans="1:2" ht="12.75">
      <c r="A404" s="10"/>
      <c r="B404" s="10"/>
    </row>
    <row r="405" spans="1:2" ht="12.75">
      <c r="A405" s="10"/>
      <c r="B405" s="10"/>
    </row>
    <row r="406" spans="1:2" ht="12.75">
      <c r="A406" s="10"/>
      <c r="B406" s="10"/>
    </row>
    <row r="407" spans="1:2" ht="12.75">
      <c r="A407" s="10"/>
      <c r="B407" s="10"/>
    </row>
    <row r="408" spans="1:2" ht="12.75">
      <c r="A408" s="10"/>
      <c r="B408" s="10"/>
    </row>
    <row r="409" spans="1:2" ht="12.75">
      <c r="A409" s="10"/>
      <c r="B409" s="10"/>
    </row>
    <row r="410" spans="1:2" ht="12.75">
      <c r="A410" s="10"/>
      <c r="B410" s="10"/>
    </row>
    <row r="411" spans="1:2" ht="12.75">
      <c r="A411" s="10"/>
      <c r="B411" s="10"/>
    </row>
    <row r="412" spans="1:2" ht="12.75">
      <c r="A412" s="10"/>
      <c r="B412" s="10"/>
    </row>
    <row r="413" spans="1:2" ht="12.75">
      <c r="A413" s="10"/>
      <c r="B413" s="10"/>
    </row>
    <row r="414" spans="1:2" ht="12.75">
      <c r="A414" s="10"/>
      <c r="B414" s="10"/>
    </row>
    <row r="415" spans="1:2" ht="12.75">
      <c r="A415" s="10"/>
      <c r="B415" s="10"/>
    </row>
    <row r="416" spans="1:2" ht="12.75">
      <c r="A416" s="10"/>
      <c r="B416" s="10"/>
    </row>
    <row r="417" spans="1:2" ht="12.75">
      <c r="A417" s="10"/>
      <c r="B417" s="10"/>
    </row>
    <row r="418" spans="1:2" ht="12.75">
      <c r="A418" s="10"/>
      <c r="B418" s="10"/>
    </row>
    <row r="419" spans="1:2" ht="12.75">
      <c r="A419" s="10"/>
      <c r="B419" s="10"/>
    </row>
    <row r="420" spans="1:2" ht="12.75">
      <c r="A420" s="10"/>
      <c r="B420" s="10"/>
    </row>
    <row r="421" spans="1:2" ht="12.75">
      <c r="A421" s="10"/>
      <c r="B421" s="10"/>
    </row>
    <row r="422" spans="1:2" ht="12.75">
      <c r="A422" s="10"/>
      <c r="B422" s="10"/>
    </row>
    <row r="423" spans="1:2" ht="12.75">
      <c r="A423" s="10"/>
      <c r="B423" s="10"/>
    </row>
    <row r="424" spans="1:2" ht="12.75">
      <c r="A424" s="10"/>
      <c r="B424" s="10"/>
    </row>
    <row r="425" spans="1:2" ht="12.75">
      <c r="A425" s="10"/>
      <c r="B425" s="10"/>
    </row>
    <row r="426" spans="1:2" ht="12.75">
      <c r="A426" s="10"/>
      <c r="B426" s="10"/>
    </row>
    <row r="427" spans="1:2" ht="12.75">
      <c r="A427" s="10"/>
      <c r="B427" s="10"/>
    </row>
    <row r="428" spans="1:2" ht="12.75">
      <c r="A428" s="10"/>
      <c r="B428" s="10"/>
    </row>
    <row r="429" spans="1:2" ht="12.75">
      <c r="A429" s="10"/>
      <c r="B429" s="10"/>
    </row>
    <row r="430" spans="1:2" ht="12.75">
      <c r="A430" s="10"/>
      <c r="B430" s="10"/>
    </row>
    <row r="431" spans="1:2" ht="12.75">
      <c r="A431" s="10"/>
      <c r="B431" s="10"/>
    </row>
    <row r="432" spans="1:2" ht="12.75">
      <c r="A432" s="10"/>
      <c r="B432" s="10"/>
    </row>
    <row r="433" spans="1:2" ht="12.75">
      <c r="A433" s="10"/>
      <c r="B433" s="10"/>
    </row>
    <row r="434" spans="1:2" ht="12.75">
      <c r="A434" s="10"/>
      <c r="B434" s="10"/>
    </row>
    <row r="435" spans="1:2" ht="12.75">
      <c r="A435" s="10"/>
      <c r="B435" s="10"/>
    </row>
    <row r="436" spans="1:2" ht="12.75">
      <c r="A436" s="10"/>
      <c r="B436" s="10"/>
    </row>
    <row r="437" spans="1:2" ht="12.75">
      <c r="A437" s="10"/>
      <c r="B437" s="10"/>
    </row>
    <row r="438" spans="1:2" ht="12.75">
      <c r="A438" s="10"/>
      <c r="B438" s="10"/>
    </row>
    <row r="439" spans="1:2" ht="12.75">
      <c r="A439" s="10"/>
      <c r="B439" s="10"/>
    </row>
    <row r="440" spans="1:2" ht="12.75">
      <c r="A440" s="10"/>
      <c r="B440" s="10"/>
    </row>
    <row r="441" spans="1:2" ht="12.75">
      <c r="A441" s="10"/>
      <c r="B441" s="10"/>
    </row>
    <row r="442" spans="1:2" ht="12.75">
      <c r="A442" s="10"/>
      <c r="B442" s="10"/>
    </row>
    <row r="443" spans="1:2" ht="12.75">
      <c r="A443" s="10"/>
      <c r="B443" s="10"/>
    </row>
    <row r="444" spans="1:2" ht="12.75">
      <c r="A444" s="10"/>
      <c r="B444" s="10"/>
    </row>
    <row r="445" spans="1:2" ht="12.75">
      <c r="A445" s="10"/>
      <c r="B445" s="10"/>
    </row>
    <row r="446" spans="1:2" ht="12.75">
      <c r="A446" s="10"/>
      <c r="B446" s="10"/>
    </row>
    <row r="447" spans="1:2" ht="12.75">
      <c r="A447" s="10"/>
      <c r="B447" s="10"/>
    </row>
    <row r="448" spans="1:2" ht="12.75">
      <c r="A448" s="10"/>
      <c r="B448" s="10"/>
    </row>
    <row r="449" spans="1:2" ht="12.75">
      <c r="A449" s="10"/>
      <c r="B449" s="10"/>
    </row>
    <row r="450" spans="1:2" ht="12.75">
      <c r="A450" s="10"/>
      <c r="B450" s="10"/>
    </row>
    <row r="451" spans="1:2" ht="12.75">
      <c r="A451" s="10"/>
      <c r="B451" s="10"/>
    </row>
    <row r="452" spans="1:2" ht="12.75">
      <c r="A452" s="10"/>
      <c r="B452" s="10"/>
    </row>
    <row r="453" spans="1:2" ht="12.75">
      <c r="A453" s="10"/>
      <c r="B453" s="10"/>
    </row>
    <row r="454" spans="1:2" ht="12.75">
      <c r="A454" s="10"/>
      <c r="B454" s="10"/>
    </row>
    <row r="455" spans="1:2" ht="12.75">
      <c r="A455" s="10"/>
      <c r="B455" s="10"/>
    </row>
    <row r="456" spans="1:2" ht="12.75">
      <c r="A456" s="10"/>
      <c r="B456" s="10"/>
    </row>
    <row r="457" spans="1:2" ht="12.75">
      <c r="A457" s="10"/>
      <c r="B457" s="10"/>
    </row>
    <row r="458" spans="1:2" ht="12.75">
      <c r="A458" s="10"/>
      <c r="B458" s="10"/>
    </row>
    <row r="459" spans="1:2" ht="12.75">
      <c r="A459" s="10"/>
      <c r="B459" s="10"/>
    </row>
    <row r="460" spans="1:2" ht="12.75">
      <c r="A460" s="10"/>
      <c r="B460" s="10"/>
    </row>
    <row r="461" spans="1:2" ht="12.75">
      <c r="A461" s="10"/>
      <c r="B461" s="10"/>
    </row>
    <row r="462" spans="1:2" ht="12.75">
      <c r="A462" s="10"/>
      <c r="B462" s="10"/>
    </row>
    <row r="463" spans="1:2" ht="12.75">
      <c r="A463" s="10"/>
      <c r="B463" s="10"/>
    </row>
    <row r="464" spans="1:2" ht="12.75">
      <c r="A464" s="10"/>
      <c r="B464" s="10"/>
    </row>
    <row r="465" spans="1:2" ht="12.75">
      <c r="A465" s="10"/>
      <c r="B465" s="10"/>
    </row>
    <row r="466" spans="1:2" ht="12.75">
      <c r="A466" s="10"/>
      <c r="B466" s="10"/>
    </row>
    <row r="467" spans="1:2" ht="12.75">
      <c r="A467" s="10"/>
      <c r="B467" s="10"/>
    </row>
    <row r="468" spans="1:2" ht="12.75">
      <c r="A468" s="10"/>
      <c r="B468" s="10"/>
    </row>
    <row r="469" spans="1:2" ht="12.75">
      <c r="A469" s="10"/>
      <c r="B469" s="10"/>
    </row>
    <row r="470" spans="1:2" ht="12.75">
      <c r="A470" s="10"/>
      <c r="B470" s="10"/>
    </row>
    <row r="471" spans="1:2" ht="12.75">
      <c r="A471" s="10"/>
      <c r="B471" s="10"/>
    </row>
    <row r="472" spans="1:2" ht="12.75">
      <c r="A472" s="10"/>
      <c r="B472" s="10"/>
    </row>
    <row r="473" spans="1:2" ht="12.75">
      <c r="A473" s="10"/>
      <c r="B473" s="10"/>
    </row>
    <row r="474" spans="1:2" ht="12.75">
      <c r="A474" s="10"/>
      <c r="B474" s="10"/>
    </row>
    <row r="475" spans="1:2" ht="12.75">
      <c r="A475" s="10"/>
      <c r="B475" s="10"/>
    </row>
    <row r="476" spans="1:2" ht="12.75">
      <c r="A476" s="10"/>
      <c r="B476" s="10"/>
    </row>
    <row r="477" spans="1:2" ht="12.75">
      <c r="A477" s="10"/>
      <c r="B477" s="10"/>
    </row>
    <row r="478" spans="1:2" ht="12.75">
      <c r="A478" s="10"/>
      <c r="B478" s="10"/>
    </row>
    <row r="479" spans="1:2" ht="12.75">
      <c r="A479" s="10"/>
      <c r="B479" s="10"/>
    </row>
    <row r="480" spans="1:2" ht="12.75">
      <c r="A480" s="10"/>
      <c r="B480" s="10"/>
    </row>
    <row r="481" spans="1:2" ht="12.75">
      <c r="A481" s="10"/>
      <c r="B481" s="10"/>
    </row>
    <row r="482" spans="1:2" ht="12.75">
      <c r="A482" s="10"/>
      <c r="B482" s="10"/>
    </row>
    <row r="483" spans="1:2" ht="12.75">
      <c r="A483" s="10"/>
      <c r="B483" s="10"/>
    </row>
    <row r="484" spans="1:2" ht="12.75">
      <c r="A484" s="10"/>
      <c r="B484" s="10"/>
    </row>
    <row r="485" spans="1:2" ht="12.75">
      <c r="A485" s="10"/>
      <c r="B485" s="10"/>
    </row>
    <row r="486" spans="1:2" ht="12.75">
      <c r="A486" s="10"/>
      <c r="B486" s="10"/>
    </row>
    <row r="487" spans="1:2" ht="12.75">
      <c r="A487" s="10"/>
      <c r="B487" s="10"/>
    </row>
    <row r="488" spans="1:2" ht="12.75">
      <c r="A488" s="10"/>
      <c r="B488" s="10"/>
    </row>
    <row r="489" spans="1:2" ht="12.75">
      <c r="A489" s="10"/>
      <c r="B489" s="10"/>
    </row>
    <row r="490" spans="1:2" ht="12.75">
      <c r="A490" s="10"/>
      <c r="B490" s="10"/>
    </row>
    <row r="491" spans="1:2" ht="12.75">
      <c r="A491" s="10"/>
      <c r="B491" s="10"/>
    </row>
    <row r="492" spans="1:2" ht="12.75">
      <c r="A492" s="10"/>
      <c r="B492" s="10"/>
    </row>
    <row r="493" spans="1:2" ht="12.75">
      <c r="A493" s="10"/>
      <c r="B493" s="10"/>
    </row>
    <row r="494" spans="1:2" ht="12.75">
      <c r="A494" s="10"/>
      <c r="B494" s="10"/>
    </row>
    <row r="495" spans="1:2" ht="12.75">
      <c r="A495" s="10"/>
      <c r="B495" s="10"/>
    </row>
    <row r="496" spans="1:2" ht="12.75">
      <c r="A496" s="10"/>
      <c r="B496" s="10"/>
    </row>
    <row r="497" spans="1:2" ht="12.75">
      <c r="A497" s="10"/>
      <c r="B497" s="10"/>
    </row>
    <row r="498" spans="1:2" ht="12.75">
      <c r="A498" s="10"/>
      <c r="B498" s="10"/>
    </row>
    <row r="499" spans="1:2" ht="12.75">
      <c r="A499" s="10"/>
      <c r="B499" s="10"/>
    </row>
    <row r="500" spans="1:2" ht="12.75">
      <c r="A500" s="10"/>
      <c r="B500" s="10"/>
    </row>
    <row r="501" spans="1:2" ht="12.75">
      <c r="A501" s="10"/>
      <c r="B501" s="10"/>
    </row>
    <row r="502" spans="1:2" ht="12.75">
      <c r="A502" s="10"/>
      <c r="B502" s="10"/>
    </row>
    <row r="503" spans="1:2" ht="12.75">
      <c r="A503" s="10"/>
      <c r="B503" s="10"/>
    </row>
    <row r="504" spans="1:2" ht="12.75">
      <c r="A504" s="10"/>
      <c r="B504" s="10"/>
    </row>
    <row r="505" spans="1:2" ht="12.75">
      <c r="A505" s="10"/>
      <c r="B505" s="10"/>
    </row>
    <row r="506" spans="1:2" ht="12.75">
      <c r="A506" s="10"/>
      <c r="B506" s="10"/>
    </row>
    <row r="507" spans="1:2" ht="12.75">
      <c r="A507" s="10"/>
      <c r="B507" s="10"/>
    </row>
    <row r="508" spans="1:2" ht="12.75">
      <c r="A508" s="10"/>
      <c r="B508" s="10"/>
    </row>
    <row r="509" spans="1:2" ht="12.75">
      <c r="A509" s="10"/>
      <c r="B509" s="10"/>
    </row>
    <row r="510" spans="1:2" ht="12.75">
      <c r="A510" s="10"/>
      <c r="B510" s="10"/>
    </row>
    <row r="511" spans="1:2" ht="12.75">
      <c r="A511" s="10"/>
      <c r="B511" s="10"/>
    </row>
    <row r="512" spans="1:2" ht="12.75">
      <c r="A512" s="10"/>
      <c r="B512" s="10"/>
    </row>
    <row r="513" spans="1:2" ht="12.75">
      <c r="A513" s="10"/>
      <c r="B513" s="10"/>
    </row>
    <row r="514" spans="1:2" ht="12.75">
      <c r="A514" s="10"/>
      <c r="B514" s="10"/>
    </row>
    <row r="515" spans="1:2" ht="12.75">
      <c r="A515" s="10"/>
      <c r="B515" s="10"/>
    </row>
    <row r="516" spans="1:2" ht="12.75">
      <c r="A516" s="10"/>
      <c r="B516" s="10"/>
    </row>
    <row r="517" spans="1:2" ht="12.75">
      <c r="A517" s="10"/>
      <c r="B517" s="10"/>
    </row>
    <row r="518" spans="1:2" ht="12.75">
      <c r="A518" s="10"/>
      <c r="B518" s="10"/>
    </row>
    <row r="519" spans="1:2" ht="12.75">
      <c r="A519" s="10"/>
      <c r="B519" s="10"/>
    </row>
    <row r="520" spans="1:2" ht="12.75">
      <c r="A520" s="10"/>
      <c r="B520" s="10"/>
    </row>
    <row r="521" spans="1:2" ht="12.75">
      <c r="A521" s="10"/>
      <c r="B521" s="10"/>
    </row>
    <row r="522" spans="1:2" ht="12.75">
      <c r="A522" s="10"/>
      <c r="B522" s="10"/>
    </row>
    <row r="523" spans="1:2" ht="12.75">
      <c r="A523" s="10"/>
      <c r="B523" s="10"/>
    </row>
    <row r="524" spans="1:2" ht="12.75">
      <c r="A524" s="10"/>
      <c r="B524" s="10"/>
    </row>
    <row r="525" spans="1:2" ht="12.75">
      <c r="A525" s="10"/>
      <c r="B525" s="10"/>
    </row>
    <row r="526" spans="1:2" ht="12.75">
      <c r="A526" s="10"/>
      <c r="B526" s="10"/>
    </row>
    <row r="527" spans="1:2" ht="12.75">
      <c r="A527" s="10"/>
      <c r="B527" s="10"/>
    </row>
    <row r="528" spans="1:2" ht="12.75">
      <c r="A528" s="10"/>
      <c r="B528" s="10"/>
    </row>
    <row r="529" spans="1:2" ht="12.75">
      <c r="A529" s="10"/>
      <c r="B529" s="10"/>
    </row>
    <row r="530" spans="1:2" ht="12.75">
      <c r="A530" s="10"/>
      <c r="B530" s="10"/>
    </row>
    <row r="531" spans="1:2" ht="12.75">
      <c r="A531" s="10"/>
      <c r="B531" s="10"/>
    </row>
    <row r="532" spans="1:2" ht="12.75">
      <c r="A532" s="10"/>
      <c r="B532" s="10"/>
    </row>
    <row r="533" spans="1:2" ht="12.75">
      <c r="A533" s="10"/>
      <c r="B533" s="10"/>
    </row>
    <row r="534" spans="1:2" ht="12.75">
      <c r="A534" s="10"/>
      <c r="B534" s="10"/>
    </row>
    <row r="535" spans="1:2" ht="12.75">
      <c r="A535" s="10"/>
      <c r="B535" s="10"/>
    </row>
    <row r="536" spans="1:2" ht="12.75">
      <c r="A536" s="10"/>
      <c r="B536" s="10"/>
    </row>
    <row r="537" spans="1:2" ht="12.75">
      <c r="A537" s="10"/>
      <c r="B537" s="10"/>
    </row>
    <row r="538" spans="1:2" ht="12.75">
      <c r="A538" s="10"/>
      <c r="B538" s="10"/>
    </row>
    <row r="539" spans="1:2" ht="12.75">
      <c r="A539" s="10"/>
      <c r="B539" s="10"/>
    </row>
    <row r="540" spans="1:2" ht="12.75">
      <c r="A540" s="10"/>
      <c r="B540" s="10"/>
    </row>
    <row r="541" spans="1:2" ht="12.75">
      <c r="A541" s="10"/>
      <c r="B541" s="10"/>
    </row>
    <row r="542" spans="1:2" ht="12.75">
      <c r="A542" s="10"/>
      <c r="B542" s="10"/>
    </row>
    <row r="543" spans="1:2" ht="12.75">
      <c r="A543" s="10"/>
      <c r="B543" s="10"/>
    </row>
    <row r="544" spans="1:2" ht="12.75">
      <c r="A544" s="10"/>
      <c r="B544" s="10"/>
    </row>
    <row r="545" spans="1:2" ht="12.75">
      <c r="A545" s="10"/>
      <c r="B545" s="10"/>
    </row>
    <row r="546" spans="1:2" ht="12.75">
      <c r="A546" s="10"/>
      <c r="B546" s="10"/>
    </row>
    <row r="547" spans="1:2" ht="12.75">
      <c r="A547" s="10"/>
      <c r="B547" s="10"/>
    </row>
    <row r="548" spans="1:2" ht="12.75">
      <c r="A548" s="10"/>
      <c r="B548" s="10"/>
    </row>
    <row r="549" spans="1:2" ht="12.75">
      <c r="A549" s="10"/>
      <c r="B549" s="10"/>
    </row>
    <row r="550" spans="1:2" ht="12.75">
      <c r="A550" s="10"/>
      <c r="B550" s="10"/>
    </row>
    <row r="551" spans="1:2" ht="12.75">
      <c r="A551" s="10"/>
      <c r="B551" s="10"/>
    </row>
    <row r="552" spans="1:2" ht="12.75">
      <c r="A552" s="10"/>
      <c r="B552" s="10"/>
    </row>
    <row r="553" spans="1:2" ht="12.75">
      <c r="A553" s="10"/>
      <c r="B553" s="10"/>
    </row>
    <row r="554" spans="1:2" ht="12.75">
      <c r="A554" s="10"/>
      <c r="B554" s="10"/>
    </row>
    <row r="555" spans="1:2" ht="12.75">
      <c r="A555" s="10"/>
      <c r="B555" s="10"/>
    </row>
    <row r="556" spans="1:2" ht="12.75">
      <c r="A556" s="10"/>
      <c r="B556" s="10"/>
    </row>
    <row r="557" spans="1:2" ht="12.75">
      <c r="A557" s="10"/>
      <c r="B557" s="10"/>
    </row>
    <row r="558" spans="1:2" ht="12.75">
      <c r="A558" s="10"/>
      <c r="B558" s="10"/>
    </row>
    <row r="559" spans="1:2" ht="12.75">
      <c r="A559" s="10"/>
      <c r="B559" s="10"/>
    </row>
    <row r="560" spans="1:2" ht="12.75">
      <c r="A560" s="10"/>
      <c r="B560" s="10"/>
    </row>
    <row r="561" spans="1:2" ht="12.75">
      <c r="A561" s="10"/>
      <c r="B561" s="10"/>
    </row>
    <row r="562" spans="1:2" ht="12.75">
      <c r="A562" s="10"/>
      <c r="B562" s="10"/>
    </row>
    <row r="563" spans="1:2" ht="12.75">
      <c r="A563" s="10"/>
      <c r="B563" s="10"/>
    </row>
    <row r="564" spans="1:2" ht="12.75">
      <c r="A564" s="10"/>
      <c r="B564" s="10"/>
    </row>
    <row r="565" spans="1:2" ht="12.75">
      <c r="A565" s="10"/>
      <c r="B565" s="10"/>
    </row>
    <row r="566" spans="1:2" ht="12.75">
      <c r="A566" s="10"/>
      <c r="B566" s="10"/>
    </row>
    <row r="567" spans="1:2" ht="12.75">
      <c r="A567" s="10"/>
      <c r="B567" s="10"/>
    </row>
    <row r="568" spans="1:2" ht="12.75">
      <c r="A568" s="10"/>
      <c r="B568" s="10"/>
    </row>
    <row r="569" spans="1:2" ht="12.75">
      <c r="A569" s="10"/>
      <c r="B569" s="10"/>
    </row>
    <row r="570" spans="1:2" ht="12.75">
      <c r="A570" s="10"/>
      <c r="B570" s="10"/>
    </row>
    <row r="571" spans="1:2" ht="12.75">
      <c r="A571" s="10"/>
      <c r="B571" s="10"/>
    </row>
    <row r="572" spans="1:2" ht="12.75">
      <c r="A572" s="10"/>
      <c r="B572" s="10"/>
    </row>
    <row r="573" spans="1:2" ht="12.75">
      <c r="A573" s="10"/>
      <c r="B573" s="10"/>
    </row>
    <row r="574" spans="1:2" ht="12.75">
      <c r="A574" s="10"/>
      <c r="B574" s="10"/>
    </row>
    <row r="575" spans="1:2" ht="12.75">
      <c r="A575" s="10"/>
      <c r="B575" s="10"/>
    </row>
    <row r="576" spans="1:2" ht="12.75">
      <c r="A576" s="10"/>
      <c r="B576" s="10"/>
    </row>
    <row r="577" spans="1:2" ht="12.75">
      <c r="A577" s="10"/>
      <c r="B577" s="10"/>
    </row>
    <row r="578" spans="1:2" ht="12.75">
      <c r="A578" s="10"/>
      <c r="B578" s="10"/>
    </row>
    <row r="579" spans="1:2" ht="12.75">
      <c r="A579" s="10"/>
      <c r="B579" s="10"/>
    </row>
    <row r="580" spans="1:2" ht="12.75">
      <c r="A580" s="10"/>
      <c r="B580" s="10"/>
    </row>
    <row r="581" spans="1:2" ht="12.75">
      <c r="A581" s="10"/>
      <c r="B581" s="10"/>
    </row>
    <row r="582" spans="1:2" ht="12.75">
      <c r="A582" s="10"/>
      <c r="B582" s="10"/>
    </row>
    <row r="583" spans="1:2" ht="12.75">
      <c r="A583" s="10"/>
      <c r="B583" s="10"/>
    </row>
    <row r="584" spans="1:2" ht="12.75">
      <c r="A584" s="10"/>
      <c r="B584" s="10"/>
    </row>
    <row r="585" spans="1:2" ht="12.75">
      <c r="A585" s="10"/>
      <c r="B585" s="10"/>
    </row>
    <row r="586" spans="1:2" ht="12.75">
      <c r="A586" s="10"/>
      <c r="B586" s="10"/>
    </row>
    <row r="587" spans="1:2" ht="12.75">
      <c r="A587" s="10"/>
      <c r="B587" s="10"/>
    </row>
    <row r="588" spans="1:2" ht="12.75">
      <c r="A588" s="10"/>
      <c r="B588" s="10"/>
    </row>
    <row r="589" spans="1:2" ht="12.75">
      <c r="A589" s="10"/>
      <c r="B589" s="10"/>
    </row>
    <row r="590" spans="1:2" ht="12.75">
      <c r="A590" s="10"/>
      <c r="B590" s="10"/>
    </row>
    <row r="591" spans="1:2" ht="12.75">
      <c r="A591" s="10"/>
      <c r="B591" s="10"/>
    </row>
    <row r="592" spans="1:2" ht="12.75">
      <c r="A592" s="10"/>
      <c r="B592" s="10"/>
    </row>
    <row r="593" spans="1:2" ht="12.75">
      <c r="A593" s="10"/>
      <c r="B593" s="10"/>
    </row>
    <row r="594" spans="1:2" ht="12.75">
      <c r="A594" s="10"/>
      <c r="B594" s="10"/>
    </row>
    <row r="595" spans="1:2" ht="12.75">
      <c r="A595" s="10"/>
      <c r="B595" s="10"/>
    </row>
    <row r="596" spans="1:2" ht="12.75">
      <c r="A596" s="10"/>
      <c r="B596" s="10"/>
    </row>
    <row r="597" spans="1:2" ht="12.75">
      <c r="A597" s="10"/>
      <c r="B597" s="10"/>
    </row>
    <row r="598" spans="1:2" ht="12.75">
      <c r="A598" s="10"/>
      <c r="B598" s="10"/>
    </row>
    <row r="599" spans="1:2" ht="12.75">
      <c r="A599" s="10"/>
      <c r="B599" s="10"/>
    </row>
    <row r="600" spans="1:2" ht="12.75">
      <c r="A600" s="10"/>
      <c r="B600" s="10"/>
    </row>
    <row r="601" spans="1:2" ht="12.75">
      <c r="A601" s="10"/>
      <c r="B601" s="10"/>
    </row>
    <row r="602" spans="1:2" ht="12.75">
      <c r="A602" s="10"/>
      <c r="B602" s="10"/>
    </row>
    <row r="603" spans="1:2" ht="12.75">
      <c r="A603" s="10"/>
      <c r="B603" s="10"/>
    </row>
    <row r="604" spans="1:2" ht="12.75">
      <c r="A604" s="10"/>
      <c r="B604" s="10"/>
    </row>
    <row r="605" spans="1:2" ht="12.75">
      <c r="A605" s="10"/>
      <c r="B605" s="10"/>
    </row>
    <row r="606" spans="1:2" ht="12.75">
      <c r="A606" s="10"/>
      <c r="B606" s="10"/>
    </row>
    <row r="607" spans="1:2" ht="12.75">
      <c r="A607" s="10"/>
      <c r="B607" s="10"/>
    </row>
    <row r="608" spans="1:2" ht="12.75">
      <c r="A608" s="10"/>
      <c r="B608" s="10"/>
    </row>
    <row r="609" spans="1:2" ht="12.75">
      <c r="A609" s="10"/>
      <c r="B609" s="10"/>
    </row>
    <row r="610" spans="1:2" ht="12.75">
      <c r="A610" s="10"/>
      <c r="B610" s="10"/>
    </row>
    <row r="611" spans="1:2" ht="12.75">
      <c r="A611" s="10"/>
      <c r="B611" s="10"/>
    </row>
    <row r="612" spans="1:2" ht="12.75">
      <c r="A612" s="10"/>
      <c r="B612" s="10"/>
    </row>
    <row r="613" spans="1:2" ht="12.75">
      <c r="A613" s="10"/>
      <c r="B613" s="10"/>
    </row>
    <row r="614" spans="1:2" ht="12.75">
      <c r="A614" s="10"/>
      <c r="B614" s="10"/>
    </row>
    <row r="615" spans="1:2" ht="12.75">
      <c r="A615" s="10"/>
      <c r="B615" s="10"/>
    </row>
    <row r="616" spans="1:2" ht="12.75">
      <c r="A616" s="10"/>
      <c r="B616" s="10"/>
    </row>
    <row r="617" spans="1:2" ht="12.75">
      <c r="A617" s="10"/>
      <c r="B617" s="10"/>
    </row>
    <row r="618" spans="1:2" ht="12.75">
      <c r="A618" s="10"/>
      <c r="B618" s="10"/>
    </row>
    <row r="619" spans="1:2" ht="12.75">
      <c r="A619" s="10"/>
      <c r="B619" s="10"/>
    </row>
    <row r="620" spans="1:2" ht="12.75">
      <c r="A620" s="10"/>
      <c r="B620" s="10"/>
    </row>
    <row r="621" spans="1:2" ht="12.75">
      <c r="A621" s="10"/>
      <c r="B621" s="10"/>
    </row>
    <row r="622" spans="1:2" ht="12.75">
      <c r="A622" s="10"/>
      <c r="B622" s="10"/>
    </row>
    <row r="623" spans="1:2" ht="12.75">
      <c r="A623" s="10"/>
      <c r="B623" s="10"/>
    </row>
    <row r="624" spans="1:2" ht="12.75">
      <c r="A624" s="10"/>
      <c r="B624" s="10"/>
    </row>
    <row r="625" spans="1:2" ht="12.75">
      <c r="A625" s="10"/>
      <c r="B625" s="10"/>
    </row>
    <row r="626" spans="1:2" ht="12.75">
      <c r="A626" s="10"/>
      <c r="B626" s="10"/>
    </row>
    <row r="627" spans="1:2" ht="12.75">
      <c r="A627" s="10"/>
      <c r="B627" s="10"/>
    </row>
    <row r="628" spans="1:2" ht="12.75">
      <c r="A628" s="10"/>
      <c r="B628" s="10"/>
    </row>
    <row r="629" spans="1:2" ht="12.75">
      <c r="A629" s="10"/>
      <c r="B629" s="10"/>
    </row>
    <row r="630" spans="1:2" ht="12.75">
      <c r="A630" s="10"/>
      <c r="B630" s="10"/>
    </row>
    <row r="631" spans="1:2" ht="12.75">
      <c r="A631" s="10"/>
      <c r="B631" s="10"/>
    </row>
    <row r="632" spans="1:2" ht="12.75">
      <c r="A632" s="10"/>
      <c r="B632" s="10"/>
    </row>
    <row r="633" spans="1:2" ht="12.75">
      <c r="A633" s="10"/>
      <c r="B633" s="10"/>
    </row>
    <row r="634" spans="1:2" ht="12.75">
      <c r="A634" s="10"/>
      <c r="B634" s="10"/>
    </row>
    <row r="635" spans="1:2" ht="12.75">
      <c r="A635" s="10"/>
      <c r="B635" s="10"/>
    </row>
    <row r="636" spans="1:2" ht="12.75">
      <c r="A636" s="10"/>
      <c r="B636" s="10"/>
    </row>
    <row r="637" spans="1:2" ht="12.75">
      <c r="A637" s="10"/>
      <c r="B637" s="10"/>
    </row>
    <row r="638" spans="1:2" ht="12.75">
      <c r="A638" s="10"/>
      <c r="B638" s="10"/>
    </row>
    <row r="639" spans="1:2" ht="12.75">
      <c r="A639" s="10"/>
      <c r="B639" s="10"/>
    </row>
    <row r="640" spans="1:2" ht="12.75">
      <c r="A640" s="10"/>
      <c r="B640" s="10"/>
    </row>
    <row r="641" spans="1:2" ht="12.75">
      <c r="A641" s="10"/>
      <c r="B641" s="10"/>
    </row>
    <row r="642" spans="1:2" ht="12.75">
      <c r="A642" s="10"/>
      <c r="B642" s="10"/>
    </row>
    <row r="643" spans="1:2" ht="12.75">
      <c r="A643" s="10"/>
      <c r="B643" s="10"/>
    </row>
    <row r="644" spans="1:2" ht="12.75">
      <c r="A644" s="10"/>
      <c r="B644" s="10"/>
    </row>
    <row r="645" spans="1:2" ht="12.75">
      <c r="A645" s="10"/>
      <c r="B645" s="10"/>
    </row>
    <row r="646" spans="1:2" ht="12.75">
      <c r="A646" s="10"/>
      <c r="B646" s="10"/>
    </row>
    <row r="647" spans="1:2" ht="12.75">
      <c r="A647" s="10"/>
      <c r="B647" s="10"/>
    </row>
    <row r="648" spans="1:2" ht="12.75">
      <c r="A648" s="10"/>
      <c r="B648" s="10"/>
    </row>
    <row r="649" spans="1:2" ht="12.75">
      <c r="A649" s="10"/>
      <c r="B649" s="10"/>
    </row>
    <row r="650" spans="1:2" ht="12.75">
      <c r="A650" s="10"/>
      <c r="B650" s="10"/>
    </row>
    <row r="651" spans="1:2" ht="12.75">
      <c r="A651" s="10"/>
      <c r="B651" s="10"/>
    </row>
    <row r="652" spans="1:2" ht="12.75">
      <c r="A652" s="10"/>
      <c r="B652" s="10"/>
    </row>
    <row r="653" spans="1:2" ht="12.75">
      <c r="A653" s="10"/>
      <c r="B653" s="10"/>
    </row>
    <row r="654" spans="1:2" ht="12.75">
      <c r="A654" s="10"/>
      <c r="B654" s="10"/>
    </row>
    <row r="655" spans="1:2" ht="12.75">
      <c r="A655" s="10"/>
      <c r="B655" s="10"/>
    </row>
    <row r="656" spans="1:2" ht="12.75">
      <c r="A656" s="10"/>
      <c r="B656" s="10"/>
    </row>
    <row r="657" spans="1:2" ht="12.75">
      <c r="A657" s="10"/>
      <c r="B657" s="10"/>
    </row>
    <row r="658" spans="1:2" ht="12.75">
      <c r="A658" s="10"/>
      <c r="B658" s="10"/>
    </row>
    <row r="659" spans="1:2" ht="12.75">
      <c r="A659" s="10"/>
      <c r="B659" s="10"/>
    </row>
    <row r="660" spans="1:2" ht="12.75">
      <c r="A660" s="10"/>
      <c r="B660" s="10"/>
    </row>
    <row r="661" spans="1:2" ht="12.75">
      <c r="A661" s="10"/>
      <c r="B661" s="10"/>
    </row>
    <row r="662" spans="1:2" ht="12.75">
      <c r="A662" s="10"/>
      <c r="B662" s="10"/>
    </row>
    <row r="663" spans="1:2" ht="12.75">
      <c r="A663" s="10"/>
      <c r="B663" s="10"/>
    </row>
    <row r="664" spans="1:2" ht="12.75">
      <c r="A664" s="10"/>
      <c r="B664" s="10"/>
    </row>
    <row r="665" spans="1:2" ht="12.75">
      <c r="A665" s="10"/>
      <c r="B665" s="10"/>
    </row>
    <row r="666" spans="1:2" ht="12.75">
      <c r="A666" s="10"/>
      <c r="B666" s="10"/>
    </row>
    <row r="667" spans="1:2" ht="12.75">
      <c r="A667" s="10"/>
      <c r="B667" s="10"/>
    </row>
    <row r="668" spans="1:2" ht="12.75">
      <c r="A668" s="10"/>
      <c r="B668" s="10"/>
    </row>
    <row r="669" spans="1:2" ht="12.75">
      <c r="A669" s="10"/>
      <c r="B669" s="10"/>
    </row>
    <row r="670" spans="1:2" ht="12.75">
      <c r="A670" s="10"/>
      <c r="B670" s="10"/>
    </row>
    <row r="671" spans="1:2" ht="12.75">
      <c r="A671" s="10"/>
      <c r="B671" s="10"/>
    </row>
    <row r="672" spans="1:2" ht="12.75">
      <c r="A672" s="10"/>
      <c r="B672" s="10"/>
    </row>
    <row r="673" spans="1:2" ht="12.75">
      <c r="A673" s="10"/>
      <c r="B673" s="10"/>
    </row>
    <row r="674" spans="1:2" ht="12.75">
      <c r="A674" s="10"/>
      <c r="B674" s="10"/>
    </row>
    <row r="675" spans="1:2" ht="12.75">
      <c r="A675" s="10"/>
      <c r="B675" s="10"/>
    </row>
    <row r="676" spans="1:2" ht="12.75">
      <c r="A676" s="10"/>
      <c r="B676" s="10"/>
    </row>
    <row r="677" spans="1:2" ht="12.75">
      <c r="A677" s="10"/>
      <c r="B677" s="10"/>
    </row>
    <row r="678" spans="1:2" ht="12.75">
      <c r="A678" s="10"/>
      <c r="B678" s="10"/>
    </row>
    <row r="679" spans="1:2" ht="12.75">
      <c r="A679" s="10"/>
      <c r="B679" s="10"/>
    </row>
    <row r="680" spans="1:2" ht="12.75">
      <c r="A680" s="10"/>
      <c r="B680" s="10"/>
    </row>
    <row r="681" spans="1:2" ht="12.75">
      <c r="A681" s="10"/>
      <c r="B681" s="10"/>
    </row>
    <row r="682" spans="1:2" ht="12.75">
      <c r="A682" s="10"/>
      <c r="B682" s="10"/>
    </row>
    <row r="683" spans="1:2" ht="12.75">
      <c r="A683" s="10"/>
      <c r="B683" s="10"/>
    </row>
    <row r="684" spans="1:2" ht="12.75">
      <c r="A684" s="10"/>
      <c r="B684" s="10"/>
    </row>
    <row r="685" spans="1:2" ht="12.75">
      <c r="A685" s="10"/>
      <c r="B685" s="10"/>
    </row>
    <row r="686" spans="1:2" ht="12.75">
      <c r="A686" s="10"/>
      <c r="B686" s="10"/>
    </row>
    <row r="687" spans="1:2" ht="12.75">
      <c r="A687" s="10"/>
      <c r="B687" s="10"/>
    </row>
    <row r="688" spans="1:2" ht="12.75">
      <c r="A688" s="10"/>
      <c r="B688" s="10"/>
    </row>
    <row r="689" spans="1:2" ht="12.75">
      <c r="A689" s="10"/>
      <c r="B689" s="10"/>
    </row>
    <row r="690" spans="1:2" ht="12.75">
      <c r="A690" s="10"/>
      <c r="B690" s="10"/>
    </row>
    <row r="691" spans="1:2" ht="12.75">
      <c r="A691" s="10"/>
      <c r="B691" s="10"/>
    </row>
    <row r="692" spans="1:2" ht="12.75">
      <c r="A692" s="10"/>
      <c r="B692" s="10"/>
    </row>
    <row r="693" spans="1:2" ht="12.75">
      <c r="A693" s="10"/>
      <c r="B693" s="10"/>
    </row>
    <row r="694" spans="1:2" ht="12.75">
      <c r="A694" s="10"/>
      <c r="B694" s="10"/>
    </row>
    <row r="695" spans="1:2" ht="12.75">
      <c r="A695" s="10"/>
      <c r="B695" s="10"/>
    </row>
    <row r="696" spans="1:2" ht="12.75">
      <c r="A696" s="10"/>
      <c r="B696" s="10"/>
    </row>
    <row r="697" spans="1:2" ht="12.75">
      <c r="A697" s="10"/>
      <c r="B697" s="10"/>
    </row>
    <row r="698" spans="1:2" ht="12.75">
      <c r="A698" s="10"/>
      <c r="B698" s="10"/>
    </row>
    <row r="699" spans="1:2" ht="12.75">
      <c r="A699" s="10"/>
      <c r="B699" s="10"/>
    </row>
    <row r="700" spans="1:2" ht="12.75">
      <c r="A700" s="10"/>
      <c r="B700" s="10"/>
    </row>
    <row r="701" spans="1:2" ht="12.75">
      <c r="A701" s="10"/>
      <c r="B701" s="10"/>
    </row>
    <row r="702" spans="1:2" ht="12.75">
      <c r="A702" s="10"/>
      <c r="B702" s="10"/>
    </row>
    <row r="703" spans="1:2" ht="12.75">
      <c r="A703" s="10"/>
      <c r="B703" s="10"/>
    </row>
    <row r="704" spans="1:2" ht="12.75">
      <c r="A704" s="10"/>
      <c r="B704" s="10"/>
    </row>
    <row r="705" spans="1:2" ht="12.75">
      <c r="A705" s="10"/>
      <c r="B705" s="10"/>
    </row>
    <row r="706" spans="1:2" ht="12.75">
      <c r="A706" s="10"/>
      <c r="B706" s="10"/>
    </row>
    <row r="707" spans="1:2" ht="12.75">
      <c r="A707" s="10"/>
      <c r="B707" s="10"/>
    </row>
    <row r="708" spans="1:2" ht="12.75">
      <c r="A708" s="10"/>
      <c r="B708" s="10"/>
    </row>
    <row r="709" spans="1:2" ht="12.75">
      <c r="A709" s="10"/>
      <c r="B709" s="10"/>
    </row>
    <row r="710" spans="1:2" ht="12.75">
      <c r="A710" s="10"/>
      <c r="B710" s="10"/>
    </row>
    <row r="711" spans="1:2" ht="12.75">
      <c r="A711" s="10"/>
      <c r="B711" s="10"/>
    </row>
    <row r="712" spans="1:2" ht="12.75">
      <c r="A712" s="10"/>
      <c r="B712" s="10"/>
    </row>
    <row r="713" spans="1:2" ht="12.75">
      <c r="A713" s="10"/>
      <c r="B713" s="10"/>
    </row>
    <row r="714" spans="1:2" ht="12.75">
      <c r="A714" s="10"/>
      <c r="B714" s="10"/>
    </row>
    <row r="715" spans="1:2" ht="12.75">
      <c r="A715" s="10"/>
      <c r="B715" s="10"/>
    </row>
    <row r="716" spans="1:2" ht="12.75">
      <c r="A716" s="10"/>
      <c r="B716" s="10"/>
    </row>
    <row r="717" spans="1:2" ht="12.75">
      <c r="A717" s="10"/>
      <c r="B717" s="10"/>
    </row>
    <row r="718" spans="1:2" ht="12.75">
      <c r="A718" s="10"/>
      <c r="B718" s="10"/>
    </row>
    <row r="719" spans="1:2" ht="12.75">
      <c r="A719" s="10"/>
      <c r="B719" s="10"/>
    </row>
    <row r="720" spans="1:2" ht="12.75">
      <c r="A720" s="10"/>
      <c r="B720" s="10"/>
    </row>
    <row r="721" spans="1:2" ht="12.75">
      <c r="A721" s="10"/>
      <c r="B721" s="10"/>
    </row>
    <row r="722" spans="1:2" ht="12.75">
      <c r="A722" s="10"/>
      <c r="B722" s="10"/>
    </row>
    <row r="723" spans="1:2" ht="12.75">
      <c r="A723" s="10"/>
      <c r="B723" s="10"/>
    </row>
    <row r="724" spans="1:2" ht="12.75">
      <c r="A724" s="10"/>
      <c r="B724" s="10"/>
    </row>
    <row r="725" spans="1:2" ht="12.75">
      <c r="A725" s="10"/>
      <c r="B725" s="10"/>
    </row>
    <row r="726" spans="1:2" ht="12.75">
      <c r="A726" s="10"/>
      <c r="B726" s="10"/>
    </row>
    <row r="727" spans="1:2" ht="12.75">
      <c r="A727" s="10"/>
      <c r="B727" s="10"/>
    </row>
    <row r="728" spans="1:2" ht="12.75">
      <c r="A728" s="10"/>
      <c r="B728" s="10"/>
    </row>
    <row r="729" spans="1:2" ht="12.75">
      <c r="A729" s="10"/>
      <c r="B729" s="10"/>
    </row>
    <row r="730" spans="1:2" ht="12.75">
      <c r="A730" s="10"/>
      <c r="B730" s="10"/>
    </row>
    <row r="731" spans="1:2" ht="12.75">
      <c r="A731" s="10"/>
      <c r="B731" s="10"/>
    </row>
    <row r="732" spans="1:2" ht="12.75">
      <c r="A732" s="10"/>
      <c r="B732" s="10"/>
    </row>
    <row r="733" spans="1:2" ht="12.75">
      <c r="A733" s="10"/>
      <c r="B733" s="10"/>
    </row>
    <row r="734" spans="1:2" ht="12.75">
      <c r="A734" s="10"/>
      <c r="B734" s="10"/>
    </row>
    <row r="735" spans="1:2" ht="12.75">
      <c r="A735" s="10"/>
      <c r="B735" s="10"/>
    </row>
    <row r="736" spans="1:2" ht="12.75">
      <c r="A736" s="10"/>
      <c r="B736" s="10"/>
    </row>
    <row r="737" spans="1:2" ht="12.75">
      <c r="A737" s="10"/>
      <c r="B737" s="10"/>
    </row>
    <row r="738" spans="1:2" ht="12.75">
      <c r="A738" s="10"/>
      <c r="B738" s="10"/>
    </row>
    <row r="739" spans="1:2" ht="12.75">
      <c r="A739" s="10"/>
      <c r="B739" s="10"/>
    </row>
    <row r="740" spans="1:2" ht="12.75">
      <c r="A740" s="10"/>
      <c r="B740" s="10"/>
    </row>
    <row r="741" spans="1:2" ht="12.75">
      <c r="A741" s="10"/>
      <c r="B741" s="10"/>
    </row>
    <row r="742" spans="1:2" ht="12.75">
      <c r="A742" s="10"/>
      <c r="B742" s="10"/>
    </row>
    <row r="743" spans="1:2" ht="12.75">
      <c r="A743" s="10"/>
      <c r="B743" s="10"/>
    </row>
    <row r="744" spans="1:2" ht="12.75">
      <c r="A744" s="10"/>
      <c r="B744" s="10"/>
    </row>
    <row r="745" spans="1:2" ht="12.75">
      <c r="A745" s="10"/>
      <c r="B745" s="10"/>
    </row>
    <row r="746" spans="1:2" ht="12.75">
      <c r="A746" s="10"/>
      <c r="B746" s="10"/>
    </row>
    <row r="747" spans="1:2" ht="12.75">
      <c r="A747" s="10"/>
      <c r="B747" s="10"/>
    </row>
    <row r="748" spans="1:2" ht="12.75">
      <c r="A748" s="10"/>
      <c r="B748" s="10"/>
    </row>
    <row r="749" spans="1:2" ht="12.75">
      <c r="A749" s="10"/>
      <c r="B749" s="10"/>
    </row>
    <row r="750" spans="1:2" ht="12.75">
      <c r="A750" s="10"/>
      <c r="B750" s="10"/>
    </row>
    <row r="751" spans="1:2" ht="12.75">
      <c r="A751" s="10"/>
      <c r="B751" s="10"/>
    </row>
    <row r="752" spans="1:2" ht="12.75">
      <c r="A752" s="10"/>
      <c r="B752" s="10"/>
    </row>
    <row r="753" spans="1:2" ht="12.75">
      <c r="A753" s="10"/>
      <c r="B753" s="10"/>
    </row>
    <row r="754" spans="1:2" ht="12.75">
      <c r="A754" s="10"/>
      <c r="B754" s="10"/>
    </row>
    <row r="755" spans="1:2" ht="12.75">
      <c r="A755" s="10"/>
      <c r="B755" s="10"/>
    </row>
    <row r="756" spans="1:2" ht="12.75">
      <c r="A756" s="10"/>
      <c r="B756" s="10"/>
    </row>
    <row r="757" spans="1:2" ht="12.75">
      <c r="A757" s="10"/>
      <c r="B757" s="10"/>
    </row>
    <row r="758" spans="1:2" ht="12.75">
      <c r="A758" s="10"/>
      <c r="B758" s="10"/>
    </row>
    <row r="759" spans="1:2" ht="12.75">
      <c r="A759" s="10"/>
      <c r="B759" s="10"/>
    </row>
    <row r="760" spans="1:2" ht="12.75">
      <c r="A760" s="10"/>
      <c r="B760" s="10"/>
    </row>
    <row r="761" spans="1:2" ht="12.75">
      <c r="A761" s="10"/>
      <c r="B761" s="10"/>
    </row>
    <row r="762" spans="1:2" ht="12.75">
      <c r="A762" s="10"/>
      <c r="B762" s="10"/>
    </row>
    <row r="763" spans="1:2" ht="12.75">
      <c r="A763" s="10"/>
      <c r="B763" s="10"/>
    </row>
    <row r="764" spans="1:2" ht="12.75">
      <c r="A764" s="10"/>
      <c r="B764" s="10"/>
    </row>
    <row r="765" spans="1:2" ht="12.75">
      <c r="A765" s="10"/>
      <c r="B765" s="10"/>
    </row>
    <row r="766" spans="1:2" ht="12.75">
      <c r="A766" s="10"/>
      <c r="B766" s="10"/>
    </row>
    <row r="767" spans="1:2" ht="12.75">
      <c r="A767" s="10"/>
      <c r="B767" s="10"/>
    </row>
    <row r="768" spans="1:2" ht="12.75">
      <c r="A768" s="10"/>
      <c r="B768" s="10"/>
    </row>
    <row r="769" spans="1:2" ht="12.75">
      <c r="A769" s="10"/>
      <c r="B769" s="10"/>
    </row>
    <row r="770" spans="1:2" ht="12.75">
      <c r="A770" s="10"/>
      <c r="B770" s="10"/>
    </row>
    <row r="771" spans="1:2" ht="12.75">
      <c r="A771" s="10"/>
      <c r="B771" s="10"/>
    </row>
    <row r="772" spans="1:2" ht="12.75">
      <c r="A772" s="10"/>
      <c r="B772" s="10"/>
    </row>
    <row r="773" spans="1:2" ht="12.75">
      <c r="A773" s="10"/>
      <c r="B773" s="10"/>
    </row>
    <row r="774" spans="1:2" ht="12.75">
      <c r="A774" s="10"/>
      <c r="B774" s="10"/>
    </row>
    <row r="775" spans="1:2" ht="12.75">
      <c r="A775" s="10"/>
      <c r="B775" s="10"/>
    </row>
    <row r="776" spans="1:2" ht="12.75">
      <c r="A776" s="10"/>
      <c r="B776" s="10"/>
    </row>
    <row r="777" spans="1:2" ht="12.75">
      <c r="A777" s="10"/>
      <c r="B777" s="10"/>
    </row>
    <row r="778" spans="1:2" ht="12.75">
      <c r="A778" s="10"/>
      <c r="B778" s="10"/>
    </row>
    <row r="779" spans="1:2" ht="12.75">
      <c r="A779" s="10"/>
      <c r="B779" s="10"/>
    </row>
    <row r="780" spans="1:2" ht="12.75">
      <c r="A780" s="10"/>
      <c r="B780" s="10"/>
    </row>
    <row r="781" spans="1:2" ht="12.75">
      <c r="A781" s="10"/>
      <c r="B781" s="10"/>
    </row>
    <row r="782" spans="1:2" ht="12.75">
      <c r="A782" s="10"/>
      <c r="B782" s="10"/>
    </row>
    <row r="783" spans="1:2" ht="12.75">
      <c r="A783" s="10"/>
      <c r="B783" s="10"/>
    </row>
    <row r="784" spans="1:2" ht="12.75">
      <c r="A784" s="10"/>
      <c r="B784" s="10"/>
    </row>
    <row r="785" spans="1:2" ht="12.75">
      <c r="A785" s="10"/>
      <c r="B785" s="10"/>
    </row>
    <row r="786" spans="1:2" ht="12.75">
      <c r="A786" s="10"/>
      <c r="B786" s="10"/>
    </row>
    <row r="787" spans="1:2" ht="12.75">
      <c r="A787" s="10"/>
      <c r="B787" s="10"/>
    </row>
    <row r="788" spans="1:2" ht="12.75">
      <c r="A788" s="10"/>
      <c r="B788" s="10"/>
    </row>
    <row r="789" spans="1:2" ht="12.75">
      <c r="A789" s="10"/>
      <c r="B789" s="10"/>
    </row>
    <row r="790" spans="1:2" ht="12.75">
      <c r="A790" s="10"/>
      <c r="B790" s="10"/>
    </row>
    <row r="791" spans="1:2" ht="12.75">
      <c r="A791" s="10"/>
      <c r="B791" s="10"/>
    </row>
    <row r="792" spans="1:2" ht="12.75">
      <c r="A792" s="10"/>
      <c r="B792" s="10"/>
    </row>
    <row r="793" spans="1:2" ht="12.75">
      <c r="A793" s="10"/>
      <c r="B793" s="10"/>
    </row>
    <row r="794" spans="1:2" ht="12.75">
      <c r="A794" s="10"/>
      <c r="B794" s="10"/>
    </row>
    <row r="795" spans="1:2" ht="12.75">
      <c r="A795" s="10"/>
      <c r="B795" s="10"/>
    </row>
    <row r="796" spans="1:2" ht="12.75">
      <c r="A796" s="10"/>
      <c r="B796" s="10"/>
    </row>
    <row r="797" spans="1:2" ht="12.75">
      <c r="A797" s="10"/>
      <c r="B797" s="10"/>
    </row>
    <row r="798" spans="1:2" ht="12.75">
      <c r="A798" s="10"/>
      <c r="B798" s="10"/>
    </row>
    <row r="799" spans="1:2" ht="12.75">
      <c r="A799" s="10"/>
      <c r="B799" s="10"/>
    </row>
    <row r="800" spans="1:2" ht="12.75">
      <c r="A800" s="10"/>
      <c r="B800" s="10"/>
    </row>
    <row r="801" spans="1:2" ht="12.75">
      <c r="A801" s="10"/>
      <c r="B801" s="10"/>
    </row>
    <row r="802" spans="1:2" ht="12.75">
      <c r="A802" s="10"/>
      <c r="B802" s="10"/>
    </row>
    <row r="803" spans="1:2" ht="12.75">
      <c r="A803" s="10"/>
      <c r="B803" s="10"/>
    </row>
    <row r="804" spans="1:2" ht="12.75">
      <c r="A804" s="10"/>
      <c r="B804" s="10"/>
    </row>
    <row r="805" spans="1:2" ht="12.75">
      <c r="A805" s="10"/>
      <c r="B805" s="10"/>
    </row>
    <row r="806" spans="1:2" ht="12.75">
      <c r="A806" s="10"/>
      <c r="B806" s="10"/>
    </row>
    <row r="807" spans="1:2" ht="12.75">
      <c r="A807" s="10"/>
      <c r="B807" s="10"/>
    </row>
    <row r="808" spans="1:2" ht="12.75">
      <c r="A808" s="10"/>
      <c r="B808" s="10"/>
    </row>
    <row r="809" spans="1:2" ht="12.75">
      <c r="A809" s="10"/>
      <c r="B809" s="10"/>
    </row>
    <row r="810" spans="1:2" ht="12.75">
      <c r="A810" s="10"/>
      <c r="B810" s="10"/>
    </row>
    <row r="811" spans="1:2" ht="12.75">
      <c r="A811" s="10"/>
      <c r="B811" s="10"/>
    </row>
    <row r="812" spans="1:2" ht="12.75">
      <c r="A812" s="10"/>
      <c r="B812" s="10"/>
    </row>
    <row r="813" spans="1:2" ht="12.75">
      <c r="A813" s="10"/>
      <c r="B813" s="10"/>
    </row>
    <row r="814" spans="1:2" ht="12.75">
      <c r="A814" s="10"/>
      <c r="B814" s="10"/>
    </row>
    <row r="815" spans="1:2" ht="12.75">
      <c r="A815" s="10"/>
      <c r="B815" s="10"/>
    </row>
    <row r="816" spans="1:2" ht="12.75">
      <c r="A816" s="10"/>
      <c r="B816" s="10"/>
    </row>
    <row r="817" spans="1:10" ht="12.75">
      <c r="A817" s="10"/>
      <c r="B817" s="10"/>
    </row>
    <row r="818" spans="1:10" ht="12.75">
      <c r="A818" s="10"/>
      <c r="B818" s="10"/>
    </row>
    <row r="819" spans="1:10" ht="12.75">
      <c r="A819" s="10"/>
      <c r="B819" s="10"/>
    </row>
    <row r="820" spans="1:10" ht="12.75">
      <c r="A820" s="10"/>
      <c r="B820" s="10"/>
    </row>
    <row r="821" spans="1:10" ht="12.75">
      <c r="A821" s="10"/>
      <c r="B821" s="10"/>
    </row>
    <row r="822" spans="1:10" ht="12.75">
      <c r="A822" s="10"/>
      <c r="B822" s="10"/>
    </row>
    <row r="823" spans="1:10" ht="12.75">
      <c r="A823" s="10"/>
      <c r="B823" s="10"/>
      <c r="E823" s="420"/>
      <c r="F823" s="420"/>
      <c r="G823" s="420"/>
      <c r="I823" s="588"/>
      <c r="J823" s="588"/>
    </row>
    <row r="824" spans="1:10" ht="12.75">
      <c r="A824" s="10"/>
      <c r="B824" s="10"/>
    </row>
    <row r="825" spans="1:10" ht="12.75">
      <c r="A825" s="10"/>
      <c r="B825" s="10"/>
    </row>
    <row r="826" spans="1:10" ht="12.75">
      <c r="A826" s="10"/>
      <c r="B826" s="10"/>
    </row>
    <row r="827" spans="1:10" ht="12.75">
      <c r="A827" s="10"/>
      <c r="B827" s="10"/>
    </row>
    <row r="828" spans="1:10" ht="12.75">
      <c r="A828" s="10"/>
      <c r="B828" s="10"/>
    </row>
    <row r="829" spans="1:10" ht="12.75">
      <c r="A829" s="10"/>
      <c r="B829" s="10"/>
    </row>
    <row r="830" spans="1:10" ht="12.75">
      <c r="A830" s="10"/>
      <c r="B830" s="10"/>
    </row>
    <row r="831" spans="1:10" ht="12.75">
      <c r="A831" s="10"/>
      <c r="B831" s="10"/>
    </row>
    <row r="832" spans="1:10" ht="12.75">
      <c r="A832" s="10"/>
      <c r="B832" s="10"/>
    </row>
    <row r="833" spans="1:10" ht="12.75">
      <c r="A833" s="10"/>
      <c r="B833" s="10"/>
    </row>
    <row r="834" spans="1:10" ht="12.75">
      <c r="A834" s="10"/>
      <c r="B834" s="10"/>
      <c r="E834" s="420"/>
      <c r="F834" s="420"/>
      <c r="G834" s="420"/>
      <c r="I834" s="588"/>
      <c r="J834" s="588"/>
    </row>
    <row r="835" spans="1:10" ht="12.75">
      <c r="A835" s="10"/>
      <c r="B835" s="10"/>
    </row>
    <row r="836" spans="1:10" ht="12.75">
      <c r="A836" s="10"/>
      <c r="B836" s="10"/>
    </row>
    <row r="837" spans="1:10" ht="12.75">
      <c r="A837" s="10"/>
      <c r="B837" s="10"/>
    </row>
    <row r="838" spans="1:10" ht="12.75">
      <c r="A838" s="10"/>
      <c r="B838" s="10"/>
    </row>
    <row r="839" spans="1:10" ht="12.75">
      <c r="A839" s="10"/>
      <c r="B839" s="10"/>
    </row>
    <row r="840" spans="1:10" ht="12.75">
      <c r="A840" s="10"/>
      <c r="B840" s="10"/>
    </row>
    <row r="841" spans="1:10" ht="12.75">
      <c r="A841" s="10"/>
      <c r="B841" s="10"/>
    </row>
    <row r="842" spans="1:10" ht="12.75">
      <c r="A842" s="10"/>
      <c r="B842" s="10"/>
    </row>
    <row r="843" spans="1:10" ht="12.75">
      <c r="A843" s="10"/>
      <c r="B843" s="10"/>
    </row>
    <row r="844" spans="1:10" ht="12.75">
      <c r="A844" s="10"/>
      <c r="B844" s="10"/>
    </row>
    <row r="845" spans="1:10" ht="12.75">
      <c r="A845" s="10"/>
      <c r="B845" s="10"/>
      <c r="E845" s="420"/>
      <c r="F845" s="420"/>
      <c r="G845" s="420"/>
      <c r="I845" s="588"/>
      <c r="J845" s="588"/>
    </row>
    <row r="846" spans="1:10" ht="12.75">
      <c r="A846" s="10"/>
      <c r="B846" s="10"/>
    </row>
    <row r="847" spans="1:10" ht="12.75">
      <c r="A847" s="10"/>
      <c r="B847" s="10"/>
    </row>
    <row r="848" spans="1:10" ht="12.75">
      <c r="A848" s="10"/>
      <c r="B848" s="10"/>
    </row>
    <row r="849" spans="1:10" ht="12.75">
      <c r="A849" s="10"/>
      <c r="B849" s="10"/>
    </row>
    <row r="850" spans="1:10" ht="12.75">
      <c r="A850" s="10"/>
      <c r="B850" s="10"/>
    </row>
    <row r="851" spans="1:10" ht="12.75">
      <c r="A851" s="10"/>
      <c r="B851" s="10"/>
    </row>
    <row r="852" spans="1:10" ht="12.75">
      <c r="A852" s="10"/>
      <c r="B852" s="10"/>
    </row>
    <row r="853" spans="1:10" ht="12.75">
      <c r="A853" s="10"/>
      <c r="B853" s="10"/>
    </row>
    <row r="854" spans="1:10" ht="12.75">
      <c r="A854" s="10"/>
      <c r="B854" s="10"/>
    </row>
    <row r="855" spans="1:10" ht="12.75">
      <c r="A855" s="10"/>
      <c r="B855" s="10"/>
    </row>
    <row r="856" spans="1:10" ht="12.75">
      <c r="A856" s="10"/>
      <c r="B856" s="10"/>
      <c r="E856" s="420"/>
      <c r="F856" s="420"/>
      <c r="G856" s="420"/>
      <c r="I856" s="588"/>
      <c r="J856" s="588"/>
    </row>
    <row r="857" spans="1:10" ht="12.75">
      <c r="A857" s="10"/>
      <c r="B857" s="10"/>
    </row>
    <row r="858" spans="1:10" ht="12.75">
      <c r="A858" s="10"/>
      <c r="B858" s="10"/>
    </row>
    <row r="859" spans="1:10" ht="12.75">
      <c r="A859" s="10"/>
      <c r="B859" s="10"/>
    </row>
    <row r="860" spans="1:10" ht="12.75">
      <c r="A860" s="10"/>
      <c r="B860" s="10"/>
    </row>
    <row r="861" spans="1:10" ht="12.75">
      <c r="A861" s="10"/>
      <c r="B861" s="10"/>
    </row>
    <row r="862" spans="1:10" ht="12.75">
      <c r="A862" s="10"/>
      <c r="B862" s="10"/>
    </row>
    <row r="863" spans="1:10" ht="12.75">
      <c r="A863" s="10"/>
      <c r="B863" s="10"/>
    </row>
    <row r="864" spans="1:10" ht="12.75">
      <c r="A864" s="10"/>
      <c r="B864" s="10"/>
    </row>
    <row r="865" spans="1:10" ht="12.75">
      <c r="A865" s="10"/>
      <c r="B865" s="10"/>
    </row>
    <row r="866" spans="1:10" ht="12.75">
      <c r="A866" s="10"/>
      <c r="B866" s="10"/>
    </row>
    <row r="867" spans="1:10" ht="12.75">
      <c r="A867" s="10"/>
      <c r="B867" s="10"/>
      <c r="E867" s="420"/>
      <c r="F867" s="420"/>
      <c r="G867" s="420"/>
      <c r="I867" s="588"/>
      <c r="J867" s="588"/>
    </row>
    <row r="868" spans="1:10" ht="12.75">
      <c r="A868" s="10"/>
      <c r="B868" s="10"/>
    </row>
    <row r="869" spans="1:10" ht="12.75">
      <c r="A869" s="10"/>
      <c r="B869" s="10"/>
    </row>
    <row r="870" spans="1:10" ht="12.75">
      <c r="A870" s="10"/>
      <c r="B870" s="10"/>
    </row>
    <row r="871" spans="1:10" ht="12.75">
      <c r="A871" s="10"/>
      <c r="B871" s="10"/>
    </row>
    <row r="872" spans="1:10" ht="12.75">
      <c r="A872" s="10"/>
      <c r="B872" s="10"/>
    </row>
    <row r="873" spans="1:10" ht="12.75">
      <c r="A873" s="10"/>
      <c r="B873" s="10"/>
    </row>
    <row r="874" spans="1:10" ht="12.75">
      <c r="A874" s="10"/>
      <c r="B874" s="10"/>
    </row>
    <row r="875" spans="1:10" ht="12.75">
      <c r="A875" s="10"/>
      <c r="B875" s="10"/>
    </row>
    <row r="876" spans="1:10" ht="12.75">
      <c r="A876" s="10"/>
      <c r="B876" s="10"/>
    </row>
    <row r="877" spans="1:10" ht="12.75">
      <c r="A877" s="10"/>
      <c r="B877" s="10"/>
    </row>
    <row r="878" spans="1:10" ht="12.75">
      <c r="A878" s="10"/>
      <c r="B878" s="10"/>
      <c r="E878" s="420"/>
      <c r="F878" s="420"/>
      <c r="G878" s="420"/>
      <c r="I878" s="588"/>
      <c r="J878" s="588"/>
    </row>
    <row r="879" spans="1:10" ht="12.75">
      <c r="A879" s="10"/>
      <c r="B879" s="10"/>
    </row>
    <row r="880" spans="1:10" ht="12.75">
      <c r="A880" s="10"/>
      <c r="B880" s="10"/>
    </row>
    <row r="881" spans="1:10" ht="12.75">
      <c r="A881" s="10"/>
      <c r="B881" s="10"/>
    </row>
    <row r="882" spans="1:10" ht="12.75">
      <c r="A882" s="10"/>
      <c r="B882" s="10"/>
    </row>
    <row r="883" spans="1:10" ht="12.75">
      <c r="A883" s="10"/>
      <c r="B883" s="10"/>
    </row>
    <row r="884" spans="1:10" ht="12.75">
      <c r="A884" s="10"/>
      <c r="B884" s="10"/>
    </row>
    <row r="885" spans="1:10" ht="12.75">
      <c r="A885" s="10"/>
      <c r="B885" s="10"/>
    </row>
    <row r="886" spans="1:10" ht="12.75">
      <c r="A886" s="10"/>
      <c r="B886" s="10"/>
    </row>
    <row r="887" spans="1:10" ht="12.75">
      <c r="A887" s="10"/>
      <c r="B887" s="10"/>
    </row>
    <row r="888" spans="1:10" ht="12.75">
      <c r="A888" s="10"/>
      <c r="B888" s="10"/>
    </row>
    <row r="889" spans="1:10" ht="12.75">
      <c r="A889" s="10"/>
      <c r="B889" s="10"/>
      <c r="E889" s="420"/>
      <c r="F889" s="420"/>
      <c r="G889" s="420"/>
      <c r="I889" s="588"/>
      <c r="J889" s="588"/>
    </row>
    <row r="890" spans="1:10" ht="12.75">
      <c r="A890" s="10"/>
      <c r="B890" s="10"/>
    </row>
    <row r="891" spans="1:10" ht="12.75">
      <c r="A891" s="10"/>
      <c r="B891" s="10"/>
    </row>
    <row r="892" spans="1:10" ht="12.75">
      <c r="A892" s="10"/>
      <c r="B892" s="10"/>
    </row>
    <row r="893" spans="1:10" ht="12.75">
      <c r="A893" s="10"/>
      <c r="B893" s="10"/>
    </row>
    <row r="894" spans="1:10" ht="12.75">
      <c r="A894" s="10"/>
      <c r="B894" s="10"/>
    </row>
    <row r="895" spans="1:10" ht="12.75">
      <c r="A895" s="10"/>
      <c r="B895" s="10"/>
    </row>
    <row r="896" spans="1:10" ht="12.75">
      <c r="A896" s="10"/>
      <c r="B896" s="10"/>
    </row>
    <row r="897" spans="1:10" ht="12.75">
      <c r="A897" s="10"/>
      <c r="B897" s="10"/>
    </row>
    <row r="898" spans="1:10" ht="12.75">
      <c r="A898" s="10"/>
      <c r="B898" s="10"/>
    </row>
    <row r="899" spans="1:10" ht="12.75">
      <c r="A899" s="10"/>
      <c r="B899" s="10"/>
    </row>
    <row r="900" spans="1:10" ht="12.75">
      <c r="A900" s="10"/>
      <c r="B900" s="10"/>
      <c r="E900" s="420"/>
      <c r="F900" s="420"/>
      <c r="G900" s="420"/>
      <c r="I900" s="588"/>
      <c r="J900" s="588"/>
    </row>
    <row r="901" spans="1:10" ht="12.75">
      <c r="A901" s="10"/>
      <c r="B901" s="10"/>
    </row>
    <row r="902" spans="1:10" ht="12.75">
      <c r="A902" s="10"/>
      <c r="B902" s="10"/>
    </row>
    <row r="903" spans="1:10" ht="12.75">
      <c r="A903" s="10"/>
      <c r="B903" s="10"/>
    </row>
    <row r="904" spans="1:10" ht="12.75">
      <c r="A904" s="10"/>
      <c r="B904" s="10"/>
    </row>
    <row r="905" spans="1:10" ht="12.75">
      <c r="A905" s="10"/>
      <c r="B905" s="10"/>
    </row>
    <row r="906" spans="1:10" ht="12.75">
      <c r="A906" s="10"/>
      <c r="B906" s="10"/>
    </row>
    <row r="907" spans="1:10" ht="12.75">
      <c r="A907" s="10"/>
      <c r="B907" s="10"/>
    </row>
    <row r="908" spans="1:10" ht="12.75">
      <c r="A908" s="10"/>
      <c r="B908" s="10"/>
    </row>
    <row r="909" spans="1:10" ht="12.75">
      <c r="A909" s="10"/>
      <c r="B909" s="10"/>
    </row>
    <row r="910" spans="1:10" ht="12.75">
      <c r="A910" s="10"/>
      <c r="B910" s="10"/>
    </row>
    <row r="911" spans="1:10" ht="12.75">
      <c r="A911" s="10"/>
      <c r="B911" s="10"/>
      <c r="E911" s="420"/>
      <c r="F911" s="420"/>
      <c r="G911" s="420"/>
      <c r="I911" s="588"/>
      <c r="J911" s="588"/>
    </row>
    <row r="912" spans="1:10" ht="12.75">
      <c r="A912" s="10"/>
      <c r="B912" s="10"/>
    </row>
    <row r="913" spans="1:10" ht="12.75">
      <c r="A913" s="10"/>
      <c r="B913" s="10"/>
    </row>
    <row r="914" spans="1:10" ht="12.75">
      <c r="A914" s="10"/>
      <c r="B914" s="10"/>
    </row>
    <row r="915" spans="1:10" ht="12.75">
      <c r="A915" s="10"/>
      <c r="B915" s="10"/>
    </row>
    <row r="916" spans="1:10" ht="12.75">
      <c r="A916" s="10"/>
      <c r="B916" s="10"/>
    </row>
    <row r="917" spans="1:10" ht="12.75">
      <c r="A917" s="10"/>
      <c r="B917" s="10"/>
    </row>
    <row r="918" spans="1:10" ht="12.75">
      <c r="A918" s="10"/>
      <c r="B918" s="10"/>
    </row>
    <row r="919" spans="1:10" ht="12.75">
      <c r="A919" s="10"/>
      <c r="B919" s="10"/>
    </row>
    <row r="920" spans="1:10" ht="12.75">
      <c r="A920" s="10"/>
      <c r="B920" s="10"/>
    </row>
    <row r="921" spans="1:10" ht="12.75">
      <c r="A921" s="10"/>
      <c r="B921" s="10"/>
    </row>
    <row r="922" spans="1:10" ht="12.75">
      <c r="A922" s="10"/>
      <c r="B922" s="10"/>
      <c r="E922" s="420"/>
      <c r="F922" s="420"/>
      <c r="G922" s="420"/>
      <c r="I922" s="588"/>
      <c r="J922" s="588"/>
    </row>
    <row r="923" spans="1:10" ht="12.75">
      <c r="A923" s="10"/>
      <c r="B923" s="10"/>
    </row>
    <row r="924" spans="1:10" ht="12.75">
      <c r="A924" s="10"/>
      <c r="B924" s="10"/>
    </row>
    <row r="925" spans="1:10" ht="12.75">
      <c r="A925" s="10"/>
      <c r="B925" s="10"/>
    </row>
    <row r="926" spans="1:10" ht="12.75">
      <c r="A926" s="10"/>
      <c r="B926" s="10"/>
    </row>
    <row r="927" spans="1:10" ht="12.75">
      <c r="A927" s="10"/>
      <c r="B927" s="10"/>
    </row>
    <row r="928" spans="1:10" ht="12.75">
      <c r="A928" s="10"/>
      <c r="B928" s="10"/>
    </row>
    <row r="929" spans="1:10" ht="12.75">
      <c r="A929" s="10"/>
      <c r="B929" s="10"/>
    </row>
    <row r="930" spans="1:10" ht="12.75">
      <c r="A930" s="10"/>
      <c r="B930" s="10"/>
    </row>
    <row r="931" spans="1:10" ht="12.75">
      <c r="A931" s="10"/>
      <c r="B931" s="10"/>
    </row>
    <row r="932" spans="1:10" ht="12.75">
      <c r="A932" s="10"/>
      <c r="B932" s="10"/>
    </row>
    <row r="933" spans="1:10" ht="12.75">
      <c r="A933" s="10"/>
      <c r="B933" s="10"/>
      <c r="E933" s="420"/>
      <c r="F933" s="420"/>
      <c r="G933" s="420"/>
      <c r="I933" s="588"/>
      <c r="J933" s="588"/>
    </row>
    <row r="934" spans="1:10" ht="12.75">
      <c r="A934" s="10"/>
      <c r="B934" s="10"/>
    </row>
    <row r="935" spans="1:10" ht="12.75">
      <c r="A935" s="10"/>
      <c r="B935" s="10"/>
    </row>
    <row r="936" spans="1:10" ht="12.75">
      <c r="A936" s="10"/>
      <c r="B936" s="10"/>
    </row>
    <row r="937" spans="1:10" ht="12.75">
      <c r="A937" s="10"/>
      <c r="B937" s="10"/>
    </row>
    <row r="938" spans="1:10" ht="12.75">
      <c r="A938" s="10"/>
      <c r="B938" s="10"/>
    </row>
    <row r="939" spans="1:10" ht="12.75">
      <c r="A939" s="10"/>
      <c r="B939" s="10"/>
    </row>
    <row r="940" spans="1:10" ht="12.75">
      <c r="A940" s="10"/>
      <c r="B940" s="10"/>
    </row>
    <row r="941" spans="1:10" ht="12.75">
      <c r="A941" s="10"/>
      <c r="B941" s="10"/>
    </row>
    <row r="942" spans="1:10" ht="12.75">
      <c r="A942" s="10"/>
      <c r="B942" s="10"/>
    </row>
    <row r="943" spans="1:10" ht="12.75">
      <c r="A943" s="10"/>
      <c r="B943" s="10"/>
    </row>
    <row r="944" spans="1:10" ht="12.75">
      <c r="A944" s="10"/>
      <c r="B944" s="10"/>
      <c r="E944" s="420"/>
      <c r="F944" s="420"/>
      <c r="G944" s="420"/>
      <c r="I944" s="588"/>
      <c r="J944" s="588"/>
    </row>
    <row r="945" spans="1:10" ht="12.75">
      <c r="A945" s="10"/>
      <c r="B945" s="10"/>
    </row>
    <row r="946" spans="1:10" ht="12.75">
      <c r="A946" s="10"/>
      <c r="B946" s="10"/>
    </row>
    <row r="947" spans="1:10" ht="12.75">
      <c r="A947" s="10"/>
      <c r="B947" s="10"/>
    </row>
    <row r="948" spans="1:10" ht="12.75">
      <c r="A948" s="10"/>
      <c r="B948" s="10"/>
    </row>
    <row r="949" spans="1:10" ht="12.75">
      <c r="A949" s="10"/>
      <c r="B949" s="10"/>
    </row>
    <row r="950" spans="1:10" ht="12.75">
      <c r="A950" s="10"/>
      <c r="B950" s="10"/>
    </row>
    <row r="951" spans="1:10" ht="12.75">
      <c r="A951" s="10"/>
      <c r="B951" s="10"/>
    </row>
    <row r="952" spans="1:10" ht="12.75">
      <c r="A952" s="10"/>
      <c r="B952" s="10"/>
    </row>
    <row r="953" spans="1:10" ht="12.75">
      <c r="A953" s="10"/>
      <c r="B953" s="10"/>
    </row>
    <row r="954" spans="1:10" ht="12.75">
      <c r="A954" s="10"/>
      <c r="B954" s="10"/>
    </row>
    <row r="955" spans="1:10" ht="12.75">
      <c r="A955" s="10"/>
      <c r="B955" s="10"/>
      <c r="E955" s="420"/>
      <c r="F955" s="420"/>
      <c r="G955" s="420"/>
      <c r="I955" s="588"/>
      <c r="J955" s="588"/>
    </row>
    <row r="956" spans="1:10" ht="12.75">
      <c r="A956" s="10"/>
      <c r="B956" s="10"/>
    </row>
    <row r="957" spans="1:10" ht="12.75">
      <c r="A957" s="10"/>
      <c r="B957" s="10"/>
    </row>
    <row r="958" spans="1:10" ht="12.75">
      <c r="A958" s="10"/>
      <c r="B958" s="10"/>
    </row>
    <row r="959" spans="1:10" ht="12.75">
      <c r="A959" s="10"/>
      <c r="B959" s="10"/>
    </row>
    <row r="960" spans="1:10" ht="12.75">
      <c r="A960" s="10"/>
      <c r="B960" s="10"/>
    </row>
    <row r="961" spans="1:10" ht="12.75">
      <c r="A961" s="10"/>
      <c r="B961" s="10"/>
    </row>
    <row r="962" spans="1:10" ht="12.75">
      <c r="A962" s="10"/>
      <c r="B962" s="10"/>
    </row>
    <row r="963" spans="1:10" ht="12.75">
      <c r="A963" s="10"/>
      <c r="B963" s="10"/>
    </row>
    <row r="964" spans="1:10" ht="12.75">
      <c r="A964" s="10"/>
      <c r="B964" s="10"/>
    </row>
    <row r="965" spans="1:10" ht="12.75">
      <c r="A965" s="10"/>
      <c r="B965" s="10"/>
    </row>
    <row r="966" spans="1:10" ht="12.75">
      <c r="A966" s="10"/>
      <c r="B966" s="10"/>
      <c r="E966" s="420"/>
      <c r="F966" s="420"/>
      <c r="G966" s="420"/>
      <c r="I966" s="588"/>
      <c r="J966" s="588"/>
    </row>
    <row r="967" spans="1:10" ht="12.75">
      <c r="A967" s="10"/>
      <c r="B967" s="10"/>
    </row>
    <row r="968" spans="1:10" ht="12.75">
      <c r="A968" s="10"/>
      <c r="B968" s="10"/>
    </row>
    <row r="969" spans="1:10" ht="12.75">
      <c r="A969" s="10"/>
      <c r="B969" s="10"/>
    </row>
    <row r="970" spans="1:10" ht="12.75">
      <c r="A970" s="10"/>
      <c r="B970" s="10"/>
    </row>
    <row r="971" spans="1:10" ht="12.75">
      <c r="A971" s="10"/>
      <c r="B971" s="10"/>
    </row>
    <row r="972" spans="1:10" ht="12.75">
      <c r="A972" s="10"/>
      <c r="B972" s="10"/>
    </row>
    <row r="973" spans="1:10" ht="12.75">
      <c r="A973" s="10"/>
      <c r="B973" s="10"/>
    </row>
    <row r="974" spans="1:10" ht="12.75">
      <c r="A974" s="10"/>
      <c r="B974" s="10"/>
    </row>
    <row r="975" spans="1:10" ht="12.75">
      <c r="A975" s="10"/>
      <c r="B975" s="10"/>
    </row>
    <row r="976" spans="1:10" ht="12.75">
      <c r="A976" s="10"/>
      <c r="B976" s="10"/>
    </row>
    <row r="977" spans="1:10" ht="12.75">
      <c r="A977" s="10"/>
      <c r="B977" s="10"/>
      <c r="E977" s="420"/>
      <c r="F977" s="420"/>
      <c r="G977" s="420"/>
      <c r="I977" s="588"/>
      <c r="J977" s="588"/>
    </row>
    <row r="978" spans="1:10" ht="12.75">
      <c r="A978" s="10"/>
      <c r="B978" s="10"/>
    </row>
    <row r="979" spans="1:10" ht="12.75">
      <c r="A979" s="10"/>
      <c r="B979" s="10"/>
    </row>
    <row r="980" spans="1:10" ht="12.75">
      <c r="A980" s="10"/>
      <c r="B980" s="10"/>
    </row>
    <row r="981" spans="1:10" ht="12.75">
      <c r="A981" s="10"/>
      <c r="B981" s="10"/>
    </row>
    <row r="982" spans="1:10" ht="12.75">
      <c r="A982" s="10"/>
      <c r="B982" s="10"/>
    </row>
    <row r="983" spans="1:10" ht="12.75">
      <c r="A983" s="10"/>
      <c r="B983" s="10"/>
    </row>
    <row r="984" spans="1:10" ht="12.75">
      <c r="A984" s="10"/>
      <c r="B984" s="10"/>
    </row>
    <row r="985" spans="1:10" ht="12.75">
      <c r="A985" s="10"/>
      <c r="B985" s="10"/>
    </row>
    <row r="986" spans="1:10" ht="12.75">
      <c r="A986" s="10"/>
      <c r="B986" s="10"/>
    </row>
    <row r="987" spans="1:10" ht="12.75">
      <c r="A987" s="10"/>
      <c r="B987" s="10"/>
    </row>
    <row r="988" spans="1:10" ht="12.75">
      <c r="A988" s="10"/>
      <c r="B988" s="10"/>
      <c r="E988" s="420"/>
      <c r="F988" s="420"/>
      <c r="G988" s="420"/>
      <c r="I988" s="588"/>
      <c r="J988" s="588"/>
    </row>
    <row r="989" spans="1:10" ht="12.75">
      <c r="A989" s="10"/>
      <c r="B989" s="10"/>
    </row>
    <row r="990" spans="1:10" ht="12.75">
      <c r="A990" s="10"/>
      <c r="B990" s="10"/>
    </row>
    <row r="991" spans="1:10" ht="12.75">
      <c r="A991" s="10"/>
      <c r="B991" s="10"/>
    </row>
    <row r="992" spans="1:10" ht="12.75">
      <c r="A992" s="10"/>
      <c r="B992" s="10"/>
    </row>
    <row r="993" spans="1:10" ht="12.75">
      <c r="A993" s="10"/>
      <c r="B993" s="10"/>
    </row>
    <row r="994" spans="1:10" ht="12.75">
      <c r="A994" s="10"/>
      <c r="B994" s="10"/>
    </row>
    <row r="995" spans="1:10" ht="12.75">
      <c r="A995" s="10"/>
      <c r="B995" s="10"/>
    </row>
    <row r="996" spans="1:10" ht="12.75">
      <c r="A996" s="10"/>
      <c r="B996" s="10"/>
    </row>
    <row r="997" spans="1:10" ht="12.75">
      <c r="A997" s="10"/>
      <c r="B997" s="10"/>
    </row>
    <row r="998" spans="1:10" ht="12.75">
      <c r="A998" s="10"/>
      <c r="B998" s="10"/>
    </row>
    <row r="999" spans="1:10" ht="12.75">
      <c r="A999" s="10"/>
      <c r="B999" s="10"/>
      <c r="E999" s="420"/>
      <c r="F999" s="420"/>
      <c r="G999" s="420"/>
      <c r="I999" s="588"/>
      <c r="J999" s="588"/>
    </row>
    <row r="1000" spans="1:10" ht="12.75">
      <c r="A1000" s="10"/>
      <c r="B1000" s="10"/>
    </row>
    <row r="1001" spans="1:10" ht="12.75">
      <c r="A1001" s="10"/>
      <c r="B1001" s="10"/>
    </row>
    <row r="1002" spans="1:10" ht="12.75">
      <c r="A1002" s="10"/>
      <c r="B1002" s="10"/>
    </row>
    <row r="1003" spans="1:10" ht="12.75">
      <c r="A1003" s="10"/>
      <c r="B1003" s="10"/>
    </row>
    <row r="1004" spans="1:10" ht="12.75">
      <c r="A1004" s="10"/>
      <c r="B1004" s="10"/>
    </row>
    <row r="1005" spans="1:10" ht="12.75">
      <c r="A1005" s="10"/>
      <c r="B1005" s="10"/>
    </row>
    <row r="1006" spans="1:10" ht="12.75">
      <c r="A1006" s="10"/>
      <c r="B1006" s="10"/>
    </row>
    <row r="1007" spans="1:10" ht="12.75">
      <c r="A1007" s="10"/>
      <c r="B1007" s="10"/>
    </row>
    <row r="1008" spans="1:10" ht="12.75">
      <c r="A1008" s="10"/>
      <c r="B1008" s="10"/>
    </row>
    <row r="1009" spans="1:10" ht="12.75">
      <c r="A1009" s="10"/>
      <c r="B1009" s="10"/>
    </row>
    <row r="1010" spans="1:10" ht="12.75">
      <c r="A1010" s="10"/>
      <c r="B1010" s="10"/>
      <c r="E1010" s="420"/>
      <c r="F1010" s="420"/>
      <c r="G1010" s="420"/>
      <c r="I1010" s="588"/>
      <c r="J1010" s="588"/>
    </row>
    <row r="1011" spans="1:10" ht="12.75">
      <c r="A1011" s="10"/>
      <c r="B1011" s="10"/>
    </row>
    <row r="1012" spans="1:10" ht="12.75">
      <c r="A1012" s="10"/>
      <c r="B1012" s="10"/>
    </row>
    <row r="1013" spans="1:10" ht="12.75">
      <c r="A1013" s="10"/>
      <c r="B1013" s="10"/>
    </row>
    <row r="1014" spans="1:10" ht="12.75">
      <c r="A1014" s="10"/>
      <c r="B1014" s="10"/>
    </row>
    <row r="1015" spans="1:10" ht="12.75">
      <c r="A1015" s="10"/>
      <c r="B1015" s="10"/>
    </row>
    <row r="1016" spans="1:10" ht="12.75">
      <c r="A1016" s="10"/>
      <c r="B1016" s="10"/>
    </row>
    <row r="1017" spans="1:10" ht="12.75">
      <c r="A1017" s="10"/>
      <c r="B1017" s="10"/>
    </row>
    <row r="1018" spans="1:10" ht="12.75">
      <c r="A1018" s="10"/>
      <c r="B1018" s="10"/>
    </row>
    <row r="1019" spans="1:10" ht="12.75">
      <c r="A1019" s="10"/>
      <c r="B1019" s="10"/>
    </row>
    <row r="1020" spans="1:10" ht="12.75">
      <c r="A1020" s="10"/>
      <c r="B1020" s="10"/>
    </row>
    <row r="1021" spans="1:10" ht="12.75">
      <c r="A1021" s="10"/>
      <c r="B1021" s="10"/>
      <c r="E1021" s="420"/>
      <c r="F1021" s="420"/>
      <c r="G1021" s="420"/>
      <c r="I1021" s="588"/>
      <c r="J1021" s="588"/>
    </row>
    <row r="1022" spans="1:10" ht="12.75">
      <c r="A1022" s="10"/>
      <c r="B1022" s="10"/>
    </row>
    <row r="1023" spans="1:10" ht="12.75">
      <c r="A1023" s="10"/>
      <c r="B1023" s="10"/>
    </row>
    <row r="1024" spans="1:10" ht="12.75">
      <c r="A1024" s="10"/>
      <c r="B1024" s="10"/>
    </row>
    <row r="1025" spans="1:10" ht="12.75">
      <c r="A1025" s="10"/>
      <c r="B1025" s="10"/>
    </row>
    <row r="1026" spans="1:10" ht="12.75">
      <c r="A1026" s="10"/>
      <c r="B1026" s="10"/>
    </row>
    <row r="1027" spans="1:10" ht="12.75">
      <c r="A1027" s="10"/>
      <c r="B1027" s="10"/>
    </row>
    <row r="1028" spans="1:10" ht="12.75">
      <c r="A1028" s="10"/>
      <c r="B1028" s="10"/>
    </row>
    <row r="1029" spans="1:10" ht="12.75">
      <c r="A1029" s="10"/>
      <c r="B1029" s="10"/>
    </row>
    <row r="1030" spans="1:10" ht="12.75">
      <c r="A1030" s="10"/>
      <c r="B1030" s="10"/>
    </row>
    <row r="1031" spans="1:10" ht="12.75">
      <c r="A1031" s="10"/>
      <c r="B1031" s="10"/>
    </row>
    <row r="1032" spans="1:10" ht="12.75">
      <c r="A1032" s="10"/>
      <c r="B1032" s="10"/>
      <c r="E1032" s="420"/>
      <c r="F1032" s="420"/>
      <c r="G1032" s="420"/>
      <c r="I1032" s="588"/>
      <c r="J1032" s="588"/>
    </row>
    <row r="1033" spans="1:10" ht="12.75">
      <c r="A1033" s="10"/>
      <c r="B1033" s="10"/>
    </row>
    <row r="1034" spans="1:10" ht="12.75">
      <c r="A1034" s="10"/>
      <c r="B1034" s="10"/>
    </row>
    <row r="1035" spans="1:10" ht="12.75">
      <c r="A1035" s="10"/>
      <c r="B1035" s="10"/>
    </row>
    <row r="1036" spans="1:10" ht="12.75">
      <c r="A1036" s="10"/>
      <c r="B1036" s="10"/>
    </row>
    <row r="1037" spans="1:10" ht="12.75">
      <c r="A1037" s="10"/>
      <c r="B1037" s="10"/>
    </row>
    <row r="1038" spans="1:10" ht="12.75">
      <c r="A1038" s="10"/>
      <c r="B1038" s="10"/>
    </row>
    <row r="1039" spans="1:10" ht="12.75">
      <c r="A1039" s="10"/>
      <c r="B1039" s="10"/>
    </row>
    <row r="1040" spans="1:10" ht="12.75">
      <c r="A1040" s="10"/>
      <c r="B1040" s="10"/>
    </row>
    <row r="1041" spans="1:10" ht="12.75">
      <c r="A1041" s="10"/>
      <c r="B1041" s="10"/>
    </row>
    <row r="1042" spans="1:10" ht="12.75">
      <c r="A1042" s="10"/>
      <c r="B1042" s="10"/>
    </row>
    <row r="1043" spans="1:10" ht="12.75">
      <c r="A1043" s="10"/>
      <c r="B1043" s="10"/>
      <c r="E1043" s="420"/>
      <c r="F1043" s="420"/>
      <c r="G1043" s="420"/>
      <c r="I1043" s="588"/>
      <c r="J1043" s="588"/>
    </row>
    <row r="1044" spans="1:10" ht="12.75">
      <c r="A1044" s="10"/>
      <c r="B1044" s="10"/>
    </row>
    <row r="1045" spans="1:10" ht="12.75">
      <c r="A1045" s="10"/>
      <c r="B1045" s="10"/>
    </row>
    <row r="1046" spans="1:10" ht="12.75">
      <c r="A1046" s="10"/>
      <c r="B1046" s="10"/>
    </row>
    <row r="1047" spans="1:10" ht="12.75">
      <c r="A1047" s="10"/>
      <c r="B1047" s="10"/>
    </row>
    <row r="1048" spans="1:10" ht="12.75">
      <c r="A1048" s="10"/>
      <c r="B1048" s="10"/>
    </row>
    <row r="1049" spans="1:10" ht="12.75">
      <c r="A1049" s="10"/>
      <c r="B1049" s="10"/>
    </row>
    <row r="1050" spans="1:10" ht="12.75">
      <c r="A1050" s="10"/>
      <c r="B1050" s="10"/>
    </row>
    <row r="1051" spans="1:10" ht="12.75">
      <c r="A1051" s="10"/>
      <c r="B1051" s="10"/>
    </row>
    <row r="1052" spans="1:10" ht="12.75">
      <c r="A1052" s="10"/>
      <c r="B1052" s="10"/>
    </row>
    <row r="1053" spans="1:10" ht="12.75">
      <c r="A1053" s="10"/>
      <c r="B1053" s="10"/>
    </row>
    <row r="1054" spans="1:10" ht="12.75">
      <c r="A1054" s="10"/>
      <c r="B1054" s="10"/>
      <c r="E1054" s="420"/>
      <c r="F1054" s="420"/>
      <c r="G1054" s="420"/>
      <c r="I1054" s="588"/>
      <c r="J1054" s="588"/>
    </row>
    <row r="1055" spans="1:10" ht="12.75">
      <c r="A1055" s="10"/>
      <c r="B1055" s="10"/>
    </row>
    <row r="1056" spans="1:10" ht="12.75">
      <c r="A1056" s="10"/>
      <c r="B1056" s="10"/>
    </row>
    <row r="1057" spans="1:10" ht="12.75">
      <c r="A1057" s="10"/>
      <c r="B1057" s="10"/>
    </row>
    <row r="1058" spans="1:10" ht="12.75">
      <c r="A1058" s="10"/>
      <c r="B1058" s="10"/>
    </row>
    <row r="1059" spans="1:10" ht="12.75">
      <c r="A1059" s="10"/>
      <c r="B1059" s="10"/>
    </row>
    <row r="1060" spans="1:10" ht="12.75">
      <c r="A1060" s="10"/>
      <c r="B1060" s="10"/>
    </row>
    <row r="1061" spans="1:10" ht="12.75">
      <c r="A1061" s="10"/>
      <c r="B1061" s="10"/>
    </row>
    <row r="1062" spans="1:10" ht="12.75">
      <c r="A1062" s="10"/>
      <c r="B1062" s="10"/>
    </row>
    <row r="1063" spans="1:10" ht="12.75">
      <c r="A1063" s="10"/>
      <c r="B1063" s="10"/>
    </row>
    <row r="1064" spans="1:10" ht="12.75">
      <c r="A1064" s="10"/>
      <c r="B1064" s="10"/>
    </row>
    <row r="1065" spans="1:10" ht="12.75">
      <c r="A1065" s="10"/>
      <c r="B1065" s="10"/>
      <c r="E1065" s="420"/>
      <c r="F1065" s="420"/>
      <c r="G1065" s="420"/>
      <c r="I1065" s="588"/>
      <c r="J1065" s="588"/>
    </row>
    <row r="1066" spans="1:10" ht="12.75">
      <c r="A1066" s="10"/>
      <c r="B1066" s="10"/>
    </row>
    <row r="1067" spans="1:10" ht="12.75">
      <c r="A1067" s="10"/>
      <c r="B1067" s="10"/>
    </row>
    <row r="1068" spans="1:10" ht="12.75">
      <c r="A1068" s="10"/>
      <c r="B1068" s="10"/>
    </row>
    <row r="1069" spans="1:10" ht="12.75">
      <c r="A1069" s="10"/>
      <c r="B1069" s="10"/>
    </row>
    <row r="1070" spans="1:10" ht="12.75">
      <c r="A1070" s="10"/>
      <c r="B1070" s="10"/>
    </row>
    <row r="1071" spans="1:10" ht="12.75">
      <c r="A1071" s="10"/>
      <c r="B1071" s="10"/>
    </row>
    <row r="1072" spans="1:10" ht="12.75">
      <c r="A1072" s="10"/>
      <c r="B1072" s="10"/>
    </row>
    <row r="1073" spans="1:10" ht="12.75">
      <c r="A1073" s="10"/>
      <c r="B1073" s="10"/>
    </row>
    <row r="1074" spans="1:10" ht="12.75">
      <c r="A1074" s="10"/>
      <c r="B1074" s="10"/>
    </row>
    <row r="1075" spans="1:10" ht="12.75">
      <c r="A1075" s="10"/>
      <c r="B1075" s="10"/>
    </row>
    <row r="1076" spans="1:10" ht="12.75">
      <c r="A1076" s="10"/>
      <c r="B1076" s="10"/>
      <c r="E1076" s="420"/>
      <c r="F1076" s="420"/>
      <c r="G1076" s="420"/>
      <c r="I1076" s="588"/>
      <c r="J1076" s="588"/>
    </row>
    <row r="1077" spans="1:10" ht="12.75">
      <c r="A1077" s="10"/>
      <c r="B1077" s="10"/>
    </row>
    <row r="1078" spans="1:10" ht="12.75">
      <c r="A1078" s="10"/>
      <c r="B1078" s="10"/>
    </row>
    <row r="1079" spans="1:10" ht="12.75">
      <c r="A1079" s="10"/>
      <c r="B1079" s="10"/>
    </row>
    <row r="1080" spans="1:10" ht="12.75">
      <c r="A1080" s="10"/>
      <c r="B1080" s="10"/>
    </row>
    <row r="1081" spans="1:10" ht="12.75">
      <c r="A1081" s="10"/>
      <c r="B1081" s="10"/>
    </row>
    <row r="1082" spans="1:10" ht="12.75">
      <c r="A1082" s="10"/>
      <c r="B1082" s="10"/>
    </row>
    <row r="1083" spans="1:10" ht="12.75">
      <c r="A1083" s="10"/>
      <c r="B1083" s="10"/>
    </row>
    <row r="1084" spans="1:10" ht="12.75">
      <c r="A1084" s="10"/>
      <c r="B1084" s="10"/>
    </row>
    <row r="1085" spans="1:10" ht="12.75">
      <c r="A1085" s="10"/>
      <c r="B1085" s="10"/>
    </row>
    <row r="1086" spans="1:10" ht="12.75">
      <c r="A1086" s="10"/>
      <c r="B1086" s="10"/>
    </row>
    <row r="1087" spans="1:10" ht="12.75">
      <c r="A1087" s="10"/>
      <c r="B1087" s="10"/>
      <c r="E1087" s="420"/>
      <c r="F1087" s="420"/>
      <c r="G1087" s="420"/>
      <c r="I1087" s="588"/>
      <c r="J1087" s="588"/>
    </row>
    <row r="1088" spans="1:10" ht="12.75">
      <c r="A1088" s="10"/>
      <c r="B1088" s="10"/>
    </row>
    <row r="1089" spans="1:10" ht="12.75">
      <c r="A1089" s="10"/>
      <c r="B1089" s="10"/>
    </row>
    <row r="1090" spans="1:10" ht="12.75">
      <c r="A1090" s="10"/>
      <c r="B1090" s="10"/>
    </row>
    <row r="1091" spans="1:10" ht="12.75">
      <c r="A1091" s="10"/>
      <c r="B1091" s="10"/>
    </row>
    <row r="1092" spans="1:10" ht="12.75">
      <c r="A1092" s="10"/>
      <c r="B1092" s="10"/>
    </row>
    <row r="1093" spans="1:10" ht="12.75">
      <c r="A1093" s="10"/>
      <c r="B1093" s="10"/>
    </row>
    <row r="1094" spans="1:10" ht="12.75">
      <c r="A1094" s="10"/>
      <c r="B1094" s="10"/>
    </row>
    <row r="1095" spans="1:10" ht="12.75">
      <c r="A1095" s="10"/>
      <c r="B1095" s="10"/>
    </row>
    <row r="1096" spans="1:10" ht="12.75">
      <c r="A1096" s="10"/>
      <c r="B1096" s="10"/>
    </row>
    <row r="1097" spans="1:10" ht="12.75">
      <c r="A1097" s="10"/>
      <c r="B1097" s="10"/>
    </row>
    <row r="1098" spans="1:10" ht="12.75">
      <c r="A1098" s="10"/>
      <c r="B1098" s="10"/>
      <c r="E1098" s="420"/>
      <c r="F1098" s="420"/>
      <c r="G1098" s="420"/>
      <c r="I1098" s="588"/>
      <c r="J1098" s="588"/>
    </row>
    <row r="1099" spans="1:10" ht="12.75">
      <c r="A1099" s="10"/>
      <c r="B1099" s="10"/>
    </row>
    <row r="1100" spans="1:10" ht="12.75">
      <c r="A1100" s="10"/>
      <c r="B1100" s="10"/>
    </row>
    <row r="1101" spans="1:10" ht="12.75">
      <c r="A1101" s="10"/>
      <c r="B1101" s="10"/>
    </row>
    <row r="1102" spans="1:10" ht="12.75">
      <c r="A1102" s="10"/>
      <c r="B1102" s="10"/>
    </row>
    <row r="1103" spans="1:10" ht="12.75">
      <c r="A1103" s="10"/>
      <c r="B1103" s="10"/>
    </row>
    <row r="1104" spans="1:10" ht="12.75">
      <c r="A1104" s="10"/>
      <c r="B1104" s="10"/>
    </row>
    <row r="1105" spans="1:10" ht="12.75">
      <c r="A1105" s="10"/>
      <c r="B1105" s="10"/>
    </row>
    <row r="1106" spans="1:10" ht="12.75">
      <c r="A1106" s="10"/>
      <c r="B1106" s="10"/>
    </row>
    <row r="1107" spans="1:10" ht="12.75">
      <c r="A1107" s="10"/>
      <c r="B1107" s="10"/>
    </row>
    <row r="1108" spans="1:10" ht="12.75">
      <c r="A1108" s="10"/>
      <c r="B1108" s="10"/>
    </row>
    <row r="1109" spans="1:10" ht="12.75">
      <c r="A1109" s="10"/>
      <c r="B1109" s="10"/>
      <c r="E1109" s="420"/>
      <c r="F1109" s="420"/>
      <c r="G1109" s="420"/>
      <c r="I1109" s="588"/>
      <c r="J1109" s="588"/>
    </row>
    <row r="1110" spans="1:10" ht="12.75">
      <c r="A1110" s="10"/>
      <c r="B1110" s="10"/>
    </row>
    <row r="1111" spans="1:10" ht="12.75">
      <c r="A1111" s="10"/>
      <c r="B1111" s="10"/>
    </row>
    <row r="1112" spans="1:10" ht="12.75">
      <c r="A1112" s="10"/>
      <c r="B1112" s="10"/>
    </row>
    <row r="1113" spans="1:10" ht="12.75">
      <c r="A1113" s="10"/>
      <c r="B1113" s="10"/>
    </row>
    <row r="1114" spans="1:10" ht="12.75">
      <c r="A1114" s="10"/>
      <c r="B1114" s="10"/>
    </row>
    <row r="1115" spans="1:10" ht="12.75">
      <c r="A1115" s="10"/>
      <c r="B1115" s="10"/>
    </row>
    <row r="1116" spans="1:10" ht="12.75">
      <c r="A1116" s="10"/>
      <c r="B1116" s="10"/>
    </row>
    <row r="1117" spans="1:10" ht="12.75">
      <c r="A1117" s="10"/>
      <c r="B1117" s="10"/>
    </row>
    <row r="1118" spans="1:10" ht="12.75">
      <c r="A1118" s="10"/>
      <c r="B1118" s="10"/>
    </row>
    <row r="1119" spans="1:10" ht="12.75">
      <c r="A1119" s="10"/>
      <c r="B1119" s="10"/>
    </row>
    <row r="1120" spans="1:10" ht="12.75">
      <c r="A1120" s="10"/>
      <c r="B1120" s="10"/>
      <c r="E1120" s="420"/>
      <c r="F1120" s="420"/>
      <c r="G1120" s="420"/>
      <c r="I1120" s="588"/>
      <c r="J1120" s="588"/>
    </row>
    <row r="1121" spans="1:10" ht="12.75">
      <c r="A1121" s="10"/>
      <c r="B1121" s="10"/>
    </row>
    <row r="1122" spans="1:10" ht="12.75">
      <c r="A1122" s="10"/>
      <c r="B1122" s="10"/>
    </row>
    <row r="1123" spans="1:10" ht="12.75">
      <c r="A1123" s="10"/>
      <c r="B1123" s="10"/>
    </row>
    <row r="1124" spans="1:10" ht="12.75">
      <c r="A1124" s="10"/>
      <c r="B1124" s="10"/>
    </row>
    <row r="1125" spans="1:10" ht="12.75">
      <c r="A1125" s="10"/>
      <c r="B1125" s="10"/>
    </row>
    <row r="1126" spans="1:10" ht="12.75">
      <c r="A1126" s="10"/>
      <c r="B1126" s="10"/>
    </row>
    <row r="1127" spans="1:10" ht="12.75">
      <c r="A1127" s="10"/>
      <c r="B1127" s="10"/>
    </row>
    <row r="1128" spans="1:10" ht="12.75">
      <c r="A1128" s="10"/>
      <c r="B1128" s="10"/>
    </row>
    <row r="1129" spans="1:10" ht="12.75">
      <c r="A1129" s="10"/>
      <c r="B1129" s="10"/>
    </row>
    <row r="1130" spans="1:10" ht="12.75">
      <c r="A1130" s="10"/>
      <c r="B1130" s="10"/>
    </row>
    <row r="1131" spans="1:10" ht="12.75">
      <c r="A1131" s="10"/>
      <c r="B1131" s="10"/>
      <c r="E1131" s="420"/>
      <c r="F1131" s="420"/>
      <c r="G1131" s="420"/>
      <c r="I1131" s="588"/>
      <c r="J1131" s="588"/>
    </row>
    <row r="1132" spans="1:10" ht="12.75">
      <c r="A1132" s="10"/>
      <c r="B1132" s="10"/>
    </row>
    <row r="1133" spans="1:10" ht="12.75">
      <c r="A1133" s="10"/>
      <c r="B1133" s="10"/>
    </row>
    <row r="1134" spans="1:10" ht="12.75">
      <c r="A1134" s="10"/>
      <c r="B1134" s="10"/>
    </row>
    <row r="1135" spans="1:10" ht="12.75">
      <c r="A1135" s="10"/>
      <c r="B1135" s="10"/>
    </row>
    <row r="1136" spans="1:10" ht="12.75">
      <c r="A1136" s="10"/>
      <c r="B1136" s="10"/>
    </row>
    <row r="1137" spans="1:10" ht="12.75">
      <c r="A1137" s="10"/>
      <c r="B1137" s="10"/>
    </row>
    <row r="1138" spans="1:10" ht="12.75">
      <c r="A1138" s="10"/>
      <c r="B1138" s="10"/>
    </row>
    <row r="1139" spans="1:10" ht="12.75">
      <c r="A1139" s="10"/>
      <c r="B1139" s="10"/>
    </row>
    <row r="1140" spans="1:10" ht="12.75">
      <c r="A1140" s="10"/>
      <c r="B1140" s="10"/>
    </row>
    <row r="1141" spans="1:10" ht="12.75">
      <c r="A1141" s="10"/>
      <c r="B1141" s="10"/>
    </row>
    <row r="1142" spans="1:10" ht="12.75">
      <c r="A1142" s="10"/>
      <c r="B1142" s="10"/>
      <c r="E1142" s="420"/>
      <c r="F1142" s="420"/>
      <c r="G1142" s="420"/>
      <c r="I1142" s="588"/>
      <c r="J1142" s="588"/>
    </row>
    <row r="1143" spans="1:10" ht="12.75">
      <c r="A1143" s="10"/>
      <c r="B1143" s="10"/>
    </row>
    <row r="1144" spans="1:10" ht="12.75">
      <c r="A1144" s="10"/>
      <c r="B1144" s="10"/>
    </row>
    <row r="1145" spans="1:10" ht="12.75">
      <c r="A1145" s="10"/>
      <c r="B1145" s="10"/>
    </row>
    <row r="1146" spans="1:10" ht="12.75">
      <c r="A1146" s="10"/>
      <c r="B1146" s="10"/>
    </row>
    <row r="1147" spans="1:10" ht="12.75">
      <c r="A1147" s="10"/>
      <c r="B1147" s="10"/>
    </row>
    <row r="1148" spans="1:10" ht="12.75">
      <c r="A1148" s="10"/>
      <c r="B1148" s="10"/>
    </row>
    <row r="1149" spans="1:10" ht="12.75">
      <c r="A1149" s="10"/>
      <c r="B1149" s="10"/>
    </row>
    <row r="1150" spans="1:10" ht="12.75">
      <c r="A1150" s="10"/>
      <c r="B1150" s="10"/>
    </row>
    <row r="1151" spans="1:10" ht="12.75">
      <c r="A1151" s="10"/>
      <c r="B1151" s="10"/>
    </row>
    <row r="1152" spans="1:10" ht="12.75">
      <c r="A1152" s="10"/>
      <c r="B1152" s="10"/>
    </row>
    <row r="1153" spans="1:10" ht="12.75">
      <c r="A1153" s="10"/>
      <c r="B1153" s="10"/>
      <c r="E1153" s="420"/>
      <c r="F1153" s="420"/>
      <c r="G1153" s="420"/>
      <c r="I1153" s="588"/>
      <c r="J1153" s="588"/>
    </row>
    <row r="1154" spans="1:10" ht="12.75">
      <c r="A1154" s="10"/>
      <c r="B1154" s="10"/>
    </row>
    <row r="1155" spans="1:10" ht="12.75">
      <c r="A1155" s="10"/>
      <c r="B1155" s="10"/>
    </row>
    <row r="1156" spans="1:10" ht="12.75">
      <c r="A1156" s="10"/>
      <c r="B1156" s="10"/>
    </row>
    <row r="1157" spans="1:10" ht="12.75">
      <c r="A1157" s="10"/>
      <c r="B1157" s="10"/>
    </row>
    <row r="1158" spans="1:10" ht="12.75">
      <c r="A1158" s="10"/>
      <c r="B1158" s="10"/>
    </row>
    <row r="1159" spans="1:10" ht="12.75">
      <c r="A1159" s="10"/>
      <c r="B1159" s="10"/>
    </row>
    <row r="1160" spans="1:10" ht="12.75">
      <c r="A1160" s="10"/>
      <c r="B1160" s="10"/>
    </row>
    <row r="1161" spans="1:10" ht="12.75">
      <c r="A1161" s="10"/>
      <c r="B1161" s="10"/>
    </row>
    <row r="1162" spans="1:10" ht="12.75">
      <c r="A1162" s="10"/>
      <c r="B1162" s="10"/>
    </row>
    <row r="1163" spans="1:10" ht="12.75">
      <c r="A1163" s="10"/>
      <c r="B1163" s="10"/>
    </row>
    <row r="1164" spans="1:10" ht="12.75">
      <c r="A1164" s="10"/>
      <c r="B1164" s="10"/>
      <c r="E1164" s="420"/>
      <c r="F1164" s="420"/>
      <c r="G1164" s="420"/>
      <c r="I1164" s="588"/>
      <c r="J1164" s="588"/>
    </row>
    <row r="1165" spans="1:10" ht="12.75">
      <c r="A1165" s="10"/>
      <c r="B1165" s="10"/>
    </row>
    <row r="1166" spans="1:10" ht="12.75">
      <c r="A1166" s="10"/>
      <c r="B1166" s="10"/>
    </row>
    <row r="1167" spans="1:10" ht="12.75">
      <c r="A1167" s="10"/>
      <c r="B1167" s="10"/>
    </row>
    <row r="1168" spans="1:10" ht="12.75">
      <c r="A1168" s="10"/>
      <c r="B1168" s="10"/>
    </row>
    <row r="1169" spans="1:10" ht="12.75">
      <c r="A1169" s="10"/>
      <c r="B1169" s="10"/>
    </row>
    <row r="1170" spans="1:10" ht="12.75">
      <c r="A1170" s="10"/>
      <c r="B1170" s="10"/>
    </row>
    <row r="1171" spans="1:10" ht="12.75">
      <c r="A1171" s="10"/>
      <c r="B1171" s="10"/>
    </row>
    <row r="1172" spans="1:10" ht="12.75">
      <c r="A1172" s="10"/>
      <c r="B1172" s="10"/>
    </row>
    <row r="1173" spans="1:10" ht="12.75">
      <c r="A1173" s="10"/>
      <c r="B1173" s="10"/>
    </row>
    <row r="1174" spans="1:10" ht="12.75">
      <c r="A1174" s="10"/>
      <c r="B1174" s="10"/>
    </row>
    <row r="1175" spans="1:10" ht="12.75">
      <c r="A1175" s="10"/>
      <c r="B1175" s="10"/>
      <c r="E1175" s="420"/>
      <c r="F1175" s="420"/>
      <c r="G1175" s="420"/>
      <c r="I1175" s="588"/>
      <c r="J1175" s="588"/>
    </row>
    <row r="1176" spans="1:10" ht="12.75">
      <c r="A1176" s="10"/>
      <c r="B1176" s="10"/>
    </row>
    <row r="1177" spans="1:10" ht="12.75">
      <c r="A1177" s="10"/>
      <c r="B1177" s="10"/>
    </row>
    <row r="1178" spans="1:10" ht="12.75">
      <c r="A1178" s="10"/>
      <c r="B1178" s="10"/>
    </row>
    <row r="1179" spans="1:10" ht="12.75">
      <c r="A1179" s="10"/>
      <c r="B1179" s="10"/>
    </row>
    <row r="1180" spans="1:10" ht="12.75">
      <c r="A1180" s="10"/>
      <c r="B1180" s="10"/>
    </row>
    <row r="1181" spans="1:10" ht="12.75">
      <c r="A1181" s="10"/>
      <c r="B1181" s="10"/>
    </row>
    <row r="1182" spans="1:10" ht="12.75">
      <c r="A1182" s="10"/>
      <c r="B1182" s="10"/>
    </row>
    <row r="1183" spans="1:10" ht="12.75">
      <c r="A1183" s="10"/>
      <c r="B1183" s="10"/>
    </row>
    <row r="1184" spans="1:10" ht="12.75">
      <c r="A1184" s="10"/>
      <c r="B1184" s="10"/>
    </row>
    <row r="1185" spans="1:10" ht="12.75">
      <c r="A1185" s="10"/>
      <c r="B1185" s="10"/>
    </row>
    <row r="1186" spans="1:10" ht="12.75">
      <c r="A1186" s="10"/>
      <c r="B1186" s="10"/>
      <c r="E1186" s="420"/>
      <c r="F1186" s="420"/>
      <c r="G1186" s="420"/>
      <c r="I1186" s="588"/>
      <c r="J1186" s="588"/>
    </row>
    <row r="1187" spans="1:10" ht="12.75">
      <c r="A1187" s="10"/>
      <c r="B1187" s="10"/>
    </row>
    <row r="1188" spans="1:10" ht="12.75">
      <c r="A1188" s="10"/>
      <c r="B1188" s="10"/>
    </row>
    <row r="1189" spans="1:10" ht="12.75">
      <c r="A1189" s="10"/>
      <c r="B1189" s="10"/>
    </row>
    <row r="1190" spans="1:10" ht="12.75">
      <c r="A1190" s="10"/>
      <c r="B1190" s="10"/>
    </row>
    <row r="1191" spans="1:10" ht="12.75">
      <c r="A1191" s="10"/>
      <c r="B1191" s="10"/>
    </row>
    <row r="1192" spans="1:10" ht="12.75">
      <c r="A1192" s="10"/>
      <c r="B1192" s="10"/>
    </row>
    <row r="1193" spans="1:10" ht="12.75">
      <c r="A1193" s="10"/>
      <c r="B1193" s="10"/>
    </row>
    <row r="1194" spans="1:10" ht="12.75">
      <c r="A1194" s="10"/>
      <c r="B1194" s="10"/>
    </row>
    <row r="1195" spans="1:10" ht="12.75">
      <c r="A1195" s="10"/>
      <c r="B1195" s="10"/>
    </row>
    <row r="1196" spans="1:10" ht="12.75">
      <c r="A1196" s="10"/>
      <c r="B1196" s="10"/>
    </row>
    <row r="1197" spans="1:10" ht="12.75">
      <c r="A1197" s="10"/>
      <c r="B1197" s="10"/>
      <c r="E1197" s="420"/>
      <c r="F1197" s="420"/>
      <c r="G1197" s="420"/>
      <c r="I1197" s="588"/>
      <c r="J1197" s="588"/>
    </row>
    <row r="1198" spans="1:10" ht="12.75">
      <c r="A1198" s="10"/>
      <c r="B1198" s="10"/>
    </row>
    <row r="1199" spans="1:10" ht="12.75">
      <c r="A1199" s="10"/>
      <c r="B1199" s="10"/>
    </row>
    <row r="1200" spans="1:10" ht="12.75">
      <c r="A1200" s="10"/>
      <c r="B1200" s="10"/>
    </row>
    <row r="1201" spans="1:10" ht="12.75">
      <c r="A1201" s="10"/>
      <c r="B1201" s="10"/>
    </row>
    <row r="1202" spans="1:10" ht="12.75">
      <c r="A1202" s="10"/>
      <c r="B1202" s="10"/>
    </row>
    <row r="1203" spans="1:10" ht="12.75">
      <c r="A1203" s="10"/>
      <c r="B1203" s="10"/>
    </row>
    <row r="1204" spans="1:10" ht="12.75">
      <c r="A1204" s="10"/>
      <c r="B1204" s="10"/>
    </row>
    <row r="1205" spans="1:10" ht="12.75">
      <c r="A1205" s="10"/>
      <c r="B1205" s="10"/>
    </row>
    <row r="1206" spans="1:10" ht="12.75">
      <c r="A1206" s="10"/>
      <c r="B1206" s="10"/>
    </row>
    <row r="1207" spans="1:10" ht="12.75">
      <c r="A1207" s="10"/>
      <c r="B1207" s="10"/>
    </row>
    <row r="1208" spans="1:10" ht="12.75">
      <c r="A1208" s="10"/>
      <c r="B1208" s="10"/>
      <c r="E1208" s="420"/>
      <c r="F1208" s="420"/>
      <c r="G1208" s="420"/>
      <c r="I1208" s="588"/>
      <c r="J1208" s="588"/>
    </row>
    <row r="1209" spans="1:10" ht="12.75">
      <c r="A1209" s="10"/>
      <c r="B1209" s="10"/>
    </row>
    <row r="1210" spans="1:10" ht="12.75">
      <c r="A1210" s="10"/>
      <c r="B1210" s="10"/>
    </row>
    <row r="1211" spans="1:10" ht="12.75">
      <c r="A1211" s="10"/>
      <c r="B1211" s="10"/>
    </row>
    <row r="1212" spans="1:10" ht="12.75">
      <c r="A1212" s="10"/>
      <c r="B1212" s="10"/>
    </row>
    <row r="1213" spans="1:10" ht="12.75">
      <c r="A1213" s="10"/>
      <c r="B1213" s="10"/>
    </row>
    <row r="1214" spans="1:10" ht="12.75">
      <c r="A1214" s="10"/>
      <c r="B1214" s="10"/>
    </row>
    <row r="1215" spans="1:10" ht="12.75">
      <c r="A1215" s="10"/>
      <c r="B1215" s="10"/>
    </row>
    <row r="1216" spans="1:10" ht="12.75">
      <c r="A1216" s="10"/>
      <c r="B1216" s="10"/>
    </row>
    <row r="1217" spans="1:10" ht="12.75">
      <c r="A1217" s="10"/>
      <c r="B1217" s="10"/>
    </row>
    <row r="1218" spans="1:10" ht="12.75">
      <c r="A1218" s="10"/>
      <c r="B1218" s="10"/>
    </row>
    <row r="1219" spans="1:10" ht="12.75">
      <c r="A1219" s="10"/>
      <c r="B1219" s="10"/>
      <c r="E1219" s="420"/>
      <c r="F1219" s="420"/>
      <c r="G1219" s="420"/>
      <c r="I1219" s="588"/>
      <c r="J1219" s="588"/>
    </row>
    <row r="1220" spans="1:10" ht="12.75">
      <c r="A1220" s="10"/>
      <c r="B1220" s="10"/>
    </row>
    <row r="1221" spans="1:10" ht="12.75">
      <c r="A1221" s="10"/>
      <c r="B1221" s="10"/>
    </row>
    <row r="1222" spans="1:10" ht="12.75">
      <c r="A1222" s="10"/>
      <c r="B1222" s="10"/>
    </row>
    <row r="1223" spans="1:10" ht="12.75">
      <c r="A1223" s="10"/>
      <c r="B1223" s="10"/>
    </row>
    <row r="1224" spans="1:10" ht="12.75">
      <c r="A1224" s="10"/>
      <c r="B1224" s="10"/>
    </row>
    <row r="1225" spans="1:10" ht="12.75">
      <c r="A1225" s="10"/>
      <c r="B1225" s="10"/>
    </row>
    <row r="1226" spans="1:10" ht="12.75">
      <c r="A1226" s="10"/>
      <c r="B1226" s="10"/>
    </row>
    <row r="1227" spans="1:10" ht="12.75">
      <c r="A1227" s="10"/>
      <c r="B1227" s="10"/>
    </row>
    <row r="1228" spans="1:10" ht="12.75">
      <c r="A1228" s="10"/>
      <c r="B1228" s="10"/>
    </row>
    <row r="1229" spans="1:10" ht="12.75">
      <c r="A1229" s="10"/>
      <c r="B1229" s="10"/>
    </row>
    <row r="1230" spans="1:10" ht="12.75">
      <c r="A1230" s="10"/>
      <c r="B1230" s="10"/>
      <c r="E1230" s="420"/>
      <c r="F1230" s="420"/>
      <c r="G1230" s="420"/>
      <c r="I1230" s="588"/>
      <c r="J1230" s="588"/>
    </row>
    <row r="1231" spans="1:10" ht="12.75">
      <c r="A1231" s="10"/>
      <c r="B1231" s="10"/>
    </row>
    <row r="1232" spans="1:10" ht="12.75">
      <c r="A1232" s="10"/>
      <c r="B1232" s="10"/>
    </row>
    <row r="1233" spans="1:10" ht="12.75">
      <c r="A1233" s="10"/>
      <c r="B1233" s="10"/>
    </row>
    <row r="1234" spans="1:10" ht="12.75">
      <c r="A1234" s="10"/>
      <c r="B1234" s="10"/>
    </row>
    <row r="1235" spans="1:10" ht="12.75">
      <c r="A1235" s="10"/>
      <c r="B1235" s="10"/>
    </row>
    <row r="1236" spans="1:10" ht="12.75">
      <c r="A1236" s="10"/>
      <c r="B1236" s="10"/>
    </row>
    <row r="1237" spans="1:10" ht="12.75">
      <c r="A1237" s="10"/>
      <c r="B1237" s="10"/>
    </row>
    <row r="1238" spans="1:10" ht="12.75">
      <c r="A1238" s="10"/>
      <c r="B1238" s="10"/>
    </row>
    <row r="1239" spans="1:10" ht="12.75">
      <c r="A1239" s="10"/>
      <c r="B1239" s="10"/>
    </row>
    <row r="1240" spans="1:10" ht="12.75">
      <c r="A1240" s="10"/>
      <c r="B1240" s="10"/>
    </row>
    <row r="1241" spans="1:10" ht="12.75">
      <c r="A1241" s="10"/>
      <c r="B1241" s="10"/>
      <c r="E1241" s="420"/>
      <c r="F1241" s="420"/>
      <c r="G1241" s="420"/>
      <c r="I1241" s="588"/>
      <c r="J1241" s="588"/>
    </row>
    <row r="1242" spans="1:10" ht="12.75">
      <c r="A1242" s="10"/>
      <c r="B1242" s="10"/>
    </row>
    <row r="1243" spans="1:10" ht="12.75">
      <c r="A1243" s="10"/>
      <c r="B1243" s="10"/>
    </row>
    <row r="1244" spans="1:10" ht="12.75">
      <c r="A1244" s="10"/>
      <c r="B1244" s="10"/>
    </row>
    <row r="1245" spans="1:10" ht="12.75">
      <c r="A1245" s="10"/>
      <c r="B1245" s="10"/>
    </row>
    <row r="1246" spans="1:10" ht="12.75">
      <c r="A1246" s="10"/>
      <c r="B1246" s="10"/>
    </row>
    <row r="1247" spans="1:10" ht="12.75">
      <c r="A1247" s="10"/>
      <c r="B1247" s="10"/>
    </row>
    <row r="1248" spans="1:10" ht="12.75">
      <c r="A1248" s="10"/>
      <c r="B1248" s="10"/>
    </row>
    <row r="1249" spans="1:10" ht="12.75">
      <c r="A1249" s="10"/>
      <c r="B1249" s="10"/>
    </row>
    <row r="1250" spans="1:10" ht="12.75">
      <c r="A1250" s="10"/>
      <c r="B1250" s="10"/>
    </row>
    <row r="1251" spans="1:10" ht="12.75">
      <c r="A1251" s="10"/>
      <c r="B1251" s="10"/>
    </row>
    <row r="1252" spans="1:10" ht="12.75">
      <c r="A1252" s="10"/>
      <c r="B1252" s="10"/>
      <c r="E1252" s="420"/>
      <c r="F1252" s="420"/>
      <c r="G1252" s="420"/>
      <c r="I1252" s="588"/>
      <c r="J1252" s="588"/>
    </row>
    <row r="1253" spans="1:10" ht="12.75">
      <c r="A1253" s="10"/>
      <c r="B1253" s="10"/>
    </row>
    <row r="1254" spans="1:10" ht="12.75">
      <c r="A1254" s="10"/>
      <c r="B1254" s="10"/>
    </row>
    <row r="1255" spans="1:10" ht="12.75">
      <c r="A1255" s="10"/>
      <c r="B1255" s="10"/>
    </row>
    <row r="1256" spans="1:10" ht="12.75">
      <c r="A1256" s="10"/>
      <c r="B1256" s="10"/>
    </row>
    <row r="1257" spans="1:10" ht="12.75">
      <c r="A1257" s="10"/>
      <c r="B1257" s="10"/>
    </row>
    <row r="1258" spans="1:10" ht="12.75">
      <c r="A1258" s="10"/>
      <c r="B1258" s="10"/>
    </row>
    <row r="1259" spans="1:10" ht="12.75">
      <c r="A1259" s="10"/>
      <c r="B1259" s="10"/>
    </row>
    <row r="1260" spans="1:10" ht="12.75">
      <c r="A1260" s="10"/>
      <c r="B1260" s="10"/>
    </row>
    <row r="1261" spans="1:10" ht="12.75">
      <c r="A1261" s="10"/>
      <c r="B1261" s="10"/>
    </row>
    <row r="1262" spans="1:10" ht="12.75">
      <c r="A1262" s="10"/>
      <c r="B1262" s="10"/>
    </row>
    <row r="1263" spans="1:10" ht="12.75">
      <c r="A1263" s="10"/>
      <c r="B1263" s="10"/>
      <c r="E1263" s="420"/>
      <c r="F1263" s="420"/>
      <c r="G1263" s="420"/>
      <c r="I1263" s="588"/>
      <c r="J1263" s="588"/>
    </row>
    <row r="1264" spans="1:10" ht="12.75">
      <c r="A1264" s="10"/>
      <c r="B1264" s="10"/>
    </row>
    <row r="1265" spans="1:10" ht="12.75">
      <c r="A1265" s="10"/>
      <c r="B1265" s="10"/>
    </row>
    <row r="1266" spans="1:10" ht="12.75">
      <c r="A1266" s="10"/>
      <c r="B1266" s="10"/>
    </row>
    <row r="1267" spans="1:10" ht="12.75">
      <c r="A1267" s="10"/>
      <c r="B1267" s="10"/>
    </row>
    <row r="1268" spans="1:10" ht="12.75">
      <c r="A1268" s="10"/>
      <c r="B1268" s="10"/>
    </row>
    <row r="1269" spans="1:10" ht="12.75">
      <c r="A1269" s="10"/>
      <c r="B1269" s="10"/>
    </row>
    <row r="1270" spans="1:10" ht="12.75">
      <c r="A1270" s="10"/>
      <c r="B1270" s="10"/>
    </row>
    <row r="1271" spans="1:10" ht="12.75">
      <c r="A1271" s="10"/>
      <c r="B1271" s="10"/>
    </row>
    <row r="1272" spans="1:10" ht="12.75">
      <c r="A1272" s="10"/>
      <c r="B1272" s="10"/>
    </row>
    <row r="1273" spans="1:10" ht="12.75">
      <c r="A1273" s="10"/>
      <c r="B1273" s="10"/>
    </row>
    <row r="1274" spans="1:10" ht="12.75">
      <c r="A1274" s="10"/>
      <c r="B1274" s="10"/>
      <c r="E1274" s="420"/>
      <c r="F1274" s="420"/>
      <c r="G1274" s="420"/>
      <c r="I1274" s="588"/>
      <c r="J1274" s="588"/>
    </row>
    <row r="1275" spans="1:10" ht="12.75">
      <c r="A1275" s="10"/>
      <c r="B1275" s="10"/>
    </row>
    <row r="1276" spans="1:10" ht="12.75">
      <c r="A1276" s="10"/>
      <c r="B1276" s="10"/>
    </row>
    <row r="1277" spans="1:10" ht="12.75">
      <c r="A1277" s="10"/>
      <c r="B1277" s="10"/>
    </row>
    <row r="1278" spans="1:10" ht="12.75">
      <c r="A1278" s="10"/>
      <c r="B1278" s="10"/>
    </row>
    <row r="1279" spans="1:10" ht="12.75">
      <c r="A1279" s="10"/>
      <c r="B1279" s="10"/>
    </row>
    <row r="1280" spans="1:10" ht="12.75">
      <c r="A1280" s="10"/>
      <c r="B1280" s="10"/>
    </row>
    <row r="1281" spans="1:10" ht="12.75">
      <c r="A1281" s="10"/>
      <c r="B1281" s="10"/>
    </row>
    <row r="1282" spans="1:10" ht="12.75">
      <c r="A1282" s="10"/>
      <c r="B1282" s="10"/>
    </row>
    <row r="1283" spans="1:10" ht="12.75">
      <c r="A1283" s="10"/>
      <c r="B1283" s="10"/>
    </row>
    <row r="1284" spans="1:10" ht="12.75">
      <c r="A1284" s="10"/>
      <c r="B1284" s="10"/>
    </row>
    <row r="1285" spans="1:10" ht="12.75">
      <c r="A1285" s="10"/>
      <c r="B1285" s="10"/>
      <c r="E1285" s="420"/>
      <c r="F1285" s="420"/>
      <c r="G1285" s="420"/>
      <c r="I1285" s="588"/>
      <c r="J1285" s="588"/>
    </row>
    <row r="1286" spans="1:10" ht="12.75">
      <c r="A1286" s="10"/>
      <c r="B1286" s="10"/>
    </row>
    <row r="1287" spans="1:10" ht="12.75">
      <c r="A1287" s="10"/>
      <c r="B1287" s="10"/>
    </row>
    <row r="1288" spans="1:10" ht="12.75">
      <c r="A1288" s="10"/>
      <c r="B1288" s="10"/>
    </row>
    <row r="1289" spans="1:10" ht="12.75">
      <c r="A1289" s="10"/>
      <c r="B1289" s="10"/>
    </row>
    <row r="1290" spans="1:10" ht="12.75">
      <c r="A1290" s="10"/>
      <c r="B1290" s="10"/>
    </row>
    <row r="1291" spans="1:10" ht="12.75">
      <c r="A1291" s="10"/>
      <c r="B1291" s="10"/>
    </row>
    <row r="1292" spans="1:10" ht="12.75">
      <c r="A1292" s="10"/>
      <c r="B1292" s="10"/>
    </row>
    <row r="1293" spans="1:10" ht="12.75">
      <c r="A1293" s="10"/>
      <c r="B1293" s="10"/>
    </row>
    <row r="1294" spans="1:10" ht="12.75">
      <c r="A1294" s="10"/>
      <c r="B1294" s="10"/>
    </row>
    <row r="1295" spans="1:10" ht="12.75">
      <c r="A1295" s="10"/>
      <c r="B1295" s="10"/>
    </row>
    <row r="1296" spans="1:10" ht="12.75">
      <c r="A1296" s="10"/>
      <c r="B1296" s="10"/>
      <c r="E1296" s="420"/>
      <c r="F1296" s="420"/>
      <c r="G1296" s="420"/>
      <c r="I1296" s="588"/>
      <c r="J1296" s="588"/>
    </row>
    <row r="1297" spans="1:10" ht="12.75">
      <c r="A1297" s="10"/>
      <c r="B1297" s="10"/>
    </row>
    <row r="1298" spans="1:10" ht="12.75">
      <c r="A1298" s="10"/>
      <c r="B1298" s="10"/>
    </row>
    <row r="1299" spans="1:10" ht="12.75">
      <c r="A1299" s="10"/>
      <c r="B1299" s="10"/>
    </row>
    <row r="1300" spans="1:10" ht="12.75">
      <c r="A1300" s="10"/>
      <c r="B1300" s="10"/>
    </row>
    <row r="1301" spans="1:10" ht="12.75">
      <c r="A1301" s="10"/>
      <c r="B1301" s="10"/>
    </row>
    <row r="1302" spans="1:10" ht="12.75">
      <c r="A1302" s="10"/>
      <c r="B1302" s="10"/>
    </row>
    <row r="1303" spans="1:10" ht="12.75">
      <c r="A1303" s="10"/>
      <c r="B1303" s="10"/>
    </row>
    <row r="1304" spans="1:10" ht="12.75">
      <c r="A1304" s="10"/>
      <c r="B1304" s="10"/>
    </row>
    <row r="1305" spans="1:10" ht="12.75">
      <c r="A1305" s="10"/>
      <c r="B1305" s="10"/>
    </row>
    <row r="1306" spans="1:10" ht="12.75">
      <c r="A1306" s="10"/>
      <c r="B1306" s="10"/>
    </row>
    <row r="1307" spans="1:10" ht="12.75">
      <c r="A1307" s="10"/>
      <c r="B1307" s="10"/>
      <c r="E1307" s="420"/>
      <c r="F1307" s="420"/>
      <c r="G1307" s="420"/>
      <c r="I1307" s="588"/>
      <c r="J1307" s="588"/>
    </row>
    <row r="1308" spans="1:10" ht="12.75">
      <c r="A1308" s="10"/>
      <c r="B1308" s="10"/>
    </row>
    <row r="1309" spans="1:10" ht="12.75">
      <c r="A1309" s="10"/>
      <c r="B1309" s="10"/>
    </row>
    <row r="1310" spans="1:10" ht="12.75">
      <c r="A1310" s="10"/>
      <c r="B1310" s="10"/>
    </row>
    <row r="1311" spans="1:10" ht="12.75">
      <c r="A1311" s="10"/>
      <c r="B1311" s="10"/>
    </row>
    <row r="1312" spans="1:10" ht="12.75">
      <c r="A1312" s="10"/>
      <c r="B1312" s="10"/>
    </row>
    <row r="1313" spans="1:10" ht="12.75">
      <c r="A1313" s="10"/>
      <c r="B1313" s="10"/>
    </row>
    <row r="1314" spans="1:10" ht="12.75">
      <c r="A1314" s="10"/>
      <c r="B1314" s="10"/>
    </row>
    <row r="1315" spans="1:10" ht="12.75">
      <c r="A1315" s="10"/>
      <c r="B1315" s="10"/>
    </row>
    <row r="1316" spans="1:10" ht="12.75">
      <c r="A1316" s="10"/>
      <c r="B1316" s="10"/>
    </row>
    <row r="1317" spans="1:10" ht="12.75">
      <c r="A1317" s="10"/>
      <c r="B1317" s="10"/>
    </row>
    <row r="1318" spans="1:10" ht="12.75">
      <c r="A1318" s="10"/>
      <c r="B1318" s="10"/>
      <c r="E1318" s="420"/>
      <c r="F1318" s="420"/>
      <c r="G1318" s="420"/>
      <c r="I1318" s="588"/>
      <c r="J1318" s="588"/>
    </row>
    <row r="1319" spans="1:10" ht="12.75">
      <c r="A1319" s="10"/>
      <c r="B1319" s="10"/>
    </row>
    <row r="1320" spans="1:10" ht="12.75">
      <c r="A1320" s="10"/>
      <c r="B1320" s="10"/>
    </row>
    <row r="1321" spans="1:10" ht="12.75">
      <c r="A1321" s="10"/>
      <c r="B1321" s="10"/>
    </row>
    <row r="1322" spans="1:10" ht="12.75">
      <c r="A1322" s="10"/>
      <c r="B1322" s="10"/>
    </row>
    <row r="1323" spans="1:10" ht="12.75">
      <c r="A1323" s="10"/>
      <c r="B1323" s="10"/>
    </row>
    <row r="1324" spans="1:10" ht="12.75">
      <c r="A1324" s="10"/>
      <c r="B1324" s="10"/>
    </row>
    <row r="1325" spans="1:10" ht="12.75">
      <c r="A1325" s="10"/>
      <c r="B1325" s="10"/>
    </row>
    <row r="1326" spans="1:10" ht="12.75">
      <c r="A1326" s="10"/>
      <c r="B1326" s="10"/>
    </row>
    <row r="1327" spans="1:10" ht="12.75">
      <c r="A1327" s="10"/>
      <c r="B1327" s="10"/>
    </row>
    <row r="1328" spans="1:10" ht="12.75">
      <c r="A1328" s="10"/>
      <c r="B1328" s="10"/>
    </row>
    <row r="1329" spans="1:10" ht="12.75">
      <c r="A1329" s="10"/>
      <c r="B1329" s="10"/>
      <c r="E1329" s="420"/>
      <c r="F1329" s="420"/>
      <c r="G1329" s="420"/>
      <c r="I1329" s="588"/>
      <c r="J1329" s="588"/>
    </row>
    <row r="1330" spans="1:10" ht="12.75">
      <c r="A1330" s="10"/>
      <c r="B1330" s="10"/>
    </row>
    <row r="1331" spans="1:10" ht="12.75">
      <c r="A1331" s="10"/>
      <c r="B1331" s="10"/>
    </row>
    <row r="1332" spans="1:10" ht="12.75">
      <c r="A1332" s="10"/>
      <c r="B1332" s="10"/>
    </row>
    <row r="1333" spans="1:10" ht="12.75">
      <c r="A1333" s="10"/>
      <c r="B1333" s="10"/>
    </row>
    <row r="1334" spans="1:10" ht="12.75">
      <c r="A1334" s="10"/>
      <c r="B1334" s="10"/>
    </row>
    <row r="1335" spans="1:10" ht="12.75">
      <c r="A1335" s="10"/>
      <c r="B1335" s="10"/>
    </row>
    <row r="1336" spans="1:10" ht="12.75">
      <c r="A1336" s="10"/>
      <c r="B1336" s="10"/>
    </row>
    <row r="1337" spans="1:10" ht="12.75">
      <c r="A1337" s="10"/>
      <c r="B1337" s="10"/>
    </row>
    <row r="1338" spans="1:10" ht="12.75">
      <c r="A1338" s="10"/>
      <c r="B1338" s="10"/>
    </row>
    <row r="1339" spans="1:10" ht="12.75">
      <c r="A1339" s="10"/>
      <c r="B1339" s="10"/>
    </row>
    <row r="1340" spans="1:10" ht="12.75">
      <c r="A1340" s="10"/>
      <c r="B1340" s="10"/>
      <c r="E1340" s="420"/>
      <c r="F1340" s="420"/>
      <c r="G1340" s="420"/>
      <c r="I1340" s="588"/>
      <c r="J1340" s="588"/>
    </row>
    <row r="1341" spans="1:10" ht="12.75">
      <c r="A1341" s="10"/>
      <c r="B1341" s="10"/>
    </row>
    <row r="1342" spans="1:10" ht="12.75">
      <c r="A1342" s="10"/>
      <c r="B1342" s="10"/>
    </row>
    <row r="1343" spans="1:10" ht="12.75">
      <c r="A1343" s="10"/>
      <c r="B1343" s="10"/>
    </row>
    <row r="1344" spans="1:10" ht="12.75">
      <c r="A1344" s="10"/>
      <c r="B1344" s="10"/>
    </row>
    <row r="1345" spans="1:10" ht="12.75">
      <c r="A1345" s="10"/>
      <c r="B1345" s="10"/>
    </row>
    <row r="1346" spans="1:10" ht="12.75">
      <c r="A1346" s="10"/>
      <c r="B1346" s="10"/>
    </row>
    <row r="1347" spans="1:10" ht="12.75">
      <c r="A1347" s="10"/>
      <c r="B1347" s="10"/>
    </row>
    <row r="1348" spans="1:10" ht="12.75">
      <c r="A1348" s="10"/>
      <c r="B1348" s="10"/>
    </row>
    <row r="1349" spans="1:10" ht="12.75">
      <c r="A1349" s="10"/>
      <c r="B1349" s="10"/>
    </row>
    <row r="1350" spans="1:10" ht="12.75">
      <c r="A1350" s="10"/>
      <c r="B1350" s="10"/>
    </row>
    <row r="1351" spans="1:10" ht="12.75">
      <c r="A1351" s="10"/>
      <c r="B1351" s="10"/>
      <c r="E1351" s="420"/>
      <c r="F1351" s="420"/>
      <c r="G1351" s="420"/>
      <c r="I1351" s="588"/>
      <c r="J1351" s="588"/>
    </row>
    <row r="1352" spans="1:10" ht="12.75">
      <c r="A1352" s="10"/>
      <c r="B1352" s="10"/>
    </row>
    <row r="1353" spans="1:10" ht="12.75">
      <c r="A1353" s="10"/>
      <c r="B1353" s="10"/>
    </row>
    <row r="1354" spans="1:10" ht="12.75">
      <c r="A1354" s="10"/>
      <c r="B1354" s="10"/>
    </row>
    <row r="1355" spans="1:10" ht="12.75">
      <c r="A1355" s="10"/>
      <c r="B1355" s="10"/>
    </row>
    <row r="1356" spans="1:10" ht="12.75">
      <c r="A1356" s="10"/>
      <c r="B1356" s="10"/>
    </row>
    <row r="1357" spans="1:10" ht="12.75">
      <c r="A1357" s="10"/>
      <c r="B1357" s="10"/>
    </row>
    <row r="1358" spans="1:10" ht="12.75">
      <c r="A1358" s="10"/>
      <c r="B1358" s="10"/>
    </row>
    <row r="1359" spans="1:10" ht="12.75">
      <c r="A1359" s="10"/>
      <c r="B1359" s="10"/>
    </row>
    <row r="1360" spans="1:10" ht="12.75">
      <c r="A1360" s="10"/>
      <c r="B1360" s="10"/>
    </row>
    <row r="1361" spans="1:10" ht="12.75">
      <c r="A1361" s="10"/>
      <c r="B1361" s="10"/>
    </row>
    <row r="1362" spans="1:10" ht="12.75">
      <c r="A1362" s="10"/>
      <c r="B1362" s="10"/>
      <c r="E1362" s="420"/>
      <c r="F1362" s="420"/>
      <c r="G1362" s="420"/>
      <c r="I1362" s="588"/>
      <c r="J1362" s="588"/>
    </row>
    <row r="1363" spans="1:10" ht="12.75">
      <c r="A1363" s="10"/>
      <c r="B1363" s="10"/>
    </row>
    <row r="1364" spans="1:10" ht="12.75">
      <c r="A1364" s="10"/>
      <c r="B1364" s="10"/>
    </row>
    <row r="1365" spans="1:10" ht="12.75">
      <c r="A1365" s="10"/>
      <c r="B1365" s="10"/>
    </row>
    <row r="1366" spans="1:10" ht="12.75">
      <c r="A1366" s="10"/>
      <c r="B1366" s="10"/>
    </row>
    <row r="1367" spans="1:10" ht="12.75">
      <c r="A1367" s="10"/>
      <c r="B1367" s="10"/>
    </row>
    <row r="1368" spans="1:10" ht="12.75">
      <c r="A1368" s="10"/>
      <c r="B1368" s="10"/>
    </row>
    <row r="1369" spans="1:10" ht="12.75">
      <c r="A1369" s="10"/>
      <c r="B1369" s="10"/>
    </row>
    <row r="1370" spans="1:10" ht="12.75">
      <c r="A1370" s="10"/>
      <c r="B1370" s="10"/>
    </row>
    <row r="1371" spans="1:10" ht="12.75">
      <c r="A1371" s="10"/>
      <c r="B1371" s="10"/>
    </row>
    <row r="1372" spans="1:10" ht="12.75">
      <c r="A1372" s="10"/>
      <c r="B1372" s="10"/>
    </row>
    <row r="1373" spans="1:10" ht="12.75">
      <c r="A1373" s="10"/>
      <c r="B1373" s="10"/>
      <c r="E1373" s="420"/>
      <c r="F1373" s="420"/>
      <c r="G1373" s="420"/>
      <c r="I1373" s="588"/>
      <c r="J1373" s="588"/>
    </row>
    <row r="1374" spans="1:10" ht="12.75">
      <c r="A1374" s="10"/>
      <c r="B1374" s="10"/>
    </row>
    <row r="1375" spans="1:10" ht="12.75">
      <c r="A1375" s="10"/>
      <c r="B1375" s="10"/>
    </row>
    <row r="1376" spans="1:10" ht="12.75">
      <c r="A1376" s="10"/>
      <c r="B1376" s="10"/>
    </row>
    <row r="1377" spans="1:10" ht="12.75">
      <c r="A1377" s="10"/>
      <c r="B1377" s="10"/>
    </row>
    <row r="1378" spans="1:10" ht="12.75">
      <c r="A1378" s="10"/>
      <c r="B1378" s="10"/>
    </row>
    <row r="1379" spans="1:10" ht="12.75">
      <c r="A1379" s="10"/>
      <c r="B1379" s="10"/>
    </row>
    <row r="1380" spans="1:10" ht="12.75">
      <c r="A1380" s="10"/>
      <c r="B1380" s="10"/>
    </row>
    <row r="1381" spans="1:10" ht="12.75">
      <c r="A1381" s="10"/>
      <c r="B1381" s="10"/>
    </row>
    <row r="1382" spans="1:10" ht="12.75">
      <c r="A1382" s="10"/>
      <c r="B1382" s="10"/>
    </row>
    <row r="1383" spans="1:10" ht="12.75">
      <c r="A1383" s="10"/>
      <c r="B1383" s="10"/>
    </row>
    <row r="1384" spans="1:10" ht="12.75">
      <c r="A1384" s="10"/>
      <c r="B1384" s="10"/>
      <c r="E1384" s="420"/>
      <c r="F1384" s="420"/>
      <c r="G1384" s="420"/>
      <c r="I1384" s="588"/>
      <c r="J1384" s="588"/>
    </row>
    <row r="1385" spans="1:10" ht="12.75">
      <c r="A1385" s="10"/>
      <c r="B1385" s="10"/>
    </row>
    <row r="1386" spans="1:10" ht="12.75">
      <c r="A1386" s="10"/>
      <c r="B1386" s="10"/>
    </row>
    <row r="1387" spans="1:10" ht="12.75">
      <c r="A1387" s="10"/>
      <c r="B1387" s="10"/>
    </row>
    <row r="1388" spans="1:10" ht="12.75">
      <c r="A1388" s="10"/>
      <c r="B1388" s="10"/>
    </row>
    <row r="1389" spans="1:10" ht="12.75">
      <c r="A1389" s="10"/>
      <c r="B1389" s="10"/>
    </row>
    <row r="1390" spans="1:10" ht="12.75">
      <c r="A1390" s="10"/>
      <c r="B1390" s="10"/>
    </row>
    <row r="1391" spans="1:10" ht="12.75">
      <c r="A1391" s="10"/>
      <c r="B1391" s="10"/>
    </row>
    <row r="1392" spans="1:10" ht="12.75">
      <c r="A1392" s="10"/>
      <c r="B1392" s="10"/>
    </row>
    <row r="1393" spans="1:10" ht="12.75">
      <c r="A1393" s="10"/>
      <c r="B1393" s="10"/>
    </row>
    <row r="1394" spans="1:10" ht="12.75">
      <c r="A1394" s="10"/>
      <c r="B1394" s="10"/>
    </row>
    <row r="1395" spans="1:10" ht="12.75">
      <c r="A1395" s="10"/>
      <c r="B1395" s="10"/>
      <c r="E1395" s="420"/>
      <c r="F1395" s="420"/>
      <c r="G1395" s="420"/>
      <c r="I1395" s="588"/>
      <c r="J1395" s="588"/>
    </row>
    <row r="1396" spans="1:10" ht="12.75">
      <c r="A1396" s="10"/>
      <c r="B1396" s="10"/>
    </row>
    <row r="1397" spans="1:10" ht="12.75">
      <c r="A1397" s="10"/>
      <c r="B1397" s="10"/>
    </row>
    <row r="1398" spans="1:10" ht="12.75">
      <c r="A1398" s="10"/>
      <c r="B1398" s="10"/>
    </row>
    <row r="1399" spans="1:10" ht="12.75">
      <c r="A1399" s="10"/>
      <c r="B1399" s="10"/>
    </row>
    <row r="1400" spans="1:10" ht="12.75">
      <c r="A1400" s="10"/>
      <c r="B1400" s="10"/>
    </row>
    <row r="1401" spans="1:10" ht="12.75">
      <c r="A1401" s="10"/>
      <c r="B1401" s="10"/>
    </row>
    <row r="1402" spans="1:10" ht="12.75">
      <c r="A1402" s="10"/>
      <c r="B1402" s="10"/>
    </row>
    <row r="1403" spans="1:10" ht="12.75">
      <c r="A1403" s="10"/>
      <c r="B1403" s="10"/>
    </row>
    <row r="1404" spans="1:10" ht="12.75">
      <c r="A1404" s="10"/>
      <c r="B1404" s="10"/>
    </row>
    <row r="1405" spans="1:10" ht="12.75">
      <c r="A1405" s="10"/>
      <c r="B1405" s="10"/>
    </row>
    <row r="1406" spans="1:10" ht="12.75">
      <c r="A1406" s="10"/>
      <c r="B1406" s="10"/>
      <c r="E1406" s="420"/>
      <c r="F1406" s="420"/>
      <c r="G1406" s="420"/>
      <c r="I1406" s="588"/>
      <c r="J1406" s="588"/>
    </row>
    <row r="1407" spans="1:10" ht="12.75">
      <c r="A1407" s="10"/>
      <c r="B1407" s="10"/>
    </row>
    <row r="1408" spans="1:10" ht="12.75">
      <c r="A1408" s="10"/>
      <c r="B1408" s="10"/>
    </row>
    <row r="1409" spans="1:10" ht="12.75">
      <c r="A1409" s="10"/>
      <c r="B1409" s="10"/>
    </row>
    <row r="1410" spans="1:10" ht="12.75">
      <c r="A1410" s="10"/>
      <c r="B1410" s="10"/>
    </row>
    <row r="1411" spans="1:10" ht="12.75">
      <c r="A1411" s="10"/>
      <c r="B1411" s="10"/>
    </row>
    <row r="1412" spans="1:10" ht="12.75">
      <c r="A1412" s="10"/>
      <c r="B1412" s="10"/>
    </row>
    <row r="1413" spans="1:10" ht="12.75">
      <c r="A1413" s="10"/>
      <c r="B1413" s="10"/>
    </row>
    <row r="1414" spans="1:10" ht="12.75">
      <c r="A1414" s="10"/>
      <c r="B1414" s="10"/>
    </row>
    <row r="1415" spans="1:10" ht="12.75">
      <c r="A1415" s="10"/>
      <c r="B1415" s="10"/>
    </row>
    <row r="1416" spans="1:10" ht="12.75">
      <c r="A1416" s="10"/>
      <c r="B1416" s="10"/>
    </row>
    <row r="1417" spans="1:10" ht="12.75">
      <c r="A1417" s="10"/>
      <c r="B1417" s="10"/>
      <c r="E1417" s="420"/>
      <c r="F1417" s="420"/>
      <c r="G1417" s="420"/>
      <c r="I1417" s="588"/>
      <c r="J1417" s="588"/>
    </row>
    <row r="1418" spans="1:10" ht="12.75">
      <c r="A1418" s="10"/>
      <c r="B1418" s="10"/>
    </row>
    <row r="1419" spans="1:10" ht="12.75">
      <c r="A1419" s="10"/>
      <c r="B1419" s="10"/>
    </row>
    <row r="1420" spans="1:10" ht="12.75">
      <c r="A1420" s="10"/>
      <c r="B1420" s="10"/>
    </row>
    <row r="1421" spans="1:10" ht="12.75">
      <c r="A1421" s="10"/>
      <c r="B1421" s="10"/>
    </row>
    <row r="1422" spans="1:10" ht="12.75">
      <c r="A1422" s="10"/>
      <c r="B1422" s="10"/>
    </row>
    <row r="1423" spans="1:10" ht="12.75">
      <c r="A1423" s="10"/>
      <c r="B1423" s="10"/>
    </row>
    <row r="1424" spans="1:10" ht="12.75">
      <c r="A1424" s="10"/>
      <c r="B1424" s="10"/>
    </row>
    <row r="1425" spans="1:10" ht="12.75">
      <c r="A1425" s="10"/>
      <c r="B1425" s="10"/>
    </row>
    <row r="1426" spans="1:10" ht="12.75">
      <c r="A1426" s="10"/>
      <c r="B1426" s="10"/>
    </row>
    <row r="1427" spans="1:10" ht="12.75">
      <c r="A1427" s="10"/>
      <c r="B1427" s="10"/>
    </row>
    <row r="1428" spans="1:10" ht="12.75">
      <c r="A1428" s="10"/>
      <c r="B1428" s="10"/>
      <c r="E1428" s="420"/>
      <c r="F1428" s="420"/>
      <c r="G1428" s="420"/>
      <c r="I1428" s="588"/>
      <c r="J1428" s="588"/>
    </row>
    <row r="1429" spans="1:10" ht="12.75">
      <c r="A1429" s="10"/>
      <c r="B1429" s="10"/>
    </row>
    <row r="1430" spans="1:10" ht="12.75">
      <c r="A1430" s="10"/>
      <c r="B1430" s="10"/>
    </row>
    <row r="1431" spans="1:10" ht="12.75">
      <c r="A1431" s="10"/>
      <c r="B1431" s="10"/>
    </row>
    <row r="1432" spans="1:10" ht="12.75">
      <c r="A1432" s="10"/>
      <c r="B1432" s="10"/>
    </row>
    <row r="1433" spans="1:10" ht="12.75">
      <c r="A1433" s="10"/>
      <c r="B1433" s="10"/>
    </row>
    <row r="1434" spans="1:10" ht="12.75">
      <c r="A1434" s="10"/>
      <c r="B1434" s="10"/>
    </row>
    <row r="1435" spans="1:10" ht="12.75">
      <c r="A1435" s="10"/>
      <c r="B1435" s="10"/>
    </row>
    <row r="1436" spans="1:10" ht="12.75">
      <c r="A1436" s="10"/>
      <c r="B1436" s="10"/>
    </row>
    <row r="1437" spans="1:10" ht="12.75">
      <c r="A1437" s="10"/>
      <c r="B1437" s="10"/>
    </row>
    <row r="1438" spans="1:10" ht="12.75">
      <c r="A1438" s="10"/>
      <c r="B1438" s="10"/>
    </row>
    <row r="1439" spans="1:10" ht="12.75">
      <c r="A1439" s="10"/>
      <c r="B1439" s="10"/>
      <c r="E1439" s="420"/>
      <c r="F1439" s="420"/>
      <c r="G1439" s="420"/>
      <c r="I1439" s="588"/>
      <c r="J1439" s="588"/>
    </row>
    <row r="1440" spans="1:10" ht="12.75">
      <c r="A1440" s="10"/>
      <c r="B1440" s="10"/>
    </row>
    <row r="1441" spans="1:10" ht="12.75">
      <c r="A1441" s="10"/>
      <c r="B1441" s="10"/>
    </row>
    <row r="1442" spans="1:10" ht="12.75">
      <c r="A1442" s="10"/>
      <c r="B1442" s="10"/>
    </row>
    <row r="1443" spans="1:10" ht="12.75">
      <c r="A1443" s="10"/>
      <c r="B1443" s="10"/>
    </row>
    <row r="1444" spans="1:10" ht="12.75">
      <c r="A1444" s="10"/>
      <c r="B1444" s="10"/>
    </row>
    <row r="1445" spans="1:10" ht="12.75">
      <c r="A1445" s="10"/>
      <c r="B1445" s="10"/>
    </row>
    <row r="1446" spans="1:10" ht="12.75">
      <c r="A1446" s="10"/>
      <c r="B1446" s="10"/>
    </row>
    <row r="1447" spans="1:10" ht="12.75">
      <c r="A1447" s="10"/>
      <c r="B1447" s="10"/>
    </row>
    <row r="1448" spans="1:10" ht="12.75">
      <c r="A1448" s="10"/>
      <c r="B1448" s="10"/>
    </row>
    <row r="1449" spans="1:10" ht="12.75">
      <c r="A1449" s="10"/>
      <c r="B1449" s="10"/>
    </row>
    <row r="1450" spans="1:10" ht="12.75">
      <c r="A1450" s="10"/>
      <c r="B1450" s="10"/>
      <c r="E1450" s="420"/>
      <c r="F1450" s="420"/>
      <c r="G1450" s="420"/>
      <c r="I1450" s="588"/>
      <c r="J1450" s="588"/>
    </row>
    <row r="1451" spans="1:10" ht="12.75">
      <c r="A1451" s="10"/>
      <c r="B1451" s="10"/>
    </row>
    <row r="1452" spans="1:10" ht="12.75">
      <c r="A1452" s="10"/>
      <c r="B1452" s="10"/>
    </row>
    <row r="1453" spans="1:10" ht="12.75">
      <c r="A1453" s="10"/>
      <c r="B1453" s="10"/>
    </row>
    <row r="1454" spans="1:10" ht="12.75">
      <c r="A1454" s="10"/>
      <c r="B1454" s="10"/>
    </row>
    <row r="1455" spans="1:10" ht="12.75">
      <c r="A1455" s="10"/>
      <c r="B1455" s="10"/>
    </row>
    <row r="1456" spans="1:10" ht="12.75">
      <c r="A1456" s="10"/>
      <c r="B1456" s="10"/>
    </row>
    <row r="1457" spans="1:10" ht="12.75">
      <c r="A1457" s="10"/>
      <c r="B1457" s="10"/>
    </row>
    <row r="1458" spans="1:10" ht="12.75">
      <c r="A1458" s="10"/>
      <c r="B1458" s="10"/>
    </row>
    <row r="1459" spans="1:10" ht="12.75">
      <c r="A1459" s="10"/>
      <c r="B1459" s="10"/>
    </row>
    <row r="1460" spans="1:10" ht="12.75">
      <c r="A1460" s="10"/>
      <c r="B1460" s="10"/>
    </row>
    <row r="1461" spans="1:10" ht="12.75">
      <c r="A1461" s="10"/>
      <c r="B1461" s="10"/>
      <c r="E1461" s="420"/>
      <c r="F1461" s="420"/>
      <c r="G1461" s="420"/>
      <c r="I1461" s="588"/>
      <c r="J1461" s="588"/>
    </row>
    <row r="1462" spans="1:10" ht="12.75">
      <c r="A1462" s="10"/>
      <c r="B1462" s="10"/>
    </row>
    <row r="1463" spans="1:10" ht="12.75">
      <c r="A1463" s="10"/>
      <c r="B1463" s="10"/>
    </row>
    <row r="1464" spans="1:10" ht="12.75">
      <c r="A1464" s="10"/>
      <c r="B1464" s="10"/>
    </row>
    <row r="1465" spans="1:10" ht="12.75">
      <c r="A1465" s="10"/>
      <c r="B1465" s="10"/>
    </row>
    <row r="1466" spans="1:10" ht="12.75">
      <c r="A1466" s="10"/>
      <c r="B1466" s="10"/>
    </row>
    <row r="1467" spans="1:10" ht="12.75">
      <c r="A1467" s="10"/>
      <c r="B1467" s="10"/>
    </row>
    <row r="1468" spans="1:10" ht="12.75">
      <c r="A1468" s="10"/>
      <c r="B1468" s="10"/>
    </row>
    <row r="1469" spans="1:10" ht="12.75">
      <c r="A1469" s="10"/>
      <c r="B1469" s="10"/>
    </row>
    <row r="1470" spans="1:10" ht="12.75">
      <c r="A1470" s="10"/>
      <c r="B1470" s="10"/>
    </row>
    <row r="1471" spans="1:10" ht="12.75">
      <c r="A1471" s="10"/>
      <c r="B1471" s="10"/>
    </row>
    <row r="1472" spans="1:10" ht="12.75">
      <c r="A1472" s="10"/>
      <c r="B1472" s="10"/>
      <c r="E1472" s="420"/>
      <c r="F1472" s="420"/>
      <c r="G1472" s="420"/>
      <c r="I1472" s="588"/>
      <c r="J1472" s="588"/>
    </row>
    <row r="1473" spans="1:10" ht="12.75">
      <c r="A1473" s="10"/>
      <c r="B1473" s="10"/>
    </row>
    <row r="1474" spans="1:10" ht="12.75">
      <c r="A1474" s="10"/>
      <c r="B1474" s="10"/>
    </row>
    <row r="1475" spans="1:10" ht="12.75">
      <c r="A1475" s="10"/>
      <c r="B1475" s="10"/>
    </row>
    <row r="1476" spans="1:10" ht="12.75">
      <c r="A1476" s="10"/>
      <c r="B1476" s="10"/>
    </row>
    <row r="1477" spans="1:10" ht="12.75">
      <c r="A1477" s="10"/>
      <c r="B1477" s="10"/>
    </row>
    <row r="1478" spans="1:10" ht="12.75">
      <c r="A1478" s="10"/>
      <c r="B1478" s="10"/>
    </row>
    <row r="1479" spans="1:10" ht="12.75">
      <c r="A1479" s="10"/>
      <c r="B1479" s="10"/>
    </row>
    <row r="1480" spans="1:10" ht="12.75">
      <c r="A1480" s="10"/>
      <c r="B1480" s="10"/>
    </row>
    <row r="1481" spans="1:10" ht="12.75">
      <c r="A1481" s="10"/>
      <c r="B1481" s="10"/>
    </row>
    <row r="1482" spans="1:10" ht="12.75">
      <c r="A1482" s="10"/>
      <c r="B1482" s="10"/>
    </row>
    <row r="1483" spans="1:10" ht="12.75">
      <c r="A1483" s="10"/>
      <c r="B1483" s="10"/>
      <c r="E1483" s="420"/>
      <c r="F1483" s="420"/>
      <c r="G1483" s="420"/>
      <c r="I1483" s="588"/>
      <c r="J1483" s="588"/>
    </row>
    <row r="1484" spans="1:10" ht="12.75">
      <c r="A1484" s="10"/>
      <c r="B1484" s="10"/>
    </row>
    <row r="1485" spans="1:10" ht="12.75">
      <c r="A1485" s="10"/>
      <c r="B1485" s="10"/>
    </row>
    <row r="1486" spans="1:10" ht="12.75">
      <c r="A1486" s="10"/>
      <c r="B1486" s="10"/>
    </row>
    <row r="1487" spans="1:10" ht="12.75">
      <c r="A1487" s="10"/>
      <c r="B1487" s="10"/>
    </row>
    <row r="1488" spans="1:10" ht="12.75">
      <c r="A1488" s="10"/>
      <c r="B1488" s="10"/>
    </row>
    <row r="1489" spans="1:10" ht="12.75">
      <c r="A1489" s="10"/>
      <c r="B1489" s="10"/>
    </row>
    <row r="1490" spans="1:10" ht="12.75">
      <c r="A1490" s="10"/>
      <c r="B1490" s="10"/>
    </row>
    <row r="1491" spans="1:10" ht="12.75">
      <c r="A1491" s="10"/>
      <c r="B1491" s="10"/>
    </row>
    <row r="1492" spans="1:10" ht="12.75">
      <c r="A1492" s="10"/>
      <c r="B1492" s="10"/>
    </row>
    <row r="1493" spans="1:10" ht="12.75">
      <c r="A1493" s="10"/>
      <c r="B1493" s="10"/>
    </row>
    <row r="1494" spans="1:10" ht="12.75">
      <c r="A1494" s="10"/>
      <c r="B1494" s="10"/>
      <c r="E1494" s="420"/>
      <c r="F1494" s="420"/>
      <c r="G1494" s="420"/>
      <c r="I1494" s="588"/>
      <c r="J1494" s="588"/>
    </row>
    <row r="1495" spans="1:10" ht="12.75">
      <c r="A1495" s="10"/>
      <c r="B1495" s="10"/>
    </row>
    <row r="1496" spans="1:10" ht="12.75">
      <c r="A1496" s="10"/>
      <c r="B1496" s="10"/>
    </row>
    <row r="1497" spans="1:10" ht="12.75">
      <c r="A1497" s="10"/>
      <c r="B1497" s="10"/>
    </row>
    <row r="1498" spans="1:10" ht="12.75">
      <c r="A1498" s="10"/>
      <c r="B1498" s="10"/>
    </row>
    <row r="1499" spans="1:10" ht="12.75">
      <c r="A1499" s="10"/>
      <c r="B1499" s="10"/>
    </row>
    <row r="1500" spans="1:10" ht="12.75">
      <c r="A1500" s="10"/>
      <c r="B1500" s="10"/>
    </row>
    <row r="1501" spans="1:10" ht="12.75">
      <c r="A1501" s="10"/>
      <c r="B1501" s="10"/>
    </row>
    <row r="1502" spans="1:10" ht="12.75">
      <c r="A1502" s="10"/>
      <c r="B1502" s="10"/>
    </row>
    <row r="1503" spans="1:10" ht="12.75">
      <c r="A1503" s="10"/>
      <c r="B1503" s="10"/>
    </row>
    <row r="1504" spans="1:10" ht="12.75">
      <c r="A1504" s="10"/>
      <c r="B1504" s="10"/>
    </row>
    <row r="1505" spans="1:10" ht="12.75">
      <c r="A1505" s="10"/>
      <c r="B1505" s="10"/>
      <c r="E1505" s="420"/>
      <c r="F1505" s="420"/>
      <c r="G1505" s="420"/>
      <c r="I1505" s="588"/>
      <c r="J1505" s="588"/>
    </row>
    <row r="1506" spans="1:10" ht="12.75">
      <c r="A1506" s="10"/>
      <c r="B1506" s="10"/>
    </row>
    <row r="1507" spans="1:10" ht="12.75">
      <c r="A1507" s="10"/>
      <c r="B1507" s="10"/>
    </row>
    <row r="1508" spans="1:10" ht="12.75">
      <c r="A1508" s="10"/>
      <c r="B1508" s="10"/>
    </row>
    <row r="1509" spans="1:10" ht="12.75">
      <c r="A1509" s="10"/>
      <c r="B1509" s="10"/>
    </row>
    <row r="1510" spans="1:10" ht="12.75">
      <c r="A1510" s="10"/>
      <c r="B1510" s="10"/>
    </row>
    <row r="1511" spans="1:10" ht="12.75">
      <c r="A1511" s="10"/>
      <c r="B1511" s="10"/>
    </row>
    <row r="1512" spans="1:10" ht="12.75">
      <c r="A1512" s="10"/>
      <c r="B1512" s="10"/>
    </row>
    <row r="1513" spans="1:10" ht="12.75">
      <c r="A1513" s="10"/>
      <c r="B1513" s="10"/>
    </row>
    <row r="1514" spans="1:10" ht="12.75">
      <c r="A1514" s="10"/>
      <c r="B1514" s="10"/>
    </row>
    <row r="1515" spans="1:10" ht="12.75">
      <c r="A1515" s="10"/>
      <c r="B1515" s="10"/>
    </row>
    <row r="1516" spans="1:10" ht="12.75">
      <c r="A1516" s="10"/>
      <c r="B1516" s="10"/>
      <c r="E1516" s="420"/>
      <c r="F1516" s="420"/>
      <c r="G1516" s="420"/>
      <c r="I1516" s="588"/>
      <c r="J1516" s="588"/>
    </row>
    <row r="1517" spans="1:10" ht="12.75">
      <c r="A1517" s="10"/>
      <c r="B1517" s="10"/>
    </row>
    <row r="1518" spans="1:10" ht="12.75">
      <c r="A1518" s="10"/>
      <c r="B1518" s="10"/>
    </row>
    <row r="1519" spans="1:10" ht="12.75">
      <c r="A1519" s="10"/>
      <c r="B1519" s="10"/>
    </row>
    <row r="1520" spans="1:10" ht="12.75">
      <c r="A1520" s="10"/>
      <c r="B1520" s="10"/>
    </row>
    <row r="1521" spans="1:10" ht="12.75">
      <c r="A1521" s="10"/>
      <c r="B1521" s="10"/>
    </row>
    <row r="1522" spans="1:10" ht="12.75">
      <c r="A1522" s="10"/>
      <c r="B1522" s="10"/>
    </row>
    <row r="1523" spans="1:10" ht="12.75">
      <c r="A1523" s="10"/>
      <c r="B1523" s="10"/>
    </row>
    <row r="1524" spans="1:10" ht="12.75">
      <c r="A1524" s="10"/>
      <c r="B1524" s="10"/>
    </row>
    <row r="1525" spans="1:10" ht="12.75">
      <c r="A1525" s="10"/>
      <c r="B1525" s="10"/>
    </row>
    <row r="1526" spans="1:10" ht="12.75">
      <c r="A1526" s="10"/>
      <c r="B1526" s="10"/>
    </row>
    <row r="1527" spans="1:10" ht="12.75">
      <c r="A1527" s="10"/>
      <c r="B1527" s="10"/>
      <c r="E1527" s="420"/>
      <c r="F1527" s="420"/>
      <c r="G1527" s="420"/>
      <c r="I1527" s="588"/>
      <c r="J1527" s="588"/>
    </row>
    <row r="1528" spans="1:10" ht="12.75">
      <c r="A1528" s="10"/>
      <c r="B1528" s="10"/>
    </row>
    <row r="1529" spans="1:10" ht="12.75">
      <c r="A1529" s="10"/>
      <c r="B1529" s="10"/>
    </row>
    <row r="1530" spans="1:10" ht="12.75">
      <c r="A1530" s="10"/>
      <c r="B1530" s="10"/>
    </row>
    <row r="1531" spans="1:10" ht="12.75">
      <c r="A1531" s="10"/>
      <c r="B1531" s="10"/>
    </row>
    <row r="1532" spans="1:10" ht="12.75">
      <c r="A1532" s="10"/>
      <c r="B1532" s="10"/>
    </row>
    <row r="1533" spans="1:10" ht="12.75">
      <c r="A1533" s="10"/>
      <c r="B1533" s="10"/>
    </row>
    <row r="1534" spans="1:10" ht="12.75">
      <c r="A1534" s="10"/>
      <c r="B1534" s="10"/>
    </row>
    <row r="1535" spans="1:10" ht="12.75">
      <c r="A1535" s="10"/>
      <c r="B1535" s="10"/>
    </row>
    <row r="1536" spans="1:10" ht="12.75">
      <c r="A1536" s="10"/>
      <c r="B1536" s="10"/>
    </row>
    <row r="1537" spans="1:10" ht="12.75">
      <c r="A1537" s="10"/>
      <c r="B1537" s="10"/>
    </row>
    <row r="1538" spans="1:10" ht="12.75">
      <c r="A1538" s="10"/>
      <c r="B1538" s="10"/>
      <c r="E1538" s="420"/>
      <c r="F1538" s="420"/>
      <c r="G1538" s="420"/>
      <c r="I1538" s="588"/>
      <c r="J1538" s="588"/>
    </row>
    <row r="1539" spans="1:10" ht="12.75">
      <c r="A1539" s="10"/>
      <c r="B1539" s="10"/>
    </row>
    <row r="1540" spans="1:10" ht="12.75">
      <c r="A1540" s="10"/>
      <c r="B1540" s="10"/>
    </row>
    <row r="1541" spans="1:10" ht="12.75">
      <c r="A1541" s="10"/>
      <c r="B1541" s="10"/>
    </row>
    <row r="1542" spans="1:10" ht="12.75">
      <c r="A1542" s="10"/>
      <c r="B1542" s="10"/>
    </row>
    <row r="1543" spans="1:10" ht="12.75">
      <c r="A1543" s="10"/>
      <c r="B1543" s="10"/>
    </row>
    <row r="1544" spans="1:10" ht="12.75">
      <c r="A1544" s="10"/>
      <c r="B1544" s="10"/>
    </row>
    <row r="1545" spans="1:10" ht="12.75">
      <c r="A1545" s="10"/>
      <c r="B1545" s="10"/>
    </row>
    <row r="1546" spans="1:10" ht="12.75">
      <c r="A1546" s="10"/>
      <c r="B1546" s="10"/>
    </row>
    <row r="1547" spans="1:10" ht="12.75">
      <c r="A1547" s="10"/>
      <c r="B1547" s="10"/>
    </row>
    <row r="1548" spans="1:10" ht="12.75">
      <c r="A1548" s="10"/>
      <c r="B1548" s="10"/>
    </row>
    <row r="1549" spans="1:10" ht="12.75">
      <c r="A1549" s="10"/>
      <c r="B1549" s="10"/>
      <c r="E1549" s="420"/>
      <c r="F1549" s="420"/>
      <c r="G1549" s="420"/>
      <c r="I1549" s="588"/>
      <c r="J1549" s="588"/>
    </row>
    <row r="1550" spans="1:10" ht="12.75">
      <c r="A1550" s="10"/>
      <c r="B1550" s="10"/>
    </row>
    <row r="1551" spans="1:10" ht="12.75">
      <c r="A1551" s="10"/>
      <c r="B1551" s="10"/>
    </row>
    <row r="1552" spans="1:10" ht="12.75">
      <c r="A1552" s="10"/>
      <c r="B1552" s="10"/>
    </row>
    <row r="1553" spans="1:10" ht="12.75">
      <c r="A1553" s="10"/>
      <c r="B1553" s="10"/>
    </row>
    <row r="1554" spans="1:10" ht="12.75">
      <c r="A1554" s="10"/>
      <c r="B1554" s="10"/>
    </row>
    <row r="1555" spans="1:10" ht="12.75">
      <c r="A1555" s="10"/>
      <c r="B1555" s="10"/>
    </row>
    <row r="1556" spans="1:10" ht="12.75">
      <c r="A1556" s="10"/>
      <c r="B1556" s="10"/>
    </row>
    <row r="1557" spans="1:10" ht="12.75">
      <c r="A1557" s="10"/>
      <c r="B1557" s="10"/>
    </row>
    <row r="1558" spans="1:10" ht="12.75">
      <c r="A1558" s="10"/>
      <c r="B1558" s="10"/>
    </row>
    <row r="1559" spans="1:10" ht="12.75">
      <c r="A1559" s="10"/>
      <c r="B1559" s="10"/>
    </row>
    <row r="1560" spans="1:10" ht="12.75">
      <c r="A1560" s="10"/>
      <c r="B1560" s="10"/>
      <c r="E1560" s="420"/>
      <c r="F1560" s="420"/>
      <c r="G1560" s="420"/>
      <c r="I1560" s="588"/>
      <c r="J1560" s="588"/>
    </row>
    <row r="1561" spans="1:10" ht="12.75">
      <c r="A1561" s="10"/>
      <c r="B1561" s="10"/>
    </row>
    <row r="1562" spans="1:10" ht="12.75">
      <c r="A1562" s="10"/>
      <c r="B1562" s="10"/>
    </row>
    <row r="1563" spans="1:10" ht="12.75">
      <c r="A1563" s="10"/>
      <c r="B1563" s="10"/>
    </row>
    <row r="1564" spans="1:10" ht="12.75">
      <c r="A1564" s="10"/>
      <c r="B1564" s="10"/>
    </row>
    <row r="1565" spans="1:10" ht="12.75">
      <c r="A1565" s="10"/>
      <c r="B1565" s="10"/>
    </row>
    <row r="1566" spans="1:10" ht="12.75">
      <c r="A1566" s="10"/>
      <c r="B1566" s="10"/>
    </row>
    <row r="1567" spans="1:10" ht="12.75">
      <c r="A1567" s="10"/>
      <c r="B1567" s="10"/>
    </row>
    <row r="1568" spans="1:10" ht="12.75">
      <c r="A1568" s="10"/>
      <c r="B1568" s="10"/>
    </row>
    <row r="1569" spans="1:10" ht="12.75">
      <c r="A1569" s="10"/>
      <c r="B1569" s="10"/>
    </row>
    <row r="1570" spans="1:10" ht="12.75">
      <c r="A1570" s="10"/>
      <c r="B1570" s="10"/>
    </row>
    <row r="1571" spans="1:10" ht="12.75">
      <c r="A1571" s="10"/>
      <c r="B1571" s="10"/>
      <c r="E1571" s="420"/>
      <c r="F1571" s="420"/>
      <c r="G1571" s="420"/>
      <c r="I1571" s="588"/>
      <c r="J1571" s="588"/>
    </row>
    <row r="1572" spans="1:10" ht="12.75">
      <c r="A1572" s="10"/>
      <c r="B1572" s="10"/>
    </row>
    <row r="1573" spans="1:10" ht="12.75">
      <c r="A1573" s="10"/>
      <c r="B1573" s="10"/>
    </row>
    <row r="1574" spans="1:10" ht="12.75">
      <c r="A1574" s="10"/>
      <c r="B1574" s="10"/>
    </row>
    <row r="1575" spans="1:10" ht="12.75">
      <c r="A1575" s="10"/>
      <c r="B1575" s="10"/>
    </row>
    <row r="1576" spans="1:10" ht="12.75">
      <c r="A1576" s="10"/>
      <c r="B1576" s="10"/>
    </row>
    <row r="1577" spans="1:10" ht="12.75">
      <c r="A1577" s="10"/>
      <c r="B1577" s="10"/>
    </row>
    <row r="1578" spans="1:10" ht="12.75">
      <c r="A1578" s="10"/>
      <c r="B1578" s="10"/>
    </row>
    <row r="1579" spans="1:10" ht="12.75">
      <c r="A1579" s="10"/>
      <c r="B1579" s="10"/>
    </row>
    <row r="1580" spans="1:10" ht="12.75">
      <c r="A1580" s="10"/>
      <c r="B1580" s="10"/>
    </row>
    <row r="1581" spans="1:10" ht="12.75">
      <c r="A1581" s="10"/>
      <c r="B1581" s="10"/>
    </row>
    <row r="1582" spans="1:10" ht="12.75">
      <c r="A1582" s="10"/>
      <c r="B1582" s="10"/>
      <c r="E1582" s="420"/>
      <c r="F1582" s="420"/>
      <c r="G1582" s="420"/>
      <c r="I1582" s="588"/>
      <c r="J1582" s="588"/>
    </row>
    <row r="1583" spans="1:10" ht="12.75">
      <c r="A1583" s="10"/>
      <c r="B1583" s="10"/>
    </row>
    <row r="1584" spans="1:10" ht="12.75">
      <c r="A1584" s="10"/>
      <c r="B1584" s="10"/>
    </row>
    <row r="1585" spans="1:10" ht="12.75">
      <c r="A1585" s="10"/>
      <c r="B1585" s="10"/>
    </row>
    <row r="1586" spans="1:10" ht="12.75">
      <c r="A1586" s="10"/>
      <c r="B1586" s="10"/>
    </row>
    <row r="1587" spans="1:10" ht="12.75">
      <c r="A1587" s="10"/>
      <c r="B1587" s="10"/>
    </row>
    <row r="1588" spans="1:10" ht="12.75">
      <c r="A1588" s="10"/>
      <c r="B1588" s="10"/>
    </row>
    <row r="1589" spans="1:10" ht="12.75">
      <c r="A1589" s="10"/>
      <c r="B1589" s="10"/>
    </row>
    <row r="1590" spans="1:10" ht="12.75">
      <c r="A1590" s="10"/>
      <c r="B1590" s="10"/>
    </row>
    <row r="1591" spans="1:10" ht="12.75">
      <c r="A1591" s="10"/>
      <c r="B1591" s="10"/>
    </row>
    <row r="1592" spans="1:10" ht="12.75">
      <c r="A1592" s="10"/>
      <c r="B1592" s="10"/>
    </row>
    <row r="1593" spans="1:10" ht="12.75">
      <c r="A1593" s="10"/>
      <c r="B1593" s="10"/>
      <c r="E1593" s="420"/>
      <c r="F1593" s="420"/>
      <c r="G1593" s="420"/>
      <c r="I1593" s="588"/>
      <c r="J1593" s="588"/>
    </row>
    <row r="1594" spans="1:10" ht="12.75">
      <c r="A1594" s="10"/>
      <c r="B1594" s="10"/>
    </row>
    <row r="1595" spans="1:10" ht="12.75">
      <c r="A1595" s="10"/>
      <c r="B1595" s="10"/>
    </row>
    <row r="1596" spans="1:10" ht="12.75">
      <c r="A1596" s="10"/>
      <c r="B1596" s="10"/>
    </row>
    <row r="1597" spans="1:10" ht="12.75">
      <c r="A1597" s="10"/>
      <c r="B1597" s="10"/>
    </row>
    <row r="1598" spans="1:10" ht="12.75">
      <c r="A1598" s="10"/>
      <c r="B1598" s="10"/>
    </row>
    <row r="1599" spans="1:10" ht="12.75">
      <c r="A1599" s="10"/>
      <c r="B1599" s="10"/>
    </row>
    <row r="1600" spans="1:10" ht="12.75">
      <c r="A1600" s="10"/>
      <c r="B1600" s="10"/>
    </row>
    <row r="1601" spans="1:10" ht="12.75">
      <c r="A1601" s="10"/>
      <c r="B1601" s="10"/>
    </row>
    <row r="1602" spans="1:10" ht="12.75">
      <c r="A1602" s="10"/>
      <c r="B1602" s="10"/>
    </row>
    <row r="1603" spans="1:10" ht="12.75">
      <c r="A1603" s="10"/>
      <c r="B1603" s="10"/>
    </row>
    <row r="1604" spans="1:10" ht="12.75">
      <c r="A1604" s="10"/>
      <c r="B1604" s="10"/>
      <c r="E1604" s="420"/>
      <c r="F1604" s="420"/>
      <c r="G1604" s="420"/>
      <c r="I1604" s="588"/>
      <c r="J1604" s="588"/>
    </row>
    <row r="1605" spans="1:10" ht="12.75">
      <c r="A1605" s="10"/>
      <c r="B1605" s="10"/>
    </row>
    <row r="1606" spans="1:10" ht="12.75">
      <c r="A1606" s="10"/>
      <c r="B1606" s="10"/>
    </row>
    <row r="1607" spans="1:10" ht="12.75">
      <c r="A1607" s="10"/>
      <c r="B1607" s="10"/>
    </row>
    <row r="1608" spans="1:10" ht="12.75">
      <c r="A1608" s="10"/>
      <c r="B1608" s="10"/>
    </row>
    <row r="1609" spans="1:10" ht="12.75">
      <c r="A1609" s="10"/>
      <c r="B1609" s="10"/>
    </row>
    <row r="1610" spans="1:10" ht="12.75">
      <c r="A1610" s="10"/>
      <c r="B1610" s="10"/>
    </row>
    <row r="1611" spans="1:10" ht="12.75">
      <c r="A1611" s="10"/>
      <c r="B1611" s="10"/>
    </row>
    <row r="1612" spans="1:10" ht="12.75">
      <c r="A1612" s="10"/>
      <c r="B1612" s="10"/>
    </row>
    <row r="1613" spans="1:10" ht="12.75">
      <c r="A1613" s="10"/>
      <c r="B1613" s="10"/>
    </row>
    <row r="1614" spans="1:10" ht="12.75">
      <c r="A1614" s="10"/>
      <c r="B1614" s="10"/>
    </row>
    <row r="1615" spans="1:10" ht="12.75">
      <c r="A1615" s="10"/>
      <c r="B1615" s="10"/>
      <c r="E1615" s="420"/>
      <c r="F1615" s="420"/>
      <c r="G1615" s="420"/>
      <c r="I1615" s="588"/>
      <c r="J1615" s="588"/>
    </row>
    <row r="1616" spans="1:10" ht="12.75">
      <c r="A1616" s="10"/>
      <c r="B1616" s="10"/>
    </row>
    <row r="1617" spans="1:2" ht="12.75">
      <c r="A1617" s="10"/>
      <c r="B1617" s="10"/>
    </row>
    <row r="1618" spans="1:2" ht="12.75">
      <c r="A1618" s="10"/>
      <c r="B1618" s="10"/>
    </row>
    <row r="1619" spans="1:2" ht="12.75">
      <c r="A1619" s="10"/>
      <c r="B1619" s="10"/>
    </row>
    <row r="1620" spans="1:2" ht="12.75">
      <c r="A1620" s="10"/>
      <c r="B1620" s="10"/>
    </row>
    <row r="1621" spans="1:2" ht="12.75">
      <c r="A1621" s="10"/>
      <c r="B1621" s="10"/>
    </row>
    <row r="1622" spans="1:2" ht="12.75">
      <c r="A1622" s="10"/>
      <c r="B1622" s="10"/>
    </row>
    <row r="1623" spans="1:2" ht="12.75">
      <c r="A1623" s="10"/>
      <c r="B1623" s="10"/>
    </row>
    <row r="1624" spans="1:2" ht="12.75">
      <c r="A1624" s="10"/>
      <c r="B1624" s="10"/>
    </row>
    <row r="1625" spans="1:2" ht="12.75">
      <c r="A1625" s="10"/>
      <c r="B1625" s="10"/>
    </row>
    <row r="1626" spans="1:2" ht="12.75">
      <c r="A1626" s="10"/>
      <c r="B1626" s="10"/>
    </row>
    <row r="1627" spans="1:2" ht="12.75">
      <c r="A1627" s="10"/>
      <c r="B1627" s="10"/>
    </row>
    <row r="1628" spans="1:2" ht="12.75">
      <c r="A1628" s="10"/>
      <c r="B1628" s="10"/>
    </row>
    <row r="1629" spans="1:2" ht="12.75">
      <c r="A1629" s="10"/>
      <c r="B1629" s="10"/>
    </row>
    <row r="1630" spans="1:2" ht="12.75">
      <c r="A1630" s="10"/>
      <c r="B1630" s="10"/>
    </row>
    <row r="1631" spans="1:2" ht="12.75">
      <c r="A1631" s="10"/>
      <c r="B1631" s="10"/>
    </row>
    <row r="1632" spans="1:2" ht="12.75">
      <c r="A1632" s="10"/>
      <c r="B1632" s="10"/>
    </row>
    <row r="1633" spans="1:2" ht="12.75">
      <c r="A1633" s="10"/>
      <c r="B1633" s="10"/>
    </row>
    <row r="1634" spans="1:2" ht="12.75">
      <c r="A1634" s="10"/>
      <c r="B1634" s="10"/>
    </row>
    <row r="1635" spans="1:2" ht="12.75">
      <c r="A1635" s="10"/>
      <c r="B1635" s="10"/>
    </row>
    <row r="1636" spans="1:2" ht="12.75">
      <c r="A1636" s="10"/>
      <c r="B1636" s="10"/>
    </row>
    <row r="1637" spans="1:2" ht="12.75">
      <c r="A1637" s="10"/>
      <c r="B1637" s="10"/>
    </row>
    <row r="1638" spans="1:2" ht="12.75">
      <c r="A1638" s="10"/>
      <c r="B1638" s="10"/>
    </row>
    <row r="1639" spans="1:2" ht="12.75">
      <c r="A1639" s="10"/>
      <c r="B1639" s="10"/>
    </row>
    <row r="1640" spans="1:2" ht="12.75">
      <c r="A1640" s="10"/>
      <c r="B1640" s="10"/>
    </row>
    <row r="1641" spans="1:2" ht="12.75">
      <c r="A1641" s="10"/>
      <c r="B1641" s="10"/>
    </row>
    <row r="1642" spans="1:2" ht="12.75">
      <c r="A1642" s="10"/>
      <c r="B1642" s="10"/>
    </row>
    <row r="1643" spans="1:2" ht="12.75">
      <c r="A1643" s="10"/>
      <c r="B1643" s="10"/>
    </row>
    <row r="1644" spans="1:2" ht="12.75">
      <c r="A1644" s="10"/>
      <c r="B1644" s="10"/>
    </row>
    <row r="1645" spans="1:2" ht="12.75">
      <c r="A1645" s="10"/>
      <c r="B1645" s="10"/>
    </row>
    <row r="1646" spans="1:2" ht="12.75">
      <c r="A1646" s="10"/>
      <c r="B1646" s="10"/>
    </row>
    <row r="1647" spans="1:2" ht="12.75">
      <c r="A1647" s="10"/>
      <c r="B1647" s="10"/>
    </row>
    <row r="1648" spans="1:2" ht="12.75">
      <c r="A1648" s="10"/>
      <c r="B1648" s="10"/>
    </row>
    <row r="1649" spans="1:2" ht="12.75">
      <c r="A1649" s="10"/>
      <c r="B1649" s="10"/>
    </row>
    <row r="1650" spans="1:2" ht="12.75">
      <c r="A1650" s="10"/>
      <c r="B1650" s="10"/>
    </row>
    <row r="1651" spans="1:2" ht="12.75">
      <c r="A1651" s="10"/>
      <c r="B1651" s="10"/>
    </row>
    <row r="1652" spans="1:2" ht="12.75">
      <c r="A1652" s="10"/>
      <c r="B1652" s="10"/>
    </row>
    <row r="1653" spans="1:2" ht="12.75">
      <c r="A1653" s="10"/>
      <c r="B1653" s="10"/>
    </row>
    <row r="1654" spans="1:2" ht="12.75">
      <c r="A1654" s="10"/>
      <c r="B1654" s="10"/>
    </row>
    <row r="1655" spans="1:2" ht="12.75">
      <c r="A1655" s="10"/>
      <c r="B1655" s="10"/>
    </row>
    <row r="1656" spans="1:2" ht="12.75">
      <c r="A1656" s="10"/>
      <c r="B1656" s="10"/>
    </row>
    <row r="1657" spans="1:2" ht="12.75">
      <c r="A1657" s="10"/>
      <c r="B1657" s="10"/>
    </row>
    <row r="1658" spans="1:2" ht="12.75">
      <c r="A1658" s="10"/>
      <c r="B1658" s="10"/>
    </row>
    <row r="1659" spans="1:2" ht="12.75">
      <c r="A1659" s="10"/>
      <c r="B1659" s="10"/>
    </row>
    <row r="1660" spans="1:2" ht="12.75">
      <c r="A1660" s="10"/>
      <c r="B1660" s="10"/>
    </row>
    <row r="1661" spans="1:2" ht="12.75">
      <c r="A1661" s="10"/>
      <c r="B1661" s="10"/>
    </row>
    <row r="1662" spans="1:2" ht="12.75">
      <c r="A1662" s="10"/>
      <c r="B1662" s="10"/>
    </row>
    <row r="1663" spans="1:2" ht="12.75">
      <c r="A1663" s="10"/>
      <c r="B1663" s="10"/>
    </row>
    <row r="1664" spans="1:2" ht="12.75">
      <c r="A1664" s="10"/>
      <c r="B1664" s="10"/>
    </row>
    <row r="1665" spans="1:2" ht="12.75">
      <c r="A1665" s="10"/>
      <c r="B1665" s="10"/>
    </row>
    <row r="1666" spans="1:2" ht="12.75">
      <c r="A1666" s="10"/>
      <c r="B1666" s="10"/>
    </row>
    <row r="1667" spans="1:2" ht="12.75">
      <c r="A1667" s="10"/>
      <c r="B1667" s="10"/>
    </row>
    <row r="1668" spans="1:2" ht="12.75">
      <c r="A1668" s="10"/>
      <c r="B1668" s="10"/>
    </row>
    <row r="1669" spans="1:2" ht="12.75">
      <c r="A1669" s="10"/>
      <c r="B1669" s="10"/>
    </row>
    <row r="1670" spans="1:2" ht="12.75">
      <c r="A1670" s="10"/>
      <c r="B1670" s="10"/>
    </row>
    <row r="1671" spans="1:2" ht="12.75">
      <c r="A1671" s="10"/>
      <c r="B1671" s="10"/>
    </row>
    <row r="1672" spans="1:2" ht="12.75">
      <c r="A1672" s="10"/>
      <c r="B1672" s="10"/>
    </row>
    <row r="1673" spans="1:2" ht="12.75">
      <c r="A1673" s="10"/>
      <c r="B1673" s="10"/>
    </row>
    <row r="1674" spans="1:2" ht="12.75">
      <c r="A1674" s="10"/>
      <c r="B1674" s="10"/>
    </row>
    <row r="1675" spans="1:2" ht="12.75">
      <c r="A1675" s="10"/>
      <c r="B1675" s="10"/>
    </row>
    <row r="1676" spans="1:2" ht="12.75">
      <c r="A1676" s="10"/>
      <c r="B1676" s="10"/>
    </row>
    <row r="1677" spans="1:2" ht="12.75">
      <c r="A1677" s="10"/>
      <c r="B1677" s="10"/>
    </row>
    <row r="1678" spans="1:2" ht="12.75">
      <c r="A1678" s="10"/>
      <c r="B1678" s="10"/>
    </row>
    <row r="1679" spans="1:2" ht="12.75">
      <c r="A1679" s="10"/>
      <c r="B1679" s="10"/>
    </row>
    <row r="1680" spans="1:2" ht="12.75">
      <c r="A1680" s="10"/>
      <c r="B1680" s="10"/>
    </row>
    <row r="1681" spans="1:2" ht="12.75">
      <c r="A1681" s="10"/>
      <c r="B1681" s="10"/>
    </row>
    <row r="1682" spans="1:2" ht="12.75">
      <c r="A1682" s="10"/>
      <c r="B1682" s="10"/>
    </row>
    <row r="1683" spans="1:2" ht="12.75">
      <c r="A1683" s="10"/>
      <c r="B1683" s="10"/>
    </row>
    <row r="1684" spans="1:2" ht="12.75">
      <c r="A1684" s="10"/>
      <c r="B1684" s="10"/>
    </row>
    <row r="1685" spans="1:2" ht="12.75">
      <c r="A1685" s="10"/>
      <c r="B1685" s="10"/>
    </row>
    <row r="1686" spans="1:2" ht="12.75">
      <c r="A1686" s="10"/>
      <c r="B1686" s="10"/>
    </row>
    <row r="1687" spans="1:2" ht="12.75">
      <c r="A1687" s="10"/>
      <c r="B1687" s="10"/>
    </row>
    <row r="1688" spans="1:2" ht="12.75">
      <c r="A1688" s="10"/>
      <c r="B1688" s="10"/>
    </row>
    <row r="1689" spans="1:2" ht="12.75">
      <c r="A1689" s="10"/>
      <c r="B1689" s="10"/>
    </row>
    <row r="1690" spans="1:2" ht="12.75">
      <c r="A1690" s="10"/>
      <c r="B1690" s="10"/>
    </row>
    <row r="1691" spans="1:2" ht="12.75">
      <c r="A1691" s="10"/>
      <c r="B1691" s="10"/>
    </row>
    <row r="1692" spans="1:2" ht="12.75">
      <c r="A1692" s="10"/>
      <c r="B1692" s="10"/>
    </row>
    <row r="1693" spans="1:2" ht="12.75">
      <c r="A1693" s="10"/>
      <c r="B1693" s="10"/>
    </row>
    <row r="1694" spans="1:2" ht="12.75">
      <c r="A1694" s="10"/>
      <c r="B1694" s="10"/>
    </row>
    <row r="1695" spans="1:2" ht="12.75">
      <c r="A1695" s="10"/>
      <c r="B1695" s="10"/>
    </row>
    <row r="1696" spans="1:2" ht="12.75">
      <c r="A1696" s="10"/>
      <c r="B1696" s="10"/>
    </row>
    <row r="1697" spans="1:2" ht="12.75">
      <c r="A1697" s="10"/>
      <c r="B1697" s="10"/>
    </row>
    <row r="1698" spans="1:2" ht="12.75">
      <c r="A1698" s="10"/>
      <c r="B1698" s="10"/>
    </row>
    <row r="1699" spans="1:2" ht="12.75">
      <c r="A1699" s="10"/>
      <c r="B1699" s="10"/>
    </row>
    <row r="1700" spans="1:2" ht="12.75">
      <c r="A1700" s="10"/>
      <c r="B1700" s="10"/>
    </row>
    <row r="1701" spans="1:2" ht="12.75">
      <c r="A1701" s="10"/>
      <c r="B1701" s="10"/>
    </row>
    <row r="1702" spans="1:2" ht="12.75">
      <c r="A1702" s="10"/>
      <c r="B1702" s="10"/>
    </row>
    <row r="1703" spans="1:2" ht="12.75">
      <c r="A1703" s="10"/>
      <c r="B1703" s="10"/>
    </row>
    <row r="1704" spans="1:2" ht="12.75">
      <c r="A1704" s="10"/>
      <c r="B1704" s="10"/>
    </row>
    <row r="1705" spans="1:2" ht="12.75">
      <c r="A1705" s="10"/>
      <c r="B1705" s="10"/>
    </row>
    <row r="1706" spans="1:2" ht="12.75">
      <c r="A1706" s="10"/>
      <c r="B1706" s="10"/>
    </row>
    <row r="1707" spans="1:2" ht="12.75">
      <c r="A1707" s="10"/>
      <c r="B1707" s="10"/>
    </row>
    <row r="1708" spans="1:2" ht="12.75">
      <c r="A1708" s="10"/>
      <c r="B1708" s="10"/>
    </row>
    <row r="1709" spans="1:2" ht="12.75">
      <c r="A1709" s="10"/>
      <c r="B1709" s="10"/>
    </row>
    <row r="1710" spans="1:2" ht="12.75">
      <c r="A1710" s="10"/>
      <c r="B1710" s="10"/>
    </row>
    <row r="1711" spans="1:2" ht="12.75">
      <c r="A1711" s="10"/>
      <c r="B1711" s="10"/>
    </row>
    <row r="1712" spans="1:2" ht="12.75">
      <c r="A1712" s="10"/>
      <c r="B1712" s="10"/>
    </row>
    <row r="1713" spans="1:2" ht="12.75">
      <c r="A1713" s="10"/>
      <c r="B1713" s="10"/>
    </row>
    <row r="1714" spans="1:2" ht="12.75">
      <c r="A1714" s="10"/>
      <c r="B1714" s="10"/>
    </row>
    <row r="1715" spans="1:2" ht="12.75">
      <c r="A1715" s="10"/>
      <c r="B1715" s="10"/>
    </row>
    <row r="1716" spans="1:2" ht="12.75">
      <c r="A1716" s="10"/>
      <c r="B1716" s="10"/>
    </row>
    <row r="1717" spans="1:2" ht="12.75">
      <c r="A1717" s="10"/>
      <c r="B1717" s="10"/>
    </row>
    <row r="1718" spans="1:2" ht="12.75">
      <c r="A1718" s="10"/>
      <c r="B1718" s="10"/>
    </row>
    <row r="1719" spans="1:2" ht="12.75">
      <c r="A1719" s="10"/>
      <c r="B1719" s="10"/>
    </row>
    <row r="1720" spans="1:2" ht="12.75">
      <c r="A1720" s="10"/>
      <c r="B1720" s="10"/>
    </row>
    <row r="1721" spans="1:2" ht="12.75">
      <c r="A1721" s="10"/>
      <c r="B1721" s="10"/>
    </row>
    <row r="1722" spans="1:2" ht="12.75">
      <c r="A1722" s="10"/>
      <c r="B1722" s="10"/>
    </row>
    <row r="1723" spans="1:2" ht="12.75">
      <c r="A1723" s="10"/>
      <c r="B1723" s="10"/>
    </row>
    <row r="1724" spans="1:2" ht="12.75">
      <c r="A1724" s="10"/>
      <c r="B1724" s="10"/>
    </row>
    <row r="1725" spans="1:2" ht="12.75">
      <c r="A1725" s="10"/>
      <c r="B1725" s="10"/>
    </row>
    <row r="1726" spans="1:2" ht="12.75">
      <c r="A1726" s="10"/>
      <c r="B1726" s="10"/>
    </row>
    <row r="1727" spans="1:2" ht="12.75">
      <c r="A1727" s="10"/>
      <c r="B1727" s="10"/>
    </row>
    <row r="1728" spans="1:2" ht="12.75">
      <c r="A1728" s="10"/>
      <c r="B1728" s="10"/>
    </row>
    <row r="1729" spans="1:2" ht="12.75">
      <c r="A1729" s="10"/>
      <c r="B1729" s="10"/>
    </row>
    <row r="1730" spans="1:2" ht="12.75">
      <c r="A1730" s="10"/>
      <c r="B1730" s="10"/>
    </row>
    <row r="1731" spans="1:2" ht="12.75">
      <c r="A1731" s="10"/>
      <c r="B1731" s="10"/>
    </row>
    <row r="1732" spans="1:2" ht="12.75">
      <c r="A1732" s="10"/>
      <c r="B1732" s="10"/>
    </row>
    <row r="1733" spans="1:2" ht="12.75">
      <c r="A1733" s="10"/>
      <c r="B1733" s="10"/>
    </row>
    <row r="1734" spans="1:2" ht="12.75">
      <c r="A1734" s="10"/>
      <c r="B1734" s="10"/>
    </row>
    <row r="1735" spans="1:2" ht="12.75">
      <c r="A1735" s="10"/>
      <c r="B1735" s="10"/>
    </row>
    <row r="1736" spans="1:2" ht="12.75">
      <c r="A1736" s="10"/>
      <c r="B1736" s="10"/>
    </row>
    <row r="1737" spans="1:2" ht="12.75">
      <c r="A1737" s="10"/>
      <c r="B1737" s="10"/>
    </row>
    <row r="1738" spans="1:2" ht="12.75">
      <c r="A1738" s="10"/>
      <c r="B1738" s="10"/>
    </row>
    <row r="1739" spans="1:2" ht="12.75">
      <c r="A1739" s="10"/>
      <c r="B1739" s="10"/>
    </row>
    <row r="1740" spans="1:2" ht="12.75">
      <c r="A1740" s="10"/>
      <c r="B1740" s="10"/>
    </row>
    <row r="1741" spans="1:2" ht="12.75">
      <c r="A1741" s="10"/>
      <c r="B1741" s="10"/>
    </row>
    <row r="1742" spans="1:2" ht="12.75">
      <c r="A1742" s="10"/>
      <c r="B1742" s="10"/>
    </row>
    <row r="1743" spans="1:2" ht="12.75">
      <c r="A1743" s="10"/>
      <c r="B1743" s="10"/>
    </row>
    <row r="1744" spans="1:2" ht="12.75">
      <c r="A1744" s="10"/>
      <c r="B1744" s="10"/>
    </row>
    <row r="1745" spans="1:2" ht="12.75">
      <c r="A1745" s="10"/>
      <c r="B1745" s="10"/>
    </row>
    <row r="1746" spans="1:2" ht="12.75">
      <c r="A1746" s="10"/>
      <c r="B1746" s="10"/>
    </row>
    <row r="1747" spans="1:2" ht="12.75">
      <c r="A1747" s="10"/>
      <c r="B1747" s="10"/>
    </row>
    <row r="1748" spans="1:2" ht="12.75">
      <c r="A1748" s="10"/>
      <c r="B1748" s="10"/>
    </row>
    <row r="1749" spans="1:2" ht="12.75">
      <c r="A1749" s="10"/>
      <c r="B1749" s="10"/>
    </row>
    <row r="1750" spans="1:2" ht="12.75">
      <c r="A1750" s="10"/>
      <c r="B1750" s="10"/>
    </row>
    <row r="1751" spans="1:2" ht="12.75">
      <c r="A1751" s="10"/>
      <c r="B1751" s="10"/>
    </row>
    <row r="1752" spans="1:2" ht="12.75">
      <c r="A1752" s="10"/>
      <c r="B1752" s="10"/>
    </row>
    <row r="1753" spans="1:2" ht="12.75">
      <c r="A1753" s="10"/>
      <c r="B1753" s="10"/>
    </row>
    <row r="1754" spans="1:2" ht="12.75">
      <c r="A1754" s="10"/>
      <c r="B1754" s="10"/>
    </row>
    <row r="1755" spans="1:2" ht="12.75">
      <c r="A1755" s="10"/>
      <c r="B1755" s="10"/>
    </row>
    <row r="1756" spans="1:2" ht="12.75">
      <c r="A1756" s="10"/>
      <c r="B1756" s="10"/>
    </row>
    <row r="1757" spans="1:2" ht="12.75">
      <c r="A1757" s="10"/>
      <c r="B1757" s="10"/>
    </row>
    <row r="1758" spans="1:2" ht="12.75">
      <c r="A1758" s="10"/>
      <c r="B1758" s="10"/>
    </row>
    <row r="1759" spans="1:2" ht="12.75">
      <c r="A1759" s="10"/>
      <c r="B1759" s="10"/>
    </row>
    <row r="1760" spans="1:2" ht="12.75">
      <c r="A1760" s="10"/>
      <c r="B1760" s="10"/>
    </row>
    <row r="1761" spans="1:2" ht="12.75">
      <c r="A1761" s="10"/>
      <c r="B1761" s="10"/>
    </row>
    <row r="1762" spans="1:2" ht="12.75">
      <c r="A1762" s="10"/>
      <c r="B1762" s="10"/>
    </row>
    <row r="1763" spans="1:2" ht="12.75">
      <c r="A1763" s="10"/>
      <c r="B1763" s="10"/>
    </row>
    <row r="1764" spans="1:2" ht="12.75">
      <c r="A1764" s="10"/>
      <c r="B1764" s="10"/>
    </row>
    <row r="1765" spans="1:2" ht="12.75">
      <c r="A1765" s="10"/>
      <c r="B1765" s="10"/>
    </row>
    <row r="1766" spans="1:2" ht="12.75">
      <c r="A1766" s="10"/>
      <c r="B1766" s="10"/>
    </row>
    <row r="1767" spans="1:2" ht="12.75">
      <c r="A1767" s="10"/>
      <c r="B1767" s="10"/>
    </row>
    <row r="1768" spans="1:2" ht="12.75">
      <c r="A1768" s="10"/>
      <c r="B1768" s="10"/>
    </row>
    <row r="1769" spans="1:2" ht="12.75">
      <c r="A1769" s="10"/>
      <c r="B1769" s="10"/>
    </row>
    <row r="1770" spans="1:2" ht="12.75">
      <c r="A1770" s="10"/>
      <c r="B1770" s="10"/>
    </row>
    <row r="1771" spans="1:2" ht="12.75">
      <c r="A1771" s="10"/>
      <c r="B1771" s="10"/>
    </row>
    <row r="1772" spans="1:2" ht="12.75">
      <c r="A1772" s="10"/>
      <c r="B1772" s="10"/>
    </row>
    <row r="1773" spans="1:2" ht="12.75">
      <c r="A1773" s="10"/>
      <c r="B1773" s="10"/>
    </row>
    <row r="1774" spans="1:2" ht="12.75">
      <c r="A1774" s="10"/>
      <c r="B1774" s="10"/>
    </row>
    <row r="1775" spans="1:2" ht="12.75">
      <c r="A1775" s="10"/>
      <c r="B1775" s="10"/>
    </row>
    <row r="1776" spans="1:2" ht="12.75">
      <c r="A1776" s="10"/>
      <c r="B1776" s="10"/>
    </row>
    <row r="1777" spans="1:2" ht="12.75">
      <c r="A1777" s="10"/>
      <c r="B1777" s="10"/>
    </row>
    <row r="1778" spans="1:2" ht="12.75">
      <c r="A1778" s="10"/>
      <c r="B1778" s="10"/>
    </row>
    <row r="1779" spans="1:2" ht="12.75">
      <c r="A1779" s="10"/>
      <c r="B1779" s="10"/>
    </row>
    <row r="1780" spans="1:2" ht="12.75">
      <c r="A1780" s="10"/>
      <c r="B1780" s="10"/>
    </row>
    <row r="1781" spans="1:2" ht="12.75">
      <c r="A1781" s="10"/>
      <c r="B1781" s="10"/>
    </row>
    <row r="1782" spans="1:2" ht="12.75">
      <c r="A1782" s="10"/>
      <c r="B1782" s="10"/>
    </row>
    <row r="1783" spans="1:2" ht="12.75">
      <c r="A1783" s="10"/>
      <c r="B1783" s="10"/>
    </row>
    <row r="1784" spans="1:2" ht="12.75">
      <c r="A1784" s="10"/>
      <c r="B1784" s="10"/>
    </row>
    <row r="1785" spans="1:2" ht="12.75">
      <c r="A1785" s="10"/>
      <c r="B1785" s="10"/>
    </row>
    <row r="1786" spans="1:2" ht="12.75">
      <c r="A1786" s="10"/>
      <c r="B1786" s="10"/>
    </row>
    <row r="1787" spans="1:2" ht="12.75">
      <c r="A1787" s="10"/>
      <c r="B1787" s="10"/>
    </row>
    <row r="1788" spans="1:2" ht="12.75">
      <c r="A1788" s="10"/>
      <c r="B1788" s="10"/>
    </row>
    <row r="1789" spans="1:2" ht="12.75">
      <c r="A1789" s="10"/>
      <c r="B1789" s="10"/>
    </row>
    <row r="1790" spans="1:2" ht="12.75">
      <c r="A1790" s="10"/>
      <c r="B1790" s="10"/>
    </row>
    <row r="1791" spans="1:2" ht="12.75">
      <c r="A1791" s="10"/>
      <c r="B1791" s="10"/>
    </row>
    <row r="1792" spans="1:2" ht="12.75">
      <c r="A1792" s="10"/>
      <c r="B1792" s="10"/>
    </row>
    <row r="1793" spans="1:2" ht="12.75">
      <c r="A1793" s="10"/>
      <c r="B1793" s="10"/>
    </row>
    <row r="1794" spans="1:2" ht="12.75">
      <c r="A1794" s="10"/>
      <c r="B1794" s="10"/>
    </row>
    <row r="1795" spans="1:2" ht="12.75">
      <c r="A1795" s="10"/>
      <c r="B1795" s="10"/>
    </row>
    <row r="1796" spans="1:2" ht="12.75">
      <c r="A1796" s="10"/>
      <c r="B1796" s="10"/>
    </row>
    <row r="1797" spans="1:2" ht="12.75">
      <c r="A1797" s="10"/>
      <c r="B1797" s="10"/>
    </row>
    <row r="1798" spans="1:2" ht="12.75">
      <c r="A1798" s="10"/>
      <c r="B1798" s="10"/>
    </row>
    <row r="1799" spans="1:2" ht="12.75">
      <c r="A1799" s="10"/>
      <c r="B1799" s="10"/>
    </row>
    <row r="1800" spans="1:2" ht="12.75">
      <c r="A1800" s="10"/>
      <c r="B1800" s="10"/>
    </row>
    <row r="1801" spans="1:2" ht="12.75">
      <c r="A1801" s="10"/>
      <c r="B1801" s="10"/>
    </row>
    <row r="1802" spans="1:2" ht="12.75">
      <c r="A1802" s="10"/>
      <c r="B1802" s="10"/>
    </row>
    <row r="1803" spans="1:2" ht="12.75">
      <c r="A1803" s="10"/>
      <c r="B1803" s="10"/>
    </row>
    <row r="1804" spans="1:2" ht="12.75">
      <c r="A1804" s="10"/>
      <c r="B1804" s="10"/>
    </row>
    <row r="1805" spans="1:2" ht="12.75">
      <c r="A1805" s="10"/>
      <c r="B1805" s="10"/>
    </row>
    <row r="1806" spans="1:2" ht="12.75">
      <c r="A1806" s="10"/>
      <c r="B1806" s="10"/>
    </row>
    <row r="1807" spans="1:2" ht="12.75">
      <c r="A1807" s="10"/>
      <c r="B1807" s="10"/>
    </row>
    <row r="1808" spans="1:2" ht="12.75">
      <c r="A1808" s="10"/>
      <c r="B1808" s="10"/>
    </row>
    <row r="1809" spans="1:2" ht="12.75">
      <c r="A1809" s="10"/>
      <c r="B1809" s="10"/>
    </row>
    <row r="1810" spans="1:2" ht="12.75">
      <c r="A1810" s="10"/>
      <c r="B1810" s="10"/>
    </row>
    <row r="1811" spans="1:2" ht="12.75">
      <c r="A1811" s="10"/>
      <c r="B1811" s="10"/>
    </row>
    <row r="1812" spans="1:2" ht="12.75">
      <c r="A1812" s="10"/>
      <c r="B1812" s="10"/>
    </row>
    <row r="1813" spans="1:2" ht="12.75">
      <c r="A1813" s="10"/>
      <c r="B1813" s="10"/>
    </row>
    <row r="1814" spans="1:2" ht="12.75">
      <c r="A1814" s="10"/>
      <c r="B1814" s="10"/>
    </row>
    <row r="1815" spans="1:2" ht="12.75">
      <c r="A1815" s="10"/>
      <c r="B1815" s="10"/>
    </row>
    <row r="1816" spans="1:2" ht="12.75">
      <c r="A1816" s="10"/>
      <c r="B1816" s="10"/>
    </row>
    <row r="1817" spans="1:2" ht="12.75">
      <c r="A1817" s="10"/>
      <c r="B1817" s="10"/>
    </row>
    <row r="1818" spans="1:2" ht="12.75">
      <c r="A1818" s="10"/>
      <c r="B1818" s="10"/>
    </row>
    <row r="1819" spans="1:2" ht="12.75">
      <c r="A1819" s="10"/>
      <c r="B1819" s="10"/>
    </row>
    <row r="1820" spans="1:2" ht="12.75">
      <c r="A1820" s="10"/>
      <c r="B1820" s="10"/>
    </row>
    <row r="1821" spans="1:2" ht="12.75">
      <c r="A1821" s="10"/>
      <c r="B1821" s="10"/>
    </row>
    <row r="1822" spans="1:2" ht="12.75">
      <c r="A1822" s="10"/>
      <c r="B1822" s="10"/>
    </row>
    <row r="1823" spans="1:2" ht="12.75">
      <c r="A1823" s="10"/>
      <c r="B1823" s="10"/>
    </row>
    <row r="1824" spans="1:2" ht="12.75">
      <c r="A1824" s="10"/>
      <c r="B1824" s="10"/>
    </row>
    <row r="1825" spans="1:2" ht="12.75">
      <c r="A1825" s="10"/>
      <c r="B1825" s="10"/>
    </row>
    <row r="1826" spans="1:2" ht="12.75">
      <c r="A1826" s="10"/>
      <c r="B1826" s="10"/>
    </row>
    <row r="1827" spans="1:2" ht="12.75">
      <c r="A1827" s="10"/>
      <c r="B1827" s="10"/>
    </row>
    <row r="1828" spans="1:2" ht="12.75">
      <c r="A1828" s="10"/>
      <c r="B1828" s="10"/>
    </row>
    <row r="1829" spans="1:2" ht="12.75">
      <c r="A1829" s="10"/>
      <c r="B1829" s="10"/>
    </row>
    <row r="1830" spans="1:2" ht="12.75">
      <c r="A1830" s="10"/>
      <c r="B1830" s="10"/>
    </row>
    <row r="1831" spans="1:2" ht="12.75">
      <c r="A1831" s="10"/>
      <c r="B1831" s="10"/>
    </row>
    <row r="1832" spans="1:2" ht="12.75">
      <c r="A1832" s="10"/>
      <c r="B1832" s="10"/>
    </row>
    <row r="1833" spans="1:2" ht="12.75">
      <c r="A1833" s="10"/>
      <c r="B1833" s="10"/>
    </row>
    <row r="1834" spans="1:2" ht="12.75">
      <c r="A1834" s="10"/>
      <c r="B1834" s="10"/>
    </row>
    <row r="1835" spans="1:2" ht="12.75">
      <c r="A1835" s="10"/>
      <c r="B1835" s="10"/>
    </row>
    <row r="1836" spans="1:2" ht="12.75">
      <c r="A1836" s="10"/>
      <c r="B1836" s="10"/>
    </row>
    <row r="1837" spans="1:2" ht="12.75">
      <c r="A1837" s="10"/>
      <c r="B1837" s="10"/>
    </row>
    <row r="1838" spans="1:2" ht="12.75">
      <c r="A1838" s="10"/>
      <c r="B1838" s="10"/>
    </row>
    <row r="1839" spans="1:2" ht="12.75">
      <c r="A1839" s="10"/>
      <c r="B1839" s="10"/>
    </row>
    <row r="1840" spans="1:2" ht="12.75">
      <c r="A1840" s="10"/>
      <c r="B1840" s="10"/>
    </row>
    <row r="1841" spans="1:2" ht="12.75">
      <c r="A1841" s="10"/>
      <c r="B1841" s="10"/>
    </row>
    <row r="1842" spans="1:2" ht="12.75">
      <c r="A1842" s="10"/>
      <c r="B1842" s="10"/>
    </row>
    <row r="1843" spans="1:2" ht="12.75">
      <c r="A1843" s="10"/>
      <c r="B1843" s="10"/>
    </row>
    <row r="1844" spans="1:2" ht="12.75">
      <c r="A1844" s="10"/>
      <c r="B1844" s="10"/>
    </row>
    <row r="1845" spans="1:2" ht="12.75">
      <c r="A1845" s="10"/>
      <c r="B1845" s="10"/>
    </row>
    <row r="1846" spans="1:2" ht="12.75">
      <c r="A1846" s="10"/>
      <c r="B1846" s="10"/>
    </row>
    <row r="1847" spans="1:2" ht="12.75">
      <c r="A1847" s="10"/>
      <c r="B1847" s="10"/>
    </row>
    <row r="1848" spans="1:2" ht="12.75">
      <c r="A1848" s="10"/>
      <c r="B1848" s="10"/>
    </row>
    <row r="1849" spans="1:2" ht="12.75">
      <c r="A1849" s="10"/>
      <c r="B1849" s="10"/>
    </row>
    <row r="1850" spans="1:2" ht="12.75">
      <c r="A1850" s="10"/>
      <c r="B1850" s="10"/>
    </row>
    <row r="1851" spans="1:2" ht="12.75">
      <c r="A1851" s="10"/>
      <c r="B1851" s="10"/>
    </row>
    <row r="1852" spans="1:2" ht="12.75">
      <c r="A1852" s="10"/>
      <c r="B1852" s="10"/>
    </row>
    <row r="1853" spans="1:2" ht="12.75">
      <c r="A1853" s="10"/>
      <c r="B1853" s="10"/>
    </row>
    <row r="1854" spans="1:2" ht="12.75">
      <c r="A1854" s="10"/>
      <c r="B1854" s="10"/>
    </row>
    <row r="1855" spans="1:2" ht="12.75">
      <c r="A1855" s="10"/>
      <c r="B1855" s="10"/>
    </row>
    <row r="1856" spans="1:2" ht="12.75">
      <c r="A1856" s="10"/>
      <c r="B1856" s="10"/>
    </row>
    <row r="1857" spans="1:2" ht="12.75">
      <c r="A1857" s="10"/>
      <c r="B1857" s="10"/>
    </row>
    <row r="1858" spans="1:2" ht="12.75">
      <c r="A1858" s="10"/>
      <c r="B1858" s="10"/>
    </row>
    <row r="1859" spans="1:2" ht="12.75">
      <c r="A1859" s="10"/>
      <c r="B1859" s="10"/>
    </row>
    <row r="1860" spans="1:2" ht="12.75">
      <c r="A1860" s="10"/>
      <c r="B1860" s="10"/>
    </row>
    <row r="1861" spans="1:2" ht="12.75">
      <c r="A1861" s="10"/>
      <c r="B1861" s="10"/>
    </row>
    <row r="1862" spans="1:2" ht="12.75">
      <c r="A1862" s="10"/>
      <c r="B1862" s="10"/>
    </row>
    <row r="1863" spans="1:2" ht="12.75">
      <c r="A1863" s="10"/>
      <c r="B1863" s="10"/>
    </row>
    <row r="1864" spans="1:2" ht="12.75">
      <c r="A1864" s="10"/>
      <c r="B1864" s="10"/>
    </row>
    <row r="1865" spans="1:2" ht="12.75">
      <c r="A1865" s="10"/>
      <c r="B1865" s="10"/>
    </row>
    <row r="1866" spans="1:2" ht="12.75">
      <c r="A1866" s="10"/>
      <c r="B1866" s="10"/>
    </row>
    <row r="1867" spans="1:2" ht="12.75">
      <c r="A1867" s="10"/>
      <c r="B1867" s="10"/>
    </row>
    <row r="1868" spans="1:2" ht="12.75">
      <c r="A1868" s="10"/>
      <c r="B1868" s="10"/>
    </row>
    <row r="1869" spans="1:2" ht="12.75">
      <c r="A1869" s="10"/>
      <c r="B1869" s="10"/>
    </row>
    <row r="1870" spans="1:2" ht="12.75">
      <c r="A1870" s="10"/>
      <c r="B1870" s="10"/>
    </row>
    <row r="1871" spans="1:2" ht="12.75">
      <c r="A1871" s="10"/>
      <c r="B1871" s="10"/>
    </row>
    <row r="1872" spans="1:2" ht="12.75">
      <c r="A1872" s="10"/>
      <c r="B1872" s="10"/>
    </row>
    <row r="1873" spans="1:2" ht="12.75">
      <c r="A1873" s="10"/>
      <c r="B1873" s="10"/>
    </row>
    <row r="1874" spans="1:2" ht="12.75">
      <c r="A1874" s="10"/>
      <c r="B1874" s="10"/>
    </row>
    <row r="1875" spans="1:2" ht="12.75">
      <c r="A1875" s="10"/>
      <c r="B1875" s="10"/>
    </row>
    <row r="1876" spans="1:2" ht="12.75">
      <c r="A1876" s="10"/>
      <c r="B1876" s="10"/>
    </row>
    <row r="1877" spans="1:2" ht="12.75">
      <c r="A1877" s="10"/>
      <c r="B1877" s="10"/>
    </row>
    <row r="1878" spans="1:2" ht="12.75">
      <c r="A1878" s="10"/>
      <c r="B1878" s="10"/>
    </row>
    <row r="1879" spans="1:2" ht="12.75">
      <c r="A1879" s="10"/>
      <c r="B1879" s="10"/>
    </row>
    <row r="1880" spans="1:2" ht="12.75">
      <c r="A1880" s="10"/>
      <c r="B1880" s="10"/>
    </row>
    <row r="1881" spans="1:2" ht="12.75">
      <c r="A1881" s="10"/>
      <c r="B1881" s="10"/>
    </row>
    <row r="1882" spans="1:2" ht="12.75">
      <c r="A1882" s="10"/>
      <c r="B1882" s="10"/>
    </row>
    <row r="1883" spans="1:2" ht="12.75">
      <c r="A1883" s="10"/>
      <c r="B1883" s="10"/>
    </row>
    <row r="1884" spans="1:2" ht="12.75">
      <c r="A1884" s="10"/>
      <c r="B1884" s="10"/>
    </row>
    <row r="1885" spans="1:2" ht="12.75">
      <c r="A1885" s="10"/>
      <c r="B1885" s="10"/>
    </row>
    <row r="1886" spans="1:2" ht="12.75">
      <c r="A1886" s="10"/>
      <c r="B1886" s="10"/>
    </row>
    <row r="1887" spans="1:2" ht="12.75">
      <c r="A1887" s="10"/>
      <c r="B1887" s="10"/>
    </row>
    <row r="1888" spans="1:2" ht="12.75">
      <c r="A1888" s="10"/>
      <c r="B1888" s="10"/>
    </row>
    <row r="1889" spans="1:2" ht="12.75">
      <c r="A1889" s="10"/>
      <c r="B1889" s="10"/>
    </row>
    <row r="1890" spans="1:2" ht="12.75">
      <c r="A1890" s="10"/>
      <c r="B1890" s="10"/>
    </row>
    <row r="1891" spans="1:2" ht="12.75">
      <c r="A1891" s="10"/>
      <c r="B1891" s="10"/>
    </row>
    <row r="1892" spans="1:2" ht="12.75">
      <c r="A1892" s="10"/>
      <c r="B1892" s="10"/>
    </row>
    <row r="1893" spans="1:2" ht="12.75">
      <c r="A1893" s="10"/>
      <c r="B1893" s="10"/>
    </row>
    <row r="1894" spans="1:2" ht="12.75">
      <c r="A1894" s="10"/>
      <c r="B1894" s="10"/>
    </row>
    <row r="1895" spans="1:2" ht="12.75">
      <c r="A1895" s="10"/>
      <c r="B1895" s="10"/>
    </row>
    <row r="1896" spans="1:2" ht="12.75">
      <c r="A1896" s="10"/>
      <c r="B1896" s="10"/>
    </row>
    <row r="1897" spans="1:2" ht="12.75">
      <c r="A1897" s="10"/>
      <c r="B1897" s="10"/>
    </row>
    <row r="1898" spans="1:2" ht="12.75">
      <c r="A1898" s="10"/>
      <c r="B1898" s="10"/>
    </row>
    <row r="1899" spans="1:2" ht="12.75">
      <c r="A1899" s="10"/>
      <c r="B1899" s="10"/>
    </row>
    <row r="1900" spans="1:2" ht="12.75">
      <c r="A1900" s="10"/>
      <c r="B1900" s="10"/>
    </row>
    <row r="1901" spans="1:2" ht="12.75">
      <c r="A1901" s="10"/>
      <c r="B1901" s="10"/>
    </row>
    <row r="1902" spans="1:2" ht="12.75">
      <c r="A1902" s="10"/>
      <c r="B1902" s="10"/>
    </row>
    <row r="1903" spans="1:2" ht="12.75">
      <c r="A1903" s="10"/>
      <c r="B1903" s="10"/>
    </row>
    <row r="1904" spans="1:2" ht="12.75">
      <c r="A1904" s="10"/>
      <c r="B1904" s="10"/>
    </row>
    <row r="1905" spans="1:2" ht="12.75">
      <c r="A1905" s="10"/>
      <c r="B1905" s="10"/>
    </row>
    <row r="1906" spans="1:2" ht="12.75">
      <c r="A1906" s="10"/>
      <c r="B1906" s="10"/>
    </row>
    <row r="1907" spans="1:2" ht="12.75">
      <c r="A1907" s="10"/>
      <c r="B1907" s="10"/>
    </row>
    <row r="1908" spans="1:2" ht="12.75">
      <c r="A1908" s="10"/>
      <c r="B1908" s="10"/>
    </row>
    <row r="1909" spans="1:2" ht="12.75">
      <c r="A1909" s="10"/>
      <c r="B1909" s="10"/>
    </row>
    <row r="1910" spans="1:2" ht="12.75">
      <c r="A1910" s="10"/>
      <c r="B1910" s="10"/>
    </row>
    <row r="1911" spans="1:2" ht="12.75">
      <c r="A1911" s="10"/>
      <c r="B1911" s="10"/>
    </row>
    <row r="1912" spans="1:2" ht="12.75">
      <c r="A1912" s="10"/>
      <c r="B1912" s="10"/>
    </row>
    <row r="1913" spans="1:2" ht="12.75">
      <c r="A1913" s="10"/>
      <c r="B1913" s="10"/>
    </row>
    <row r="1914" spans="1:2" ht="12.75">
      <c r="A1914" s="10"/>
      <c r="B1914" s="10"/>
    </row>
    <row r="1915" spans="1:2" ht="12.75">
      <c r="A1915" s="10"/>
      <c r="B1915" s="10"/>
    </row>
    <row r="1916" spans="1:2" ht="12.75">
      <c r="A1916" s="10"/>
      <c r="B1916" s="10"/>
    </row>
    <row r="1917" spans="1:2" ht="12.75">
      <c r="A1917" s="10"/>
      <c r="B1917" s="10"/>
    </row>
    <row r="1918" spans="1:2" ht="12.75">
      <c r="A1918" s="10"/>
      <c r="B1918" s="10"/>
    </row>
    <row r="1919" spans="1:2" ht="12.75">
      <c r="A1919" s="10"/>
      <c r="B1919" s="10"/>
    </row>
    <row r="1920" spans="1:2" ht="12.75">
      <c r="A1920" s="10"/>
      <c r="B1920" s="10"/>
    </row>
    <row r="1921" spans="1:2" ht="12.75">
      <c r="A1921" s="10"/>
      <c r="B1921" s="10"/>
    </row>
    <row r="1922" spans="1:2" ht="12.75">
      <c r="A1922" s="10"/>
      <c r="B1922" s="10"/>
    </row>
    <row r="1923" spans="1:2" ht="12.75">
      <c r="A1923" s="10"/>
      <c r="B1923" s="10"/>
    </row>
    <row r="1924" spans="1:2" ht="12.75">
      <c r="A1924" s="10"/>
      <c r="B1924" s="10"/>
    </row>
    <row r="1925" spans="1:2" ht="12.75">
      <c r="A1925" s="10"/>
      <c r="B1925" s="10"/>
    </row>
    <row r="1926" spans="1:2" ht="12.75">
      <c r="A1926" s="10"/>
      <c r="B1926" s="10"/>
    </row>
    <row r="1927" spans="1:2" ht="12.75">
      <c r="A1927" s="10"/>
      <c r="B1927" s="10"/>
    </row>
    <row r="1928" spans="1:2" ht="12.75">
      <c r="A1928" s="10"/>
      <c r="B1928" s="10"/>
    </row>
    <row r="1929" spans="1:2" ht="12.75">
      <c r="A1929" s="10"/>
      <c r="B1929" s="10"/>
    </row>
    <row r="1930" spans="1:2" ht="12.75">
      <c r="A1930" s="10"/>
      <c r="B1930" s="10"/>
    </row>
    <row r="1931" spans="1:2" ht="12.75">
      <c r="A1931" s="10"/>
      <c r="B1931" s="10"/>
    </row>
    <row r="1932" spans="1:2" ht="12.75">
      <c r="A1932" s="10"/>
      <c r="B1932" s="10"/>
    </row>
    <row r="1933" spans="1:2" ht="12.75">
      <c r="A1933" s="10"/>
      <c r="B1933" s="10"/>
    </row>
    <row r="1934" spans="1:2" ht="12.75">
      <c r="A1934" s="10"/>
      <c r="B1934" s="10"/>
    </row>
    <row r="1935" spans="1:2" ht="12.75">
      <c r="A1935" s="10"/>
      <c r="B1935" s="10"/>
    </row>
    <row r="1936" spans="1:2" ht="12.75">
      <c r="A1936" s="10"/>
      <c r="B1936" s="10"/>
    </row>
    <row r="1937" spans="1:2" ht="12.75">
      <c r="A1937" s="10"/>
      <c r="B1937" s="10"/>
    </row>
    <row r="1938" spans="1:2" ht="12.75">
      <c r="A1938" s="10"/>
      <c r="B1938" s="10"/>
    </row>
    <row r="1939" spans="1:2" ht="12.75">
      <c r="A1939" s="10"/>
      <c r="B1939" s="10"/>
    </row>
    <row r="1940" spans="1:2" ht="12.75">
      <c r="A1940" s="10"/>
      <c r="B1940" s="10"/>
    </row>
    <row r="1941" spans="1:2" ht="12.75">
      <c r="A1941" s="10"/>
      <c r="B1941" s="10"/>
    </row>
    <row r="1942" spans="1:2" ht="12.75">
      <c r="A1942" s="10"/>
      <c r="B1942" s="10"/>
    </row>
    <row r="1943" spans="1:2" ht="12.75">
      <c r="A1943" s="10"/>
      <c r="B1943" s="10"/>
    </row>
    <row r="1944" spans="1:2" ht="12.75">
      <c r="A1944" s="10"/>
      <c r="B1944" s="10"/>
    </row>
    <row r="1945" spans="1:2" ht="12.75">
      <c r="A1945" s="10"/>
      <c r="B1945" s="10"/>
    </row>
    <row r="1946" spans="1:2" ht="12.75">
      <c r="A1946" s="10"/>
      <c r="B1946" s="10"/>
    </row>
    <row r="1947" spans="1:2" ht="12.75">
      <c r="A1947" s="10"/>
      <c r="B1947" s="10"/>
    </row>
    <row r="1948" spans="1:2" ht="12.75">
      <c r="A1948" s="10"/>
      <c r="B1948" s="10"/>
    </row>
    <row r="1949" spans="1:2" ht="12.75">
      <c r="A1949" s="10"/>
      <c r="B1949" s="10"/>
    </row>
    <row r="1950" spans="1:2" ht="12.75">
      <c r="A1950" s="10"/>
      <c r="B1950" s="10"/>
    </row>
    <row r="1951" spans="1:2" ht="12.75">
      <c r="A1951" s="10"/>
      <c r="B1951" s="10"/>
    </row>
    <row r="1952" spans="1:2" ht="12.75">
      <c r="A1952" s="10"/>
      <c r="B1952" s="10"/>
    </row>
    <row r="1953" spans="1:2" ht="12.75">
      <c r="A1953" s="10"/>
      <c r="B1953" s="10"/>
    </row>
    <row r="1954" spans="1:2" ht="12.75">
      <c r="A1954" s="10"/>
      <c r="B1954" s="10"/>
    </row>
    <row r="1955" spans="1:2" ht="12.75">
      <c r="A1955" s="10"/>
      <c r="B1955" s="10"/>
    </row>
    <row r="1956" spans="1:2" ht="12.75">
      <c r="A1956" s="10"/>
      <c r="B1956" s="10"/>
    </row>
    <row r="1957" spans="1:2" ht="12.75">
      <c r="A1957" s="10"/>
      <c r="B1957" s="10"/>
    </row>
    <row r="1958" spans="1:2" ht="12.75">
      <c r="A1958" s="10"/>
      <c r="B1958" s="10"/>
    </row>
    <row r="1959" spans="1:2" ht="12.75">
      <c r="A1959" s="10"/>
      <c r="B1959" s="10"/>
    </row>
    <row r="1960" spans="1:2" ht="12.75">
      <c r="A1960" s="10"/>
      <c r="B1960" s="10"/>
    </row>
    <row r="1961" spans="1:2" ht="12.75">
      <c r="A1961" s="10"/>
      <c r="B1961" s="10"/>
    </row>
    <row r="1962" spans="1:2" ht="12.75">
      <c r="A1962" s="10"/>
      <c r="B1962" s="10"/>
    </row>
    <row r="1963" spans="1:2" ht="12.75">
      <c r="A1963" s="10"/>
      <c r="B1963" s="10"/>
    </row>
    <row r="1964" spans="1:2" ht="12.75">
      <c r="A1964" s="10"/>
      <c r="B1964" s="10"/>
    </row>
    <row r="1965" spans="1:2" ht="12.75">
      <c r="A1965" s="10"/>
      <c r="B1965" s="10"/>
    </row>
    <row r="1966" spans="1:2" ht="12.75">
      <c r="A1966" s="10"/>
      <c r="B1966" s="10"/>
    </row>
    <row r="1967" spans="1:2" ht="12.75">
      <c r="A1967" s="10"/>
      <c r="B1967" s="10"/>
    </row>
    <row r="1968" spans="1:2" ht="12.75">
      <c r="A1968" s="10"/>
      <c r="B1968" s="10"/>
    </row>
    <row r="1969" spans="1:2" ht="12.75">
      <c r="A1969" s="10"/>
      <c r="B1969" s="10"/>
    </row>
    <row r="1970" spans="1:2" ht="12.75">
      <c r="A1970" s="10"/>
      <c r="B1970" s="10"/>
    </row>
    <row r="1971" spans="1:2" ht="12.75">
      <c r="A1971" s="10"/>
      <c r="B1971" s="10"/>
    </row>
    <row r="1972" spans="1:2" ht="12.75">
      <c r="A1972" s="10"/>
      <c r="B1972" s="10"/>
    </row>
    <row r="1973" spans="1:2" ht="12.75">
      <c r="A1973" s="10"/>
      <c r="B1973" s="10"/>
    </row>
    <row r="1974" spans="1:2" ht="12.75">
      <c r="A1974" s="10"/>
      <c r="B1974" s="10"/>
    </row>
    <row r="1975" spans="1:2" ht="12.75">
      <c r="A1975" s="10"/>
      <c r="B1975" s="10"/>
    </row>
    <row r="1976" spans="1:2" ht="12.75">
      <c r="A1976" s="10"/>
      <c r="B1976" s="10"/>
    </row>
    <row r="1977" spans="1:2" ht="12.75">
      <c r="A1977" s="10"/>
      <c r="B1977" s="10"/>
    </row>
    <row r="1978" spans="1:2" ht="12.75">
      <c r="A1978" s="10"/>
      <c r="B1978" s="10"/>
    </row>
    <row r="1979" spans="1:2" ht="12.75">
      <c r="A1979" s="10"/>
      <c r="B1979" s="10"/>
    </row>
    <row r="1980" spans="1:2" ht="12.75">
      <c r="A1980" s="10"/>
      <c r="B1980" s="10"/>
    </row>
    <row r="1981" spans="1:2" ht="12.75">
      <c r="A1981" s="10"/>
      <c r="B1981" s="10"/>
    </row>
    <row r="1982" spans="1:2" ht="12.75">
      <c r="A1982" s="10"/>
      <c r="B1982" s="10"/>
    </row>
    <row r="1983" spans="1:2" ht="12.75">
      <c r="A1983" s="10"/>
      <c r="B1983" s="10"/>
    </row>
    <row r="1984" spans="1:2" ht="12.75">
      <c r="A1984" s="10"/>
      <c r="B1984" s="10"/>
    </row>
    <row r="1985" spans="1:2" ht="12.75">
      <c r="A1985" s="10"/>
      <c r="B1985" s="10"/>
    </row>
    <row r="1986" spans="1:2" ht="12.75">
      <c r="A1986" s="10"/>
      <c r="B1986" s="10"/>
    </row>
    <row r="1987" spans="1:2" ht="12.75">
      <c r="A1987" s="10"/>
      <c r="B1987" s="10"/>
    </row>
    <row r="1988" spans="1:2" ht="12.75">
      <c r="A1988" s="10"/>
      <c r="B1988" s="10"/>
    </row>
    <row r="1989" spans="1:2" ht="12.75">
      <c r="A1989" s="10"/>
      <c r="B1989" s="10"/>
    </row>
    <row r="1990" spans="1:2" ht="12.75">
      <c r="A1990" s="10"/>
      <c r="B1990" s="10"/>
    </row>
    <row r="1991" spans="1:2" ht="12.75">
      <c r="A1991" s="10"/>
      <c r="B1991" s="10"/>
    </row>
    <row r="1992" spans="1:2" ht="12.75">
      <c r="A1992" s="10"/>
      <c r="B1992" s="10"/>
    </row>
    <row r="1993" spans="1:2" ht="12.75">
      <c r="A1993" s="10"/>
      <c r="B1993" s="10"/>
    </row>
    <row r="1994" spans="1:2" ht="12.75">
      <c r="A1994" s="10"/>
      <c r="B1994" s="10"/>
    </row>
    <row r="1995" spans="1:2" ht="12.75">
      <c r="A1995" s="10"/>
      <c r="B1995" s="10"/>
    </row>
    <row r="1996" spans="1:2" ht="12.75">
      <c r="A1996" s="10"/>
      <c r="B1996" s="10"/>
    </row>
    <row r="1997" spans="1:2" ht="12.75">
      <c r="A1997" s="10"/>
      <c r="B1997" s="10"/>
    </row>
    <row r="1998" spans="1:2" ht="12.75">
      <c r="A1998" s="10"/>
      <c r="B1998" s="10"/>
    </row>
    <row r="1999" spans="1:2" ht="12.75">
      <c r="A1999" s="10"/>
      <c r="B1999" s="10"/>
    </row>
    <row r="2000" spans="1:2" ht="12.75">
      <c r="A2000" s="10"/>
      <c r="B2000" s="10"/>
    </row>
    <row r="2001" spans="1:2" ht="12.75">
      <c r="A2001" s="10"/>
      <c r="B2001" s="10"/>
    </row>
    <row r="2002" spans="1:2" ht="12.75">
      <c r="A2002" s="10"/>
      <c r="B2002" s="10"/>
    </row>
    <row r="2003" spans="1:2" ht="12.75">
      <c r="A2003" s="10"/>
      <c r="B2003" s="10"/>
    </row>
    <row r="2004" spans="1:2" ht="12.75">
      <c r="A2004" s="10"/>
      <c r="B2004" s="10"/>
    </row>
    <row r="2005" spans="1:2" ht="12.75">
      <c r="A2005" s="10"/>
      <c r="B2005" s="10"/>
    </row>
    <row r="2006" spans="1:2" ht="12.75">
      <c r="A2006" s="10"/>
      <c r="B2006" s="10"/>
    </row>
    <row r="2007" spans="1:2" ht="12.75">
      <c r="A2007" s="10"/>
      <c r="B2007" s="10"/>
    </row>
    <row r="2008" spans="1:2" ht="12.75">
      <c r="A2008" s="10"/>
      <c r="B2008" s="10"/>
    </row>
    <row r="2009" spans="1:2" ht="12.75">
      <c r="A2009" s="10"/>
      <c r="B2009" s="10"/>
    </row>
    <row r="2010" spans="1:2" ht="12.75">
      <c r="A2010" s="10"/>
      <c r="B2010" s="10"/>
    </row>
    <row r="2011" spans="1:2" ht="12.75">
      <c r="A2011" s="10"/>
      <c r="B2011" s="10"/>
    </row>
    <row r="2012" spans="1:2" ht="12.75">
      <c r="A2012" s="10"/>
      <c r="B2012" s="10"/>
    </row>
    <row r="2013" spans="1:2" ht="12.75">
      <c r="A2013" s="10"/>
      <c r="B2013" s="10"/>
    </row>
    <row r="2014" spans="1:2" ht="12.75">
      <c r="A2014" s="10"/>
      <c r="B2014" s="10"/>
    </row>
    <row r="2015" spans="1:2" ht="12.75">
      <c r="A2015" s="10"/>
      <c r="B2015" s="10"/>
    </row>
    <row r="2016" spans="1:2" ht="12.75">
      <c r="A2016" s="10"/>
      <c r="B2016" s="10"/>
    </row>
    <row r="2017" spans="1:2" ht="12.75">
      <c r="A2017" s="10"/>
      <c r="B2017" s="10"/>
    </row>
    <row r="2018" spans="1:2" ht="12.75">
      <c r="A2018" s="10"/>
      <c r="B2018" s="10"/>
    </row>
    <row r="2019" spans="1:2" ht="12.75">
      <c r="A2019" s="10"/>
      <c r="B2019" s="10"/>
    </row>
    <row r="2020" spans="1:2" ht="12.75">
      <c r="A2020" s="10"/>
      <c r="B2020" s="10"/>
    </row>
    <row r="2021" spans="1:2" ht="12.75">
      <c r="A2021" s="10"/>
      <c r="B2021" s="10"/>
    </row>
    <row r="2022" spans="1:2" ht="12.75">
      <c r="A2022" s="10"/>
      <c r="B2022" s="10"/>
    </row>
    <row r="2023" spans="1:2" ht="12.75">
      <c r="A2023" s="10"/>
      <c r="B2023" s="10"/>
    </row>
    <row r="2024" spans="1:2" ht="12.75">
      <c r="A2024" s="10"/>
      <c r="B2024" s="10"/>
    </row>
    <row r="2025" spans="1:2" ht="12.75">
      <c r="A2025" s="10"/>
      <c r="B2025" s="10"/>
    </row>
    <row r="2026" spans="1:2" ht="12.75">
      <c r="A2026" s="10"/>
      <c r="B2026" s="10"/>
    </row>
    <row r="2027" spans="1:2" ht="12.75">
      <c r="A2027" s="10"/>
      <c r="B2027" s="10"/>
    </row>
    <row r="2028" spans="1:2" ht="12.75">
      <c r="A2028" s="10"/>
      <c r="B2028" s="10"/>
    </row>
    <row r="2029" spans="1:2" ht="12.75">
      <c r="A2029" s="10"/>
      <c r="B2029" s="10"/>
    </row>
    <row r="2030" spans="1:2" ht="12.75">
      <c r="A2030" s="10"/>
      <c r="B2030" s="10"/>
    </row>
    <row r="2031" spans="1:2" ht="12.75">
      <c r="A2031" s="10"/>
      <c r="B2031" s="10"/>
    </row>
    <row r="2032" spans="1:2" ht="12.75">
      <c r="A2032" s="10"/>
      <c r="B2032" s="10"/>
    </row>
    <row r="2033" spans="1:2" ht="12.75">
      <c r="A2033" s="10"/>
      <c r="B2033" s="10"/>
    </row>
    <row r="2034" spans="1:2" ht="12.75">
      <c r="A2034" s="10"/>
      <c r="B2034" s="10"/>
    </row>
    <row r="2035" spans="1:2" ht="12.75">
      <c r="A2035" s="10"/>
      <c r="B2035" s="10"/>
    </row>
    <row r="2036" spans="1:2" ht="12.75">
      <c r="A2036" s="10"/>
      <c r="B2036" s="10"/>
    </row>
    <row r="2037" spans="1:2" ht="12.75">
      <c r="A2037" s="10"/>
      <c r="B2037" s="10"/>
    </row>
    <row r="2038" spans="1:2" ht="12.75">
      <c r="A2038" s="10"/>
      <c r="B2038" s="10"/>
    </row>
    <row r="2039" spans="1:2" ht="12.75">
      <c r="A2039" s="10"/>
      <c r="B2039" s="10"/>
    </row>
    <row r="2040" spans="1:2" ht="12.75">
      <c r="A2040" s="10"/>
      <c r="B2040" s="10"/>
    </row>
    <row r="2041" spans="1:2" ht="12.75">
      <c r="A2041" s="10"/>
      <c r="B2041" s="10"/>
    </row>
    <row r="2042" spans="1:2" ht="12.75">
      <c r="A2042" s="10"/>
      <c r="B2042" s="10"/>
    </row>
    <row r="2043" spans="1:2" ht="12.75">
      <c r="A2043" s="10"/>
      <c r="B2043" s="10"/>
    </row>
    <row r="2044" spans="1:2" ht="12.75">
      <c r="A2044" s="10"/>
      <c r="B2044" s="10"/>
    </row>
    <row r="2045" spans="1:2" ht="12.75">
      <c r="A2045" s="10"/>
      <c r="B2045" s="10"/>
    </row>
    <row r="2046" spans="1:2" ht="12.75">
      <c r="A2046" s="10"/>
      <c r="B2046" s="10"/>
    </row>
    <row r="2047" spans="1:2" ht="12.75">
      <c r="A2047" s="10"/>
      <c r="B2047" s="10"/>
    </row>
    <row r="2048" spans="1:2" ht="12.75">
      <c r="A2048" s="10"/>
      <c r="B2048" s="10"/>
    </row>
    <row r="2049" spans="1:2" ht="12.75">
      <c r="A2049" s="10"/>
      <c r="B2049" s="10"/>
    </row>
    <row r="2050" spans="1:2" ht="12.75">
      <c r="A2050" s="10"/>
      <c r="B2050" s="10"/>
    </row>
    <row r="2051" spans="1:2" ht="12.75">
      <c r="A2051" s="10"/>
      <c r="B2051" s="10"/>
    </row>
    <row r="2052" spans="1:2" ht="12.75">
      <c r="A2052" s="10"/>
      <c r="B2052" s="10"/>
    </row>
    <row r="2053" spans="1:2" ht="12.75">
      <c r="A2053" s="10"/>
      <c r="B2053" s="10"/>
    </row>
    <row r="2054" spans="1:2" ht="12.75">
      <c r="A2054" s="10"/>
      <c r="B2054" s="10"/>
    </row>
    <row r="2055" spans="1:2" ht="12.75">
      <c r="A2055" s="10"/>
      <c r="B2055" s="10"/>
    </row>
    <row r="2056" spans="1:2" ht="12.75">
      <c r="A2056" s="10"/>
      <c r="B2056" s="10"/>
    </row>
    <row r="2057" spans="1:2" ht="12.75">
      <c r="A2057" s="10"/>
      <c r="B2057" s="10"/>
    </row>
    <row r="2058" spans="1:2" ht="12.75">
      <c r="A2058" s="10"/>
      <c r="B2058" s="10"/>
    </row>
    <row r="2059" spans="1:2" ht="12.75">
      <c r="A2059" s="10"/>
      <c r="B2059" s="10"/>
    </row>
    <row r="2060" spans="1:2" ht="12.75">
      <c r="A2060" s="10"/>
      <c r="B2060" s="10"/>
    </row>
    <row r="2061" spans="1:2" ht="12.75">
      <c r="A2061" s="10"/>
      <c r="B2061" s="10"/>
    </row>
    <row r="2062" spans="1:2" ht="12.75">
      <c r="A2062" s="10"/>
      <c r="B2062" s="10"/>
    </row>
    <row r="2063" spans="1:2" ht="12.75">
      <c r="A2063" s="10"/>
      <c r="B2063" s="10"/>
    </row>
    <row r="2064" spans="1:2" ht="12.75">
      <c r="A2064" s="10"/>
      <c r="B2064" s="10"/>
    </row>
    <row r="2065" spans="1:2" ht="12.75">
      <c r="A2065" s="10"/>
      <c r="B2065" s="10"/>
    </row>
    <row r="2066" spans="1:2" ht="12.75">
      <c r="A2066" s="10"/>
      <c r="B2066" s="10"/>
    </row>
    <row r="2067" spans="1:2" ht="12.75">
      <c r="A2067" s="10"/>
      <c r="B2067" s="10"/>
    </row>
    <row r="2068" spans="1:2" ht="12.75">
      <c r="A2068" s="10"/>
      <c r="B2068" s="10"/>
    </row>
    <row r="2069" spans="1:2" ht="12.75">
      <c r="A2069" s="10"/>
      <c r="B2069" s="10"/>
    </row>
    <row r="2070" spans="1:2" ht="12.75">
      <c r="A2070" s="10"/>
      <c r="B2070" s="10"/>
    </row>
    <row r="2071" spans="1:2" ht="12.75">
      <c r="A2071" s="10"/>
      <c r="B2071" s="10"/>
    </row>
    <row r="2072" spans="1:2" ht="12.75">
      <c r="A2072" s="10"/>
      <c r="B2072" s="10"/>
    </row>
    <row r="2073" spans="1:2" ht="12.75">
      <c r="A2073" s="10"/>
      <c r="B2073" s="10"/>
    </row>
    <row r="2074" spans="1:2" ht="12.75">
      <c r="A2074" s="10"/>
      <c r="B2074" s="10"/>
    </row>
    <row r="2075" spans="1:2" ht="12.75">
      <c r="A2075" s="10"/>
      <c r="B2075" s="10"/>
    </row>
    <row r="2076" spans="1:2" ht="12.75">
      <c r="A2076" s="10"/>
      <c r="B2076" s="10"/>
    </row>
    <row r="2077" spans="1:2" ht="12.75">
      <c r="A2077" s="10"/>
      <c r="B2077" s="10"/>
    </row>
    <row r="2078" spans="1:2" ht="12.75">
      <c r="A2078" s="10"/>
      <c r="B2078" s="10"/>
    </row>
    <row r="2079" spans="1:2" ht="12.75">
      <c r="A2079" s="10"/>
      <c r="B2079" s="10"/>
    </row>
    <row r="2080" spans="1:2" ht="12.75">
      <c r="A2080" s="10"/>
      <c r="B2080" s="10"/>
    </row>
    <row r="2081" spans="1:2" ht="12.75">
      <c r="A2081" s="10"/>
      <c r="B2081" s="10"/>
    </row>
    <row r="2082" spans="1:2" ht="12.75">
      <c r="A2082" s="10"/>
      <c r="B2082" s="10"/>
    </row>
    <row r="2083" spans="1:2" ht="12.75">
      <c r="A2083" s="10"/>
      <c r="B2083" s="10"/>
    </row>
    <row r="2084" spans="1:2" ht="12.75">
      <c r="A2084" s="10"/>
      <c r="B2084" s="10"/>
    </row>
    <row r="2085" spans="1:2" ht="12.75">
      <c r="A2085" s="10"/>
      <c r="B2085" s="10"/>
    </row>
    <row r="2086" spans="1:2" ht="12.75">
      <c r="A2086" s="10"/>
      <c r="B2086" s="10"/>
    </row>
    <row r="2087" spans="1:2" ht="12.75">
      <c r="A2087" s="10"/>
      <c r="B2087" s="10"/>
    </row>
    <row r="2088" spans="1:2" ht="12.75">
      <c r="A2088" s="10"/>
      <c r="B2088" s="10"/>
    </row>
    <row r="2089" spans="1:2" ht="12.75">
      <c r="A2089" s="10"/>
      <c r="B2089" s="10"/>
    </row>
    <row r="2090" spans="1:2" ht="12.75">
      <c r="A2090" s="10"/>
      <c r="B2090" s="10"/>
    </row>
    <row r="2091" spans="1:2" ht="12.75">
      <c r="A2091" s="10"/>
      <c r="B2091" s="10"/>
    </row>
    <row r="2092" spans="1:2" ht="12.75">
      <c r="A2092" s="10"/>
      <c r="B2092" s="10"/>
    </row>
    <row r="2093" spans="1:2" ht="12.75">
      <c r="A2093" s="10"/>
      <c r="B2093" s="10"/>
    </row>
    <row r="2094" spans="1:2" ht="12.75">
      <c r="A2094" s="10"/>
      <c r="B2094" s="10"/>
    </row>
    <row r="2095" spans="1:2" ht="12.75">
      <c r="A2095" s="10"/>
      <c r="B2095" s="10"/>
    </row>
    <row r="2096" spans="1:2" ht="12.75">
      <c r="A2096" s="10"/>
      <c r="B2096" s="10"/>
    </row>
    <row r="2097" spans="1:2" ht="12.75">
      <c r="A2097" s="10"/>
      <c r="B2097" s="10"/>
    </row>
    <row r="2098" spans="1:2" ht="12.75">
      <c r="A2098" s="10"/>
      <c r="B2098" s="10"/>
    </row>
    <row r="2099" spans="1:2" ht="12.75">
      <c r="A2099" s="10"/>
      <c r="B2099" s="10"/>
    </row>
    <row r="2100" spans="1:2" ht="12.75">
      <c r="A2100" s="10"/>
      <c r="B2100" s="10"/>
    </row>
    <row r="2101" spans="1:2" ht="12.75">
      <c r="A2101" s="10"/>
      <c r="B2101" s="10"/>
    </row>
    <row r="2102" spans="1:2" ht="12.75">
      <c r="A2102" s="10"/>
      <c r="B2102" s="10"/>
    </row>
    <row r="2103" spans="1:2" ht="12.75">
      <c r="A2103" s="10"/>
      <c r="B2103" s="10"/>
    </row>
    <row r="2104" spans="1:2" ht="12.75">
      <c r="A2104" s="10"/>
      <c r="B2104" s="10"/>
    </row>
    <row r="2105" spans="1:2" ht="12.75">
      <c r="A2105" s="10"/>
      <c r="B2105" s="10"/>
    </row>
    <row r="2106" spans="1:2" ht="12.75">
      <c r="A2106" s="10"/>
      <c r="B2106" s="10"/>
    </row>
    <row r="2107" spans="1:2" ht="12.75">
      <c r="A2107" s="10"/>
      <c r="B2107" s="10"/>
    </row>
    <row r="2108" spans="1:2" ht="12.75">
      <c r="A2108" s="10"/>
      <c r="B2108" s="10"/>
    </row>
    <row r="2109" spans="1:2" ht="12.75">
      <c r="A2109" s="10"/>
      <c r="B2109" s="10"/>
    </row>
    <row r="2110" spans="1:2" ht="12.75">
      <c r="A2110" s="10"/>
      <c r="B2110" s="10"/>
    </row>
    <row r="2111" spans="1:2" ht="12.75">
      <c r="A2111" s="10"/>
      <c r="B2111" s="10"/>
    </row>
    <row r="2112" spans="1:2" ht="12.75">
      <c r="A2112" s="10"/>
      <c r="B2112" s="10"/>
    </row>
    <row r="2113" spans="1:2" ht="12.75">
      <c r="A2113" s="10"/>
      <c r="B2113" s="10"/>
    </row>
    <row r="2114" spans="1:2" ht="12.75">
      <c r="A2114" s="10"/>
      <c r="B2114" s="10"/>
    </row>
    <row r="2115" spans="1:2" ht="12.75">
      <c r="A2115" s="10"/>
      <c r="B2115" s="10"/>
    </row>
    <row r="2116" spans="1:2" ht="12.75">
      <c r="A2116" s="10"/>
      <c r="B2116" s="10"/>
    </row>
    <row r="2117" spans="1:2" ht="12.75">
      <c r="A2117" s="10"/>
      <c r="B2117" s="10"/>
    </row>
    <row r="2118" spans="1:2" ht="12.75">
      <c r="A2118" s="10"/>
      <c r="B2118" s="10"/>
    </row>
    <row r="2119" spans="1:2" ht="12.75">
      <c r="A2119" s="10"/>
      <c r="B2119" s="10"/>
    </row>
    <row r="2120" spans="1:2" ht="12.75">
      <c r="A2120" s="10"/>
      <c r="B2120" s="10"/>
    </row>
    <row r="2121" spans="1:2" ht="12.75">
      <c r="A2121" s="10"/>
      <c r="B2121" s="10"/>
    </row>
    <row r="2122" spans="1:2" ht="12.75">
      <c r="A2122" s="10"/>
      <c r="B2122" s="10"/>
    </row>
    <row r="2123" spans="1:2" ht="12.75">
      <c r="A2123" s="10"/>
      <c r="B2123" s="10"/>
    </row>
    <row r="2124" spans="1:2" ht="12.75">
      <c r="A2124" s="10"/>
      <c r="B2124" s="10"/>
    </row>
    <row r="2125" spans="1:2" ht="12.75">
      <c r="A2125" s="10"/>
      <c r="B2125" s="10"/>
    </row>
    <row r="2126" spans="1:2" ht="12.75">
      <c r="A2126" s="10"/>
      <c r="B2126" s="10"/>
    </row>
    <row r="2127" spans="1:2" ht="12.75">
      <c r="A2127" s="10"/>
      <c r="B2127" s="10"/>
    </row>
    <row r="2128" spans="1:2" ht="12.75">
      <c r="A2128" s="10"/>
      <c r="B2128" s="10"/>
    </row>
    <row r="2129" spans="1:2" ht="12.75">
      <c r="A2129" s="10"/>
      <c r="B2129" s="10"/>
    </row>
    <row r="2130" spans="1:2" ht="12.75">
      <c r="A2130" s="10"/>
      <c r="B2130" s="10"/>
    </row>
    <row r="2131" spans="1:2" ht="12.75">
      <c r="A2131" s="10"/>
      <c r="B2131" s="10"/>
    </row>
    <row r="2132" spans="1:2" ht="12.75">
      <c r="A2132" s="10"/>
      <c r="B2132" s="10"/>
    </row>
    <row r="2133" spans="1:2" ht="12.75">
      <c r="A2133" s="10"/>
      <c r="B2133" s="10"/>
    </row>
    <row r="2134" spans="1:2" ht="12.75">
      <c r="A2134" s="10"/>
      <c r="B2134" s="10"/>
    </row>
    <row r="2135" spans="1:2" ht="12.75">
      <c r="A2135" s="10"/>
      <c r="B2135" s="10"/>
    </row>
    <row r="2136" spans="1:2" ht="12.75">
      <c r="A2136" s="10"/>
      <c r="B2136" s="10"/>
    </row>
    <row r="2137" spans="1:2" ht="12.75">
      <c r="A2137" s="10"/>
      <c r="B2137" s="10"/>
    </row>
    <row r="2138" spans="1:2" ht="12.75">
      <c r="A2138" s="10"/>
      <c r="B2138" s="10"/>
    </row>
    <row r="2139" spans="1:2" ht="12.75">
      <c r="A2139" s="10"/>
      <c r="B2139" s="10"/>
    </row>
    <row r="2140" spans="1:2" ht="12.75">
      <c r="A2140" s="10"/>
      <c r="B2140" s="10"/>
    </row>
    <row r="2141" spans="1:2" ht="12.75">
      <c r="A2141" s="10"/>
      <c r="B2141" s="10"/>
    </row>
    <row r="2142" spans="1:2" ht="12.75">
      <c r="A2142" s="10"/>
      <c r="B2142" s="10"/>
    </row>
    <row r="2143" spans="1:2" ht="12.75">
      <c r="A2143" s="10"/>
      <c r="B2143" s="10"/>
    </row>
    <row r="2144" spans="1:2" ht="12.75">
      <c r="A2144" s="10"/>
      <c r="B2144" s="10"/>
    </row>
    <row r="2145" spans="1:2" ht="12.75">
      <c r="A2145" s="10"/>
      <c r="B2145" s="10"/>
    </row>
    <row r="2146" spans="1:2" ht="12.75">
      <c r="A2146" s="10"/>
      <c r="B2146" s="10"/>
    </row>
    <row r="2147" spans="1:2" ht="12.75">
      <c r="A2147" s="10"/>
      <c r="B2147" s="10"/>
    </row>
    <row r="2148" spans="1:2" ht="12.75">
      <c r="A2148" s="10"/>
      <c r="B2148" s="10"/>
    </row>
    <row r="2149" spans="1:2" ht="12.75">
      <c r="A2149" s="10"/>
      <c r="B2149" s="10"/>
    </row>
    <row r="2150" spans="1:2" ht="12.75">
      <c r="A2150" s="10"/>
      <c r="B2150" s="10"/>
    </row>
    <row r="2151" spans="1:2" ht="12.75">
      <c r="A2151" s="10"/>
      <c r="B2151" s="10"/>
    </row>
    <row r="2152" spans="1:2" ht="12.75">
      <c r="A2152" s="10"/>
      <c r="B2152" s="10"/>
    </row>
    <row r="2153" spans="1:2" ht="12.75">
      <c r="A2153" s="10"/>
      <c r="B2153" s="10"/>
    </row>
    <row r="2154" spans="1:2" ht="12.75">
      <c r="A2154" s="10"/>
      <c r="B2154" s="10"/>
    </row>
    <row r="2155" spans="1:2" ht="12.75">
      <c r="A2155" s="10"/>
      <c r="B2155" s="10"/>
    </row>
    <row r="2156" spans="1:2" ht="12.75">
      <c r="A2156" s="10"/>
      <c r="B2156" s="10"/>
    </row>
    <row r="2157" spans="1:2" ht="12.75">
      <c r="A2157" s="10"/>
      <c r="B2157" s="10"/>
    </row>
    <row r="2158" spans="1:2" ht="12.75">
      <c r="A2158" s="10"/>
      <c r="B2158" s="10"/>
    </row>
    <row r="2159" spans="1:2" ht="12.75">
      <c r="A2159" s="10"/>
      <c r="B2159" s="10"/>
    </row>
    <row r="2160" spans="1:2" ht="12.75">
      <c r="A2160" s="10"/>
      <c r="B2160" s="10"/>
    </row>
    <row r="2161" spans="1:2" ht="12.75">
      <c r="A2161" s="10"/>
      <c r="B2161" s="10"/>
    </row>
    <row r="2162" spans="1:2" ht="12.75">
      <c r="A2162" s="10"/>
      <c r="B2162" s="10"/>
    </row>
    <row r="2163" spans="1:2" ht="12.75">
      <c r="A2163" s="10"/>
      <c r="B2163" s="10"/>
    </row>
    <row r="2164" spans="1:2" ht="12.75">
      <c r="A2164" s="10"/>
      <c r="B2164" s="10"/>
    </row>
    <row r="2165" spans="1:2" ht="12.75">
      <c r="A2165" s="10"/>
      <c r="B2165" s="10"/>
    </row>
    <row r="2166" spans="1:2" ht="12.75">
      <c r="A2166" s="10"/>
      <c r="B2166" s="10"/>
    </row>
    <row r="2167" spans="1:2" ht="12.75">
      <c r="A2167" s="10"/>
      <c r="B2167" s="10"/>
    </row>
    <row r="2168" spans="1:2" ht="12.75">
      <c r="A2168" s="10"/>
      <c r="B2168" s="10"/>
    </row>
    <row r="2169" spans="1:2" ht="12.75">
      <c r="A2169" s="10"/>
      <c r="B2169" s="10"/>
    </row>
    <row r="2170" spans="1:2" ht="12.75">
      <c r="A2170" s="10"/>
      <c r="B2170" s="10"/>
    </row>
    <row r="2171" spans="1:2" ht="12.75">
      <c r="A2171" s="10"/>
      <c r="B2171" s="10"/>
    </row>
    <row r="2172" spans="1:2" ht="12.75">
      <c r="A2172" s="10"/>
      <c r="B2172" s="10"/>
    </row>
    <row r="2173" spans="1:2" ht="12.75">
      <c r="A2173" s="10"/>
      <c r="B2173" s="10"/>
    </row>
    <row r="2174" spans="1:2" ht="12.75">
      <c r="A2174" s="10"/>
      <c r="B2174" s="10"/>
    </row>
    <row r="2175" spans="1:2" ht="12.75">
      <c r="A2175" s="10"/>
      <c r="B2175" s="10"/>
    </row>
    <row r="2176" spans="1:2" ht="12.75">
      <c r="A2176" s="10"/>
      <c r="B2176" s="10"/>
    </row>
    <row r="2177" spans="1:2" ht="12.75">
      <c r="A2177" s="10"/>
      <c r="B2177" s="10"/>
    </row>
    <row r="2178" spans="1:2" ht="12.75">
      <c r="A2178" s="10"/>
      <c r="B2178" s="10"/>
    </row>
    <row r="2179" spans="1:2" ht="12.75">
      <c r="A2179" s="10"/>
      <c r="B2179" s="10"/>
    </row>
    <row r="2180" spans="1:2" ht="12.75">
      <c r="A2180" s="10"/>
      <c r="B2180" s="10"/>
    </row>
    <row r="2181" spans="1:2" ht="12.75">
      <c r="A2181" s="10"/>
      <c r="B2181" s="10"/>
    </row>
    <row r="2182" spans="1:2" ht="12.75">
      <c r="A2182" s="10"/>
      <c r="B2182" s="10"/>
    </row>
    <row r="2183" spans="1:2" ht="12.75">
      <c r="A2183" s="10"/>
      <c r="B2183" s="10"/>
    </row>
    <row r="2184" spans="1:2" ht="12.75">
      <c r="A2184" s="10"/>
      <c r="B2184" s="10"/>
    </row>
    <row r="2185" spans="1:2" ht="12.75">
      <c r="A2185" s="10"/>
      <c r="B2185" s="10"/>
    </row>
    <row r="2186" spans="1:2" ht="12.75">
      <c r="A2186" s="10"/>
      <c r="B2186" s="10"/>
    </row>
    <row r="2187" spans="1:2" ht="12.75">
      <c r="A2187" s="10"/>
      <c r="B2187" s="10"/>
    </row>
    <row r="2188" spans="1:2" ht="12.75">
      <c r="A2188" s="10"/>
      <c r="B2188" s="10"/>
    </row>
    <row r="2189" spans="1:2" ht="12.75">
      <c r="A2189" s="10"/>
      <c r="B2189" s="10"/>
    </row>
    <row r="2190" spans="1:2" ht="12.75">
      <c r="A2190" s="10"/>
      <c r="B2190" s="10"/>
    </row>
    <row r="2191" spans="1:2" ht="12.75">
      <c r="A2191" s="10"/>
      <c r="B2191" s="10"/>
    </row>
    <row r="2192" spans="1:2" ht="12.75">
      <c r="A2192" s="10"/>
      <c r="B2192" s="10"/>
    </row>
    <row r="2193" spans="1:2" ht="12.75">
      <c r="A2193" s="10"/>
      <c r="B2193" s="10"/>
    </row>
    <row r="2194" spans="1:2" ht="12.75">
      <c r="A2194" s="10"/>
      <c r="B2194" s="10"/>
    </row>
    <row r="2195" spans="1:2" ht="12.75">
      <c r="A2195" s="10"/>
      <c r="B2195" s="10"/>
    </row>
    <row r="2196" spans="1:2" ht="12.75">
      <c r="A2196" s="10"/>
      <c r="B2196" s="10"/>
    </row>
    <row r="2197" spans="1:2" ht="12.75">
      <c r="A2197" s="10"/>
      <c r="B2197" s="10"/>
    </row>
    <row r="2198" spans="1:2" ht="12.75">
      <c r="A2198" s="10"/>
      <c r="B2198" s="10"/>
    </row>
    <row r="2199" spans="1:2" ht="12.75">
      <c r="A2199" s="10"/>
      <c r="B2199" s="10"/>
    </row>
    <row r="2200" spans="1:2" ht="12.75">
      <c r="A2200" s="10"/>
      <c r="B2200" s="10"/>
    </row>
    <row r="2201" spans="1:2" ht="12.75">
      <c r="A2201" s="10"/>
      <c r="B2201" s="10"/>
    </row>
    <row r="2202" spans="1:2" ht="12.75">
      <c r="A2202" s="10"/>
      <c r="B2202" s="10"/>
    </row>
    <row r="2203" spans="1:2" ht="12.75">
      <c r="A2203" s="10"/>
      <c r="B2203" s="10"/>
    </row>
    <row r="2204" spans="1:2" ht="12.75">
      <c r="A2204" s="10"/>
      <c r="B2204" s="10"/>
    </row>
    <row r="2205" spans="1:2" ht="12.75">
      <c r="A2205" s="10"/>
      <c r="B2205" s="10"/>
    </row>
    <row r="2206" spans="1:2" ht="12.75">
      <c r="A2206" s="10"/>
      <c r="B2206" s="10"/>
    </row>
    <row r="2207" spans="1:2" ht="12.75">
      <c r="A2207" s="10"/>
      <c r="B2207" s="10"/>
    </row>
    <row r="2208" spans="1:2" ht="12.75">
      <c r="A2208" s="10"/>
      <c r="B2208" s="10"/>
    </row>
    <row r="2209" spans="1:2" ht="12.75">
      <c r="A2209" s="10"/>
      <c r="B2209" s="10"/>
    </row>
    <row r="2210" spans="1:2" ht="12.75">
      <c r="A2210" s="10"/>
      <c r="B2210" s="10"/>
    </row>
    <row r="2211" spans="1:2" ht="12.75">
      <c r="A2211" s="10"/>
      <c r="B2211" s="10"/>
    </row>
    <row r="2212" spans="1:2" ht="12.75">
      <c r="A2212" s="10"/>
      <c r="B2212" s="10"/>
    </row>
    <row r="2213" spans="1:2" ht="12.75">
      <c r="A2213" s="10"/>
      <c r="B2213" s="10"/>
    </row>
    <row r="2214" spans="1:2" ht="12.75">
      <c r="A2214" s="10"/>
      <c r="B2214" s="10"/>
    </row>
    <row r="2215" spans="1:2" ht="12.75">
      <c r="A2215" s="10"/>
      <c r="B2215" s="10"/>
    </row>
    <row r="2216" spans="1:2" ht="12.75">
      <c r="A2216" s="10"/>
      <c r="B2216" s="10"/>
    </row>
    <row r="2217" spans="1:2" ht="12.75">
      <c r="A2217" s="10"/>
      <c r="B2217" s="10"/>
    </row>
    <row r="2218" spans="1:2" ht="12.75">
      <c r="A2218" s="10"/>
      <c r="B2218" s="10"/>
    </row>
    <row r="2219" spans="1:2" ht="12.75">
      <c r="A2219" s="10"/>
      <c r="B2219" s="10"/>
    </row>
    <row r="2220" spans="1:2" ht="12.75">
      <c r="A2220" s="10"/>
      <c r="B2220" s="10"/>
    </row>
    <row r="2221" spans="1:2" ht="12.75">
      <c r="A2221" s="10"/>
      <c r="B2221" s="10"/>
    </row>
    <row r="2222" spans="1:2" ht="12.75">
      <c r="A2222" s="10"/>
      <c r="B2222" s="10"/>
    </row>
    <row r="2223" spans="1:2" ht="12.75">
      <c r="A2223" s="10"/>
      <c r="B2223" s="10"/>
    </row>
    <row r="2224" spans="1:2" ht="12.75">
      <c r="A2224" s="10"/>
      <c r="B2224" s="10"/>
    </row>
    <row r="2225" spans="1:2" ht="12.75">
      <c r="A2225" s="10"/>
      <c r="B2225" s="10"/>
    </row>
    <row r="2226" spans="1:2" ht="12.75">
      <c r="A2226" s="10"/>
      <c r="B2226" s="10"/>
    </row>
    <row r="2227" spans="1:2" ht="12.75">
      <c r="A2227" s="10"/>
      <c r="B2227" s="10"/>
    </row>
    <row r="2228" spans="1:2" ht="12.75">
      <c r="A2228" s="10"/>
      <c r="B2228" s="10"/>
    </row>
    <row r="2229" spans="1:2" ht="12.75">
      <c r="A2229" s="10"/>
      <c r="B2229" s="10"/>
    </row>
    <row r="2230" spans="1:2" ht="12.75">
      <c r="A2230" s="10"/>
      <c r="B2230" s="10"/>
    </row>
    <row r="2231" spans="1:2" ht="12.75">
      <c r="A2231" s="10"/>
      <c r="B2231" s="10"/>
    </row>
    <row r="2232" spans="1:2" ht="12.75">
      <c r="A2232" s="10"/>
      <c r="B2232" s="10"/>
    </row>
    <row r="2233" spans="1:2" ht="12.75">
      <c r="A2233" s="10"/>
      <c r="B2233" s="10"/>
    </row>
    <row r="2234" spans="1:2" ht="12.75">
      <c r="A2234" s="10"/>
      <c r="B2234" s="10"/>
    </row>
    <row r="2235" spans="1:2" ht="12.75">
      <c r="A2235" s="10"/>
      <c r="B2235" s="10"/>
    </row>
    <row r="2236" spans="1:2" ht="12.75">
      <c r="A2236" s="10"/>
      <c r="B2236" s="10"/>
    </row>
    <row r="2237" spans="1:2" ht="12.75">
      <c r="A2237" s="10"/>
      <c r="B2237" s="10"/>
    </row>
    <row r="2238" spans="1:2" ht="12.75">
      <c r="A2238" s="10"/>
      <c r="B2238" s="10"/>
    </row>
    <row r="2239" spans="1:2" ht="12.75">
      <c r="A2239" s="10"/>
      <c r="B2239" s="10"/>
    </row>
    <row r="2240" spans="1:2" ht="12.75">
      <c r="A2240" s="10"/>
      <c r="B2240" s="10"/>
    </row>
    <row r="2241" spans="1:2" ht="12.75">
      <c r="A2241" s="10"/>
      <c r="B2241" s="10"/>
    </row>
    <row r="2242" spans="1:2" ht="12.75">
      <c r="A2242" s="10"/>
      <c r="B2242" s="10"/>
    </row>
    <row r="2243" spans="1:2" ht="12.75">
      <c r="A2243" s="10"/>
      <c r="B2243" s="10"/>
    </row>
    <row r="2244" spans="1:2" ht="12.75">
      <c r="A2244" s="10"/>
      <c r="B2244" s="10"/>
    </row>
    <row r="2245" spans="1:2" ht="12.75">
      <c r="A2245" s="10"/>
      <c r="B2245" s="10"/>
    </row>
    <row r="2246" spans="1:2" ht="12.75">
      <c r="A2246" s="10"/>
      <c r="B2246" s="10"/>
    </row>
    <row r="2247" spans="1:2" ht="12.75">
      <c r="A2247" s="10"/>
      <c r="B2247" s="10"/>
    </row>
    <row r="2248" spans="1:2" ht="12.75">
      <c r="A2248" s="10"/>
      <c r="B2248" s="10"/>
    </row>
    <row r="2249" spans="1:2" ht="12.75">
      <c r="A2249" s="10"/>
      <c r="B2249" s="10"/>
    </row>
    <row r="2250" spans="1:2" ht="12.75">
      <c r="A2250" s="10"/>
      <c r="B2250" s="10"/>
    </row>
    <row r="2251" spans="1:2" ht="12.75">
      <c r="A2251" s="10"/>
      <c r="B2251" s="10"/>
    </row>
    <row r="2252" spans="1:2" ht="12.75">
      <c r="A2252" s="10"/>
      <c r="B2252" s="10"/>
    </row>
    <row r="2253" spans="1:2" ht="12.75">
      <c r="A2253" s="10"/>
      <c r="B2253" s="10"/>
    </row>
    <row r="2254" spans="1:2" ht="12.75">
      <c r="A2254" s="10"/>
      <c r="B2254" s="10"/>
    </row>
    <row r="2255" spans="1:2" ht="12.75">
      <c r="A2255" s="10"/>
      <c r="B2255" s="10"/>
    </row>
    <row r="2256" spans="1:2" ht="12.75">
      <c r="A2256" s="10"/>
      <c r="B2256" s="10"/>
    </row>
    <row r="2257" spans="1:2" ht="12.75">
      <c r="A2257" s="10"/>
      <c r="B2257" s="10"/>
    </row>
    <row r="2258" spans="1:2" ht="12.75">
      <c r="A2258" s="10"/>
      <c r="B2258" s="10"/>
    </row>
    <row r="2259" spans="1:2" ht="12.75">
      <c r="A2259" s="10"/>
      <c r="B2259" s="10"/>
    </row>
    <row r="2260" spans="1:2" ht="12.75">
      <c r="A2260" s="10"/>
      <c r="B2260" s="10"/>
    </row>
    <row r="2261" spans="1:2" ht="12.75">
      <c r="A2261" s="10"/>
      <c r="B2261" s="10"/>
    </row>
    <row r="2262" spans="1:2" ht="12.75">
      <c r="A2262" s="10"/>
      <c r="B2262" s="10"/>
    </row>
    <row r="2263" spans="1:2" ht="12.75">
      <c r="A2263" s="10"/>
      <c r="B2263" s="10"/>
    </row>
    <row r="2264" spans="1:2" ht="12.75">
      <c r="A2264" s="10"/>
      <c r="B2264" s="10"/>
    </row>
    <row r="2265" spans="1:2" ht="12.75">
      <c r="A2265" s="10"/>
      <c r="B2265" s="10"/>
    </row>
    <row r="2266" spans="1:2" ht="12.75">
      <c r="A2266" s="10"/>
      <c r="B2266" s="10"/>
    </row>
    <row r="2267" spans="1:2" ht="12.75">
      <c r="A2267" s="10"/>
      <c r="B2267" s="10"/>
    </row>
    <row r="2268" spans="1:2" ht="12.75">
      <c r="A2268" s="10"/>
      <c r="B2268" s="10"/>
    </row>
    <row r="2269" spans="1:2" ht="12.75">
      <c r="A2269" s="10"/>
      <c r="B2269" s="10"/>
    </row>
    <row r="2270" spans="1:2" ht="12.75">
      <c r="A2270" s="10"/>
      <c r="B2270" s="10"/>
    </row>
    <row r="2271" spans="1:2" ht="12.75">
      <c r="A2271" s="10"/>
      <c r="B2271" s="10"/>
    </row>
    <row r="2272" spans="1:2" ht="12.75">
      <c r="A2272" s="10"/>
      <c r="B2272" s="10"/>
    </row>
    <row r="2273" spans="1:2" ht="12.75">
      <c r="A2273" s="10"/>
      <c r="B2273" s="10"/>
    </row>
    <row r="2274" spans="1:2" ht="12.75">
      <c r="A2274" s="10"/>
      <c r="B2274" s="10"/>
    </row>
    <row r="2275" spans="1:2" ht="12.75">
      <c r="A2275" s="10"/>
      <c r="B2275" s="10"/>
    </row>
    <row r="2276" spans="1:2" ht="12.75">
      <c r="A2276" s="10"/>
      <c r="B2276" s="10"/>
    </row>
    <row r="2277" spans="1:2" ht="12.75">
      <c r="A2277" s="10"/>
      <c r="B2277" s="10"/>
    </row>
    <row r="2278" spans="1:2" ht="12.75">
      <c r="A2278" s="10"/>
      <c r="B2278" s="10"/>
    </row>
    <row r="2279" spans="1:2" ht="12.75">
      <c r="A2279" s="10"/>
      <c r="B2279" s="10"/>
    </row>
    <row r="2280" spans="1:2" ht="12.75">
      <c r="A2280" s="10"/>
      <c r="B2280" s="10"/>
    </row>
    <row r="2281" spans="1:2" ht="12.75">
      <c r="A2281" s="10"/>
      <c r="B2281" s="10"/>
    </row>
    <row r="2282" spans="1:2" ht="12.75">
      <c r="A2282" s="10"/>
      <c r="B2282" s="10"/>
    </row>
    <row r="2283" spans="1:2" ht="12.75">
      <c r="A2283" s="10"/>
      <c r="B2283" s="10"/>
    </row>
    <row r="2284" spans="1:2" ht="12.75">
      <c r="A2284" s="10"/>
      <c r="B2284" s="10"/>
    </row>
    <row r="2285" spans="1:2" ht="12.75">
      <c r="A2285" s="10"/>
      <c r="B2285" s="10"/>
    </row>
    <row r="2286" spans="1:2" ht="12.75">
      <c r="A2286" s="10"/>
      <c r="B2286" s="10"/>
    </row>
    <row r="2287" spans="1:2" ht="12.75">
      <c r="A2287" s="10"/>
      <c r="B2287" s="10"/>
    </row>
    <row r="2288" spans="1:2" ht="12.75">
      <c r="A2288" s="10"/>
      <c r="B2288" s="10"/>
    </row>
    <row r="2289" spans="1:2" ht="12.75">
      <c r="A2289" s="10"/>
      <c r="B2289" s="10"/>
    </row>
    <row r="2290" spans="1:2" ht="12.75">
      <c r="A2290" s="10"/>
      <c r="B2290" s="10"/>
    </row>
    <row r="2291" spans="1:2" ht="12.75">
      <c r="A2291" s="10"/>
      <c r="B2291" s="10"/>
    </row>
    <row r="2292" spans="1:2" ht="12.75">
      <c r="A2292" s="10"/>
      <c r="B2292" s="10"/>
    </row>
    <row r="2293" spans="1:2" ht="12.75">
      <c r="A2293" s="10"/>
      <c r="B2293" s="10"/>
    </row>
    <row r="2294" spans="1:2" ht="12.75">
      <c r="A2294" s="10"/>
      <c r="B2294" s="10"/>
    </row>
    <row r="2295" spans="1:2" ht="12.75">
      <c r="A2295" s="10"/>
      <c r="B2295" s="10"/>
    </row>
    <row r="2296" spans="1:2" ht="12.75">
      <c r="A2296" s="10"/>
      <c r="B2296" s="10"/>
    </row>
    <row r="2297" spans="1:2" ht="12.75">
      <c r="A2297" s="10"/>
      <c r="B2297" s="10"/>
    </row>
    <row r="2298" spans="1:2" ht="12.75">
      <c r="A2298" s="10"/>
      <c r="B2298" s="10"/>
    </row>
    <row r="2299" spans="1:2" ht="12.75">
      <c r="A2299" s="10"/>
      <c r="B2299" s="10"/>
    </row>
    <row r="2300" spans="1:2" ht="12.75">
      <c r="A2300" s="10"/>
      <c r="B2300" s="10"/>
    </row>
    <row r="2301" spans="1:2" ht="12.75">
      <c r="A2301" s="10"/>
      <c r="B2301" s="10"/>
    </row>
    <row r="2302" spans="1:2" ht="12.75">
      <c r="A2302" s="10"/>
      <c r="B2302" s="10"/>
    </row>
    <row r="2303" spans="1:2" ht="12.75">
      <c r="A2303" s="10"/>
      <c r="B2303" s="10"/>
    </row>
    <row r="2304" spans="1:2" ht="12.75">
      <c r="A2304" s="10"/>
      <c r="B2304" s="10"/>
    </row>
    <row r="2305" spans="1:2" ht="12.75">
      <c r="A2305" s="10"/>
      <c r="B2305" s="10"/>
    </row>
    <row r="2306" spans="1:2" ht="12.75">
      <c r="A2306" s="10"/>
      <c r="B2306" s="10"/>
    </row>
    <row r="2307" spans="1:2" ht="12.75">
      <c r="A2307" s="10"/>
      <c r="B2307" s="10"/>
    </row>
    <row r="2308" spans="1:2" ht="12.75">
      <c r="A2308" s="10"/>
      <c r="B2308" s="10"/>
    </row>
    <row r="2309" spans="1:2" ht="12.75">
      <c r="A2309" s="10"/>
      <c r="B2309" s="10"/>
    </row>
    <row r="2310" spans="1:2" ht="12.75">
      <c r="A2310" s="10"/>
      <c r="B2310" s="10"/>
    </row>
    <row r="2311" spans="1:2" ht="12.75">
      <c r="A2311" s="10"/>
      <c r="B2311" s="10"/>
    </row>
    <row r="2312" spans="1:2" ht="12.75">
      <c r="A2312" s="10"/>
      <c r="B2312" s="10"/>
    </row>
    <row r="2313" spans="1:2" ht="12.75">
      <c r="A2313" s="10"/>
      <c r="B2313" s="10"/>
    </row>
    <row r="2314" spans="1:2" ht="12.75">
      <c r="A2314" s="10"/>
      <c r="B2314" s="10"/>
    </row>
    <row r="2315" spans="1:2" ht="12.75">
      <c r="A2315" s="10"/>
      <c r="B2315" s="10"/>
    </row>
    <row r="2316" spans="1:2" ht="12.75">
      <c r="A2316" s="10"/>
      <c r="B2316" s="10"/>
    </row>
    <row r="2317" spans="1:2" ht="12.75">
      <c r="A2317" s="10"/>
      <c r="B2317" s="10"/>
    </row>
    <row r="2318" spans="1:2" ht="12.75">
      <c r="A2318" s="10"/>
      <c r="B2318" s="10"/>
    </row>
    <row r="2319" spans="1:2" ht="12.75">
      <c r="A2319" s="10"/>
      <c r="B2319" s="10"/>
    </row>
    <row r="2320" spans="1:2" ht="12.75">
      <c r="A2320" s="10"/>
      <c r="B2320" s="10"/>
    </row>
    <row r="2321" spans="1:2" ht="12.75">
      <c r="A2321" s="10"/>
      <c r="B2321" s="10"/>
    </row>
    <row r="2322" spans="1:2" ht="12.75">
      <c r="A2322" s="10"/>
      <c r="B2322" s="10"/>
    </row>
    <row r="2323" spans="1:2" ht="12.75">
      <c r="A2323" s="10"/>
      <c r="B2323" s="10"/>
    </row>
    <row r="2324" spans="1:2" ht="12.75">
      <c r="A2324" s="10"/>
      <c r="B2324" s="10"/>
    </row>
    <row r="2325" spans="1:2" ht="12.75">
      <c r="A2325" s="10"/>
      <c r="B2325" s="10"/>
    </row>
    <row r="2326" spans="1:2" ht="12.75">
      <c r="A2326" s="10"/>
      <c r="B2326" s="10"/>
    </row>
    <row r="2327" spans="1:2" ht="12.75">
      <c r="A2327" s="10"/>
      <c r="B2327" s="10"/>
    </row>
    <row r="2328" spans="1:2" ht="12.75">
      <c r="A2328" s="10"/>
      <c r="B2328" s="10"/>
    </row>
    <row r="2329" spans="1:2" ht="12.75">
      <c r="A2329" s="10"/>
      <c r="B2329" s="10"/>
    </row>
    <row r="2330" spans="1:2" ht="12.75">
      <c r="A2330" s="10"/>
      <c r="B2330" s="10"/>
    </row>
    <row r="2331" spans="1:2" ht="12.75">
      <c r="A2331" s="10"/>
      <c r="B2331" s="10"/>
    </row>
    <row r="2332" spans="1:2" ht="12.75">
      <c r="A2332" s="10"/>
      <c r="B2332" s="10"/>
    </row>
    <row r="2333" spans="1:2" ht="12.75">
      <c r="A2333" s="10"/>
      <c r="B2333" s="10"/>
    </row>
    <row r="2334" spans="1:2" ht="12.75">
      <c r="A2334" s="10"/>
      <c r="B2334" s="10"/>
    </row>
    <row r="2335" spans="1:2" ht="12.75">
      <c r="A2335" s="10"/>
      <c r="B2335" s="10"/>
    </row>
    <row r="2336" spans="1:2" ht="12.75">
      <c r="A2336" s="10"/>
      <c r="B2336" s="10"/>
    </row>
    <row r="2337" spans="1:2" ht="12.75">
      <c r="A2337" s="10"/>
      <c r="B2337" s="10"/>
    </row>
    <row r="2338" spans="1:2" ht="12.75">
      <c r="A2338" s="10"/>
      <c r="B2338" s="10"/>
    </row>
    <row r="2339" spans="1:2" ht="12.75">
      <c r="A2339" s="10"/>
      <c r="B2339" s="10"/>
    </row>
    <row r="2340" spans="1:2" ht="12.75">
      <c r="A2340" s="10"/>
      <c r="B2340" s="10"/>
    </row>
    <row r="2341" spans="1:2" ht="12.75">
      <c r="A2341" s="10"/>
      <c r="B2341" s="10"/>
    </row>
    <row r="2342" spans="1:2" ht="12.75">
      <c r="A2342" s="10"/>
      <c r="B2342" s="10"/>
    </row>
    <row r="2343" spans="1:2" ht="12.75">
      <c r="A2343" s="10"/>
      <c r="B2343" s="10"/>
    </row>
    <row r="2344" spans="1:2" ht="12.75">
      <c r="A2344" s="10"/>
      <c r="B2344" s="10"/>
    </row>
    <row r="2345" spans="1:2" ht="12.75">
      <c r="A2345" s="10"/>
      <c r="B2345" s="10"/>
    </row>
    <row r="2346" spans="1:2" ht="12.75">
      <c r="A2346" s="10"/>
      <c r="B2346" s="10"/>
    </row>
    <row r="2347" spans="1:2" ht="12.75">
      <c r="A2347" s="10"/>
      <c r="B2347" s="10"/>
    </row>
    <row r="2348" spans="1:2" ht="12.75">
      <c r="A2348" s="10"/>
      <c r="B2348" s="10"/>
    </row>
    <row r="2349" spans="1:2" ht="12.75">
      <c r="A2349" s="10"/>
      <c r="B2349" s="10"/>
    </row>
    <row r="2350" spans="1:2" ht="12.75">
      <c r="A2350" s="10"/>
      <c r="B2350" s="10"/>
    </row>
    <row r="2351" spans="1:2" ht="12.75">
      <c r="A2351" s="10"/>
      <c r="B2351" s="10"/>
    </row>
    <row r="2352" spans="1:2" ht="12.75">
      <c r="A2352" s="10"/>
      <c r="B2352" s="10"/>
    </row>
    <row r="2353" spans="1:2" ht="12.75">
      <c r="A2353" s="10"/>
      <c r="B2353" s="10"/>
    </row>
    <row r="2354" spans="1:2" ht="12.75">
      <c r="A2354" s="10"/>
      <c r="B2354" s="10"/>
    </row>
    <row r="2355" spans="1:2" ht="12.75">
      <c r="A2355" s="10"/>
      <c r="B2355" s="10"/>
    </row>
    <row r="2356" spans="1:2" ht="12.75">
      <c r="A2356" s="10"/>
      <c r="B2356" s="10"/>
    </row>
    <row r="2357" spans="1:2" ht="12.75">
      <c r="A2357" s="10"/>
      <c r="B2357" s="10"/>
    </row>
    <row r="2358" spans="1:2" ht="12.75">
      <c r="A2358" s="10"/>
      <c r="B2358" s="10"/>
    </row>
    <row r="2359" spans="1:2" ht="12.75">
      <c r="A2359" s="10"/>
      <c r="B2359" s="10"/>
    </row>
    <row r="2360" spans="1:2" ht="12.75">
      <c r="A2360" s="10"/>
      <c r="B2360" s="10"/>
    </row>
    <row r="2361" spans="1:2" ht="12.75">
      <c r="A2361" s="10"/>
      <c r="B2361" s="10"/>
    </row>
    <row r="2362" spans="1:2" ht="12.75">
      <c r="A2362" s="10"/>
      <c r="B2362" s="10"/>
    </row>
    <row r="2363" spans="1:2" ht="12.75">
      <c r="A2363" s="10"/>
      <c r="B2363" s="10"/>
    </row>
    <row r="2364" spans="1:2" ht="12.75">
      <c r="A2364" s="10"/>
      <c r="B2364" s="10"/>
    </row>
    <row r="2365" spans="1:2" ht="12.75">
      <c r="A2365" s="10"/>
      <c r="B2365" s="10"/>
    </row>
    <row r="2366" spans="1:2" ht="12.75">
      <c r="A2366" s="10"/>
      <c r="B2366" s="10"/>
    </row>
    <row r="2367" spans="1:2" ht="12.75">
      <c r="A2367" s="10"/>
      <c r="B2367" s="10"/>
    </row>
    <row r="2368" spans="1:2" ht="12.75">
      <c r="A2368" s="10"/>
      <c r="B2368" s="10"/>
    </row>
    <row r="2369" spans="1:2" ht="12.75">
      <c r="A2369" s="10"/>
      <c r="B2369" s="10"/>
    </row>
    <row r="2370" spans="1:2" ht="12.75">
      <c r="A2370" s="10"/>
      <c r="B2370" s="10"/>
    </row>
    <row r="2371" spans="1:2" ht="12.75">
      <c r="A2371" s="10"/>
      <c r="B2371" s="10"/>
    </row>
    <row r="2372" spans="1:2" ht="12.75">
      <c r="A2372" s="10"/>
      <c r="B2372" s="10"/>
    </row>
    <row r="2373" spans="1:2" ht="12.75">
      <c r="A2373" s="10"/>
      <c r="B2373" s="10"/>
    </row>
    <row r="2374" spans="1:2" ht="12.75">
      <c r="A2374" s="10"/>
      <c r="B2374" s="10"/>
    </row>
    <row r="2375" spans="1:2" ht="12.75">
      <c r="A2375" s="10"/>
      <c r="B2375" s="10"/>
    </row>
    <row r="2376" spans="1:2" ht="12.75">
      <c r="A2376" s="10"/>
      <c r="B2376" s="10"/>
    </row>
    <row r="2377" spans="1:2" ht="12.75">
      <c r="A2377" s="10"/>
      <c r="B2377" s="10"/>
    </row>
    <row r="2378" spans="1:2" ht="12.75">
      <c r="A2378" s="10"/>
      <c r="B2378" s="10"/>
    </row>
    <row r="2379" spans="1:2" ht="12.75">
      <c r="A2379" s="10"/>
      <c r="B2379" s="10"/>
    </row>
    <row r="2380" spans="1:2" ht="12.75">
      <c r="A2380" s="10"/>
      <c r="B2380" s="10"/>
    </row>
    <row r="2381" spans="1:2" ht="12.75">
      <c r="A2381" s="10"/>
      <c r="B2381" s="10"/>
    </row>
    <row r="2382" spans="1:2" ht="12.75">
      <c r="A2382" s="10"/>
      <c r="B2382" s="10"/>
    </row>
    <row r="2383" spans="1:2" ht="12.75">
      <c r="A2383" s="10"/>
      <c r="B2383" s="10"/>
    </row>
    <row r="2384" spans="1:2" ht="12.75">
      <c r="A2384" s="10"/>
      <c r="B2384" s="10"/>
    </row>
    <row r="2385" spans="1:2" ht="12.75">
      <c r="A2385" s="10"/>
      <c r="B2385" s="10"/>
    </row>
    <row r="2386" spans="1:2" ht="12.75">
      <c r="A2386" s="10"/>
      <c r="B2386" s="10"/>
    </row>
    <row r="2387" spans="1:2" ht="12.75">
      <c r="A2387" s="10"/>
      <c r="B2387" s="10"/>
    </row>
    <row r="2388" spans="1:2" ht="12.75">
      <c r="A2388" s="10"/>
      <c r="B2388" s="10"/>
    </row>
    <row r="2389" spans="1:2" ht="12.75">
      <c r="A2389" s="10"/>
      <c r="B2389" s="10"/>
    </row>
    <row r="2390" spans="1:2" ht="12.75">
      <c r="A2390" s="10"/>
      <c r="B2390" s="10"/>
    </row>
    <row r="2391" spans="1:2" ht="12.75">
      <c r="A2391" s="10"/>
      <c r="B2391" s="10"/>
    </row>
    <row r="2392" spans="1:2" ht="12.75">
      <c r="A2392" s="10"/>
      <c r="B2392" s="10"/>
    </row>
    <row r="2393" spans="1:2" ht="12.75">
      <c r="A2393" s="10"/>
      <c r="B2393" s="10"/>
    </row>
    <row r="2394" spans="1:2" ht="12.75">
      <c r="A2394" s="10"/>
      <c r="B2394" s="10"/>
    </row>
    <row r="2395" spans="1:2" ht="12.75">
      <c r="A2395" s="10"/>
      <c r="B2395" s="10"/>
    </row>
    <row r="2396" spans="1:2" ht="12.75">
      <c r="A2396" s="10"/>
      <c r="B2396" s="10"/>
    </row>
    <row r="2397" spans="1:2" ht="12.75">
      <c r="A2397" s="10"/>
      <c r="B2397" s="10"/>
    </row>
    <row r="2398" spans="1:2" ht="12.75">
      <c r="A2398" s="10"/>
      <c r="B2398" s="10"/>
    </row>
    <row r="2399" spans="1:2" ht="12.75">
      <c r="A2399" s="10"/>
      <c r="B2399" s="10"/>
    </row>
    <row r="2400" spans="1:2" ht="12.75">
      <c r="A2400" s="10"/>
      <c r="B2400" s="10"/>
    </row>
    <row r="2401" spans="1:2" ht="12.75">
      <c r="A2401" s="10"/>
      <c r="B2401" s="10"/>
    </row>
    <row r="2402" spans="1:2" ht="12.75">
      <c r="A2402" s="10"/>
      <c r="B2402" s="10"/>
    </row>
    <row r="2403" spans="1:2" ht="12.75">
      <c r="A2403" s="10"/>
      <c r="B2403" s="10"/>
    </row>
    <row r="2404" spans="1:2" ht="12.75">
      <c r="A2404" s="10"/>
      <c r="B2404" s="10"/>
    </row>
    <row r="2405" spans="1:2" ht="12.75">
      <c r="A2405" s="10"/>
      <c r="B2405" s="10"/>
    </row>
    <row r="2406" spans="1:2" ht="12.75">
      <c r="A2406" s="10"/>
      <c r="B2406" s="10"/>
    </row>
    <row r="2407" spans="1:2" ht="12.75">
      <c r="A2407" s="10"/>
      <c r="B2407" s="10"/>
    </row>
    <row r="2408" spans="1:2" ht="12.75">
      <c r="A2408" s="10"/>
      <c r="B2408" s="10"/>
    </row>
    <row r="2409" spans="1:2" ht="12.75">
      <c r="A2409" s="10"/>
      <c r="B2409" s="10"/>
    </row>
    <row r="2410" spans="1:2" ht="12.75">
      <c r="A2410" s="10"/>
      <c r="B2410" s="10"/>
    </row>
    <row r="2411" spans="1:2" ht="12.75">
      <c r="A2411" s="10"/>
      <c r="B2411" s="10"/>
    </row>
    <row r="2412" spans="1:2" ht="12.75">
      <c r="A2412" s="10"/>
      <c r="B2412" s="10"/>
    </row>
    <row r="2413" spans="1:2" ht="12.75">
      <c r="A2413" s="10"/>
      <c r="B2413" s="10"/>
    </row>
    <row r="2414" spans="1:2" ht="12.75">
      <c r="A2414" s="10"/>
      <c r="B2414" s="10"/>
    </row>
    <row r="2415" spans="1:2" ht="12.75">
      <c r="A2415" s="10"/>
      <c r="B2415" s="10"/>
    </row>
    <row r="2416" spans="1:2" ht="12.75">
      <c r="A2416" s="10"/>
      <c r="B2416" s="10"/>
    </row>
    <row r="2417" spans="1:2" ht="12.75">
      <c r="A2417" s="10"/>
      <c r="B2417" s="10"/>
    </row>
    <row r="2418" spans="1:2" ht="12.75">
      <c r="A2418" s="10"/>
      <c r="B2418" s="10"/>
    </row>
    <row r="2419" spans="1:2" ht="12.75">
      <c r="A2419" s="10"/>
      <c r="B2419" s="10"/>
    </row>
    <row r="2420" spans="1:2" ht="12.75">
      <c r="A2420" s="10"/>
      <c r="B2420" s="10"/>
    </row>
    <row r="2421" spans="1:2" ht="12.75">
      <c r="A2421" s="10"/>
      <c r="B2421" s="10"/>
    </row>
    <row r="2422" spans="1:2" ht="12.75">
      <c r="A2422" s="10"/>
      <c r="B2422" s="10"/>
    </row>
    <row r="2423" spans="1:2" ht="12.75">
      <c r="A2423" s="10"/>
      <c r="B2423" s="10"/>
    </row>
    <row r="2424" spans="1:2" ht="12.75">
      <c r="A2424" s="10"/>
      <c r="B2424" s="10"/>
    </row>
    <row r="2425" spans="1:2" ht="12.75">
      <c r="A2425" s="10"/>
      <c r="B2425" s="10"/>
    </row>
    <row r="2426" spans="1:2" ht="12.75">
      <c r="A2426" s="10"/>
      <c r="B2426" s="10"/>
    </row>
    <row r="2427" spans="1:2" ht="12.75">
      <c r="A2427" s="10"/>
      <c r="B2427" s="10"/>
    </row>
    <row r="2428" spans="1:2" ht="12.75">
      <c r="A2428" s="10"/>
      <c r="B2428" s="10"/>
    </row>
    <row r="2429" spans="1:2" ht="12.75">
      <c r="A2429" s="10"/>
      <c r="B2429" s="10"/>
    </row>
    <row r="2430" spans="1:2" ht="12.75">
      <c r="A2430" s="10"/>
      <c r="B2430" s="10"/>
    </row>
    <row r="2431" spans="1:2" ht="12.75">
      <c r="A2431" s="10"/>
      <c r="B2431" s="10"/>
    </row>
    <row r="2432" spans="1:2" ht="12.75">
      <c r="A2432" s="10"/>
      <c r="B2432" s="10"/>
    </row>
    <row r="2433" spans="1:2" ht="12.75">
      <c r="A2433" s="10"/>
      <c r="B2433" s="10"/>
    </row>
    <row r="2434" spans="1:2" ht="12.75">
      <c r="A2434" s="10"/>
      <c r="B2434" s="10"/>
    </row>
    <row r="2435" spans="1:2" ht="12.75">
      <c r="A2435" s="10"/>
      <c r="B2435" s="10"/>
    </row>
    <row r="2436" spans="1:2" ht="12.75">
      <c r="A2436" s="10"/>
      <c r="B2436" s="10"/>
    </row>
    <row r="2437" spans="1:2" ht="12.75">
      <c r="A2437" s="10"/>
      <c r="B2437" s="10"/>
    </row>
    <row r="2438" spans="1:2" ht="12.75">
      <c r="A2438" s="10"/>
      <c r="B2438" s="10"/>
    </row>
    <row r="2439" spans="1:2" ht="12.75">
      <c r="A2439" s="10"/>
      <c r="B2439" s="10"/>
    </row>
    <row r="2440" spans="1:2" ht="12.75">
      <c r="A2440" s="10"/>
      <c r="B2440" s="10"/>
    </row>
    <row r="2441" spans="1:2" ht="12.75">
      <c r="A2441" s="10"/>
      <c r="B2441" s="10"/>
    </row>
    <row r="2442" spans="1:2" ht="12.75">
      <c r="A2442" s="10"/>
      <c r="B2442" s="10"/>
    </row>
    <row r="2443" spans="1:2" ht="12.75">
      <c r="A2443" s="10"/>
      <c r="B2443" s="10"/>
    </row>
    <row r="2444" spans="1:2" ht="12.75">
      <c r="A2444" s="10"/>
      <c r="B2444" s="10"/>
    </row>
    <row r="2445" spans="1:2" ht="12.75">
      <c r="A2445" s="10"/>
      <c r="B2445" s="10"/>
    </row>
    <row r="2446" spans="1:2" ht="12.75">
      <c r="A2446" s="10"/>
      <c r="B2446" s="10"/>
    </row>
    <row r="2447" spans="1:2" ht="12.75">
      <c r="A2447" s="10"/>
      <c r="B2447" s="10"/>
    </row>
    <row r="2448" spans="1:2" ht="12.75">
      <c r="A2448" s="10"/>
      <c r="B2448" s="10"/>
    </row>
    <row r="2449" spans="1:2" ht="12.75">
      <c r="A2449" s="10"/>
      <c r="B2449" s="10"/>
    </row>
    <row r="2450" spans="1:2" ht="12.75">
      <c r="A2450" s="10"/>
      <c r="B2450" s="10"/>
    </row>
    <row r="2451" spans="1:2" ht="12.75">
      <c r="A2451" s="10"/>
      <c r="B2451" s="10"/>
    </row>
    <row r="2452" spans="1:2" ht="12.75">
      <c r="A2452" s="10"/>
      <c r="B2452" s="10"/>
    </row>
    <row r="2453" spans="1:2" ht="12.75">
      <c r="A2453" s="10"/>
      <c r="B2453" s="10"/>
    </row>
    <row r="2454" spans="1:2" ht="12.75">
      <c r="A2454" s="10"/>
      <c r="B2454" s="10"/>
    </row>
    <row r="2455" spans="1:2" ht="12.75">
      <c r="A2455" s="10"/>
      <c r="B2455" s="10"/>
    </row>
    <row r="2456" spans="1:2" ht="12.75">
      <c r="A2456" s="10"/>
      <c r="B2456" s="10"/>
    </row>
    <row r="2457" spans="1:2" ht="12.75">
      <c r="A2457" s="10"/>
      <c r="B2457" s="10"/>
    </row>
    <row r="2458" spans="1:2" ht="12.75">
      <c r="A2458" s="10"/>
      <c r="B2458" s="10"/>
    </row>
    <row r="2459" spans="1:2" ht="12.75">
      <c r="A2459" s="10"/>
      <c r="B2459" s="10"/>
    </row>
    <row r="2460" spans="1:2" ht="12.75">
      <c r="A2460" s="10"/>
      <c r="B2460" s="10"/>
    </row>
    <row r="2461" spans="1:2" ht="12.75">
      <c r="A2461" s="10"/>
      <c r="B2461" s="10"/>
    </row>
    <row r="2462" spans="1:2" ht="12.75">
      <c r="A2462" s="10"/>
      <c r="B2462" s="10"/>
    </row>
    <row r="2463" spans="1:2" ht="12.75">
      <c r="A2463" s="10"/>
      <c r="B2463" s="10"/>
    </row>
    <row r="2464" spans="1:2" ht="12.75">
      <c r="A2464" s="10"/>
      <c r="B2464" s="10"/>
    </row>
    <row r="2465" spans="1:2" ht="12.75">
      <c r="A2465" s="10"/>
      <c r="B2465" s="10"/>
    </row>
    <row r="2466" spans="1:2" ht="12.75">
      <c r="A2466" s="10"/>
      <c r="B2466" s="10"/>
    </row>
    <row r="2467" spans="1:2" ht="12.75">
      <c r="A2467" s="10"/>
      <c r="B2467" s="10"/>
    </row>
    <row r="2468" spans="1:2" ht="12.75">
      <c r="A2468" s="10"/>
      <c r="B2468" s="10"/>
    </row>
    <row r="2469" spans="1:2" ht="12.75">
      <c r="A2469" s="10"/>
      <c r="B2469" s="10"/>
    </row>
    <row r="2470" spans="1:2" ht="12.75">
      <c r="A2470" s="10"/>
      <c r="B2470" s="10"/>
    </row>
    <row r="2471" spans="1:2" ht="12.75">
      <c r="A2471" s="10"/>
      <c r="B2471" s="10"/>
    </row>
    <row r="2472" spans="1:2" ht="12.75">
      <c r="A2472" s="10"/>
      <c r="B2472" s="10"/>
    </row>
    <row r="2473" spans="1:2" ht="12.75">
      <c r="A2473" s="10"/>
      <c r="B2473" s="10"/>
    </row>
    <row r="2474" spans="1:2" ht="12.75">
      <c r="A2474" s="10"/>
      <c r="B2474" s="10"/>
    </row>
    <row r="2475" spans="1:2" ht="12.75">
      <c r="A2475" s="10"/>
      <c r="B2475" s="10"/>
    </row>
    <row r="2476" spans="1:2" ht="12.75">
      <c r="A2476" s="10"/>
      <c r="B2476" s="10"/>
    </row>
    <row r="2477" spans="1:2" ht="12.75">
      <c r="A2477" s="10"/>
      <c r="B2477" s="10"/>
    </row>
    <row r="2478" spans="1:2" ht="12.75">
      <c r="A2478" s="10"/>
      <c r="B2478" s="10"/>
    </row>
    <row r="2479" spans="1:2" ht="12.75">
      <c r="A2479" s="10"/>
      <c r="B2479" s="10"/>
    </row>
    <row r="2480" spans="1:2" ht="12.75">
      <c r="A2480" s="10"/>
      <c r="B2480" s="10"/>
    </row>
    <row r="2481" spans="1:2" ht="12.75">
      <c r="A2481" s="10"/>
      <c r="B2481" s="10"/>
    </row>
    <row r="2482" spans="1:2" ht="12.75">
      <c r="A2482" s="10"/>
      <c r="B2482" s="10"/>
    </row>
    <row r="2483" spans="1:2" ht="12.75">
      <c r="A2483" s="10"/>
      <c r="B2483" s="10"/>
    </row>
    <row r="2484" spans="1:2" ht="12.75">
      <c r="A2484" s="10"/>
      <c r="B2484" s="10"/>
    </row>
    <row r="2485" spans="1:2" ht="12.75">
      <c r="A2485" s="10"/>
      <c r="B2485" s="10"/>
    </row>
    <row r="2486" spans="1:2" ht="12.75">
      <c r="A2486" s="10"/>
      <c r="B2486" s="10"/>
    </row>
    <row r="2487" spans="1:2" ht="12.75">
      <c r="A2487" s="10"/>
      <c r="B2487" s="10"/>
    </row>
    <row r="2488" spans="1:2" ht="12.75">
      <c r="A2488" s="10"/>
      <c r="B2488" s="10"/>
    </row>
    <row r="2489" spans="1:2" ht="12.75">
      <c r="A2489" s="10"/>
      <c r="B2489" s="10"/>
    </row>
    <row r="2490" spans="1:2" ht="12.75">
      <c r="A2490" s="10"/>
      <c r="B2490" s="10"/>
    </row>
    <row r="2491" spans="1:2" ht="12.75">
      <c r="A2491" s="10"/>
      <c r="B2491" s="10"/>
    </row>
    <row r="2492" spans="1:2" ht="12.75">
      <c r="A2492" s="10"/>
      <c r="B2492" s="10"/>
    </row>
    <row r="2493" spans="1:2" ht="12.75">
      <c r="A2493" s="10"/>
      <c r="B2493" s="10"/>
    </row>
    <row r="2494" spans="1:2" ht="12.75">
      <c r="A2494" s="10"/>
      <c r="B2494" s="10"/>
    </row>
    <row r="2495" spans="1:2" ht="12.75">
      <c r="A2495" s="10"/>
      <c r="B2495" s="10"/>
    </row>
    <row r="2496" spans="1:2" ht="12.75">
      <c r="A2496" s="10"/>
      <c r="B2496" s="10"/>
    </row>
    <row r="2497" spans="1:2" ht="12.75">
      <c r="A2497" s="10"/>
      <c r="B2497" s="10"/>
    </row>
    <row r="2498" spans="1:2" ht="12.75">
      <c r="A2498" s="10"/>
      <c r="B2498" s="10"/>
    </row>
    <row r="2499" spans="1:2" ht="12.75">
      <c r="A2499" s="10"/>
      <c r="B2499" s="10"/>
    </row>
    <row r="2500" spans="1:2" ht="12.75">
      <c r="A2500" s="10"/>
      <c r="B2500" s="10"/>
    </row>
    <row r="2501" spans="1:2" ht="12.75">
      <c r="A2501" s="10"/>
      <c r="B2501" s="10"/>
    </row>
    <row r="2502" spans="1:2" ht="12.75">
      <c r="A2502" s="10"/>
      <c r="B2502" s="10"/>
    </row>
    <row r="2503" spans="1:2" ht="12.75">
      <c r="A2503" s="10"/>
      <c r="B2503" s="10"/>
    </row>
    <row r="2504" spans="1:2" ht="12.75">
      <c r="A2504" s="10"/>
      <c r="B2504" s="10"/>
    </row>
    <row r="2505" spans="1:2" ht="12.75">
      <c r="A2505" s="10"/>
      <c r="B2505" s="10"/>
    </row>
    <row r="2506" spans="1:2" ht="12.75">
      <c r="A2506" s="10"/>
      <c r="B2506" s="10"/>
    </row>
    <row r="2507" spans="1:2" ht="12.75">
      <c r="A2507" s="10"/>
      <c r="B2507" s="10"/>
    </row>
    <row r="2508" spans="1:2" ht="12.75">
      <c r="A2508" s="10"/>
      <c r="B2508" s="10"/>
    </row>
    <row r="2509" spans="1:2" ht="12.75">
      <c r="A2509" s="10"/>
      <c r="B2509" s="10"/>
    </row>
    <row r="2510" spans="1:2" ht="12.75">
      <c r="A2510" s="10"/>
      <c r="B2510" s="10"/>
    </row>
    <row r="2511" spans="1:2" ht="12.75">
      <c r="A2511" s="10"/>
      <c r="B2511" s="10"/>
    </row>
    <row r="2512" spans="1:2" ht="12.75">
      <c r="A2512" s="10"/>
      <c r="B2512" s="10"/>
    </row>
    <row r="2513" spans="1:2" ht="12.75">
      <c r="A2513" s="10"/>
      <c r="B2513" s="10"/>
    </row>
    <row r="2514" spans="1:2" ht="12.75">
      <c r="A2514" s="10"/>
      <c r="B2514" s="10"/>
    </row>
    <row r="2515" spans="1:2" ht="12.75">
      <c r="A2515" s="10"/>
      <c r="B2515" s="10"/>
    </row>
    <row r="2516" spans="1:2" ht="12.75">
      <c r="A2516" s="10"/>
      <c r="B2516" s="10"/>
    </row>
    <row r="2517" spans="1:2" ht="12.75">
      <c r="A2517" s="10"/>
      <c r="B2517" s="10"/>
    </row>
    <row r="2518" spans="1:2" ht="12.75">
      <c r="A2518" s="10"/>
      <c r="B2518" s="10"/>
    </row>
    <row r="2519" spans="1:2" ht="12.75">
      <c r="A2519" s="10"/>
      <c r="B2519" s="10"/>
    </row>
    <row r="2520" spans="1:2" ht="12.75">
      <c r="A2520" s="10"/>
      <c r="B2520" s="10"/>
    </row>
    <row r="2521" spans="1:2" ht="12.75">
      <c r="A2521" s="10"/>
      <c r="B2521" s="10"/>
    </row>
    <row r="2522" spans="1:2" ht="12.75">
      <c r="A2522" s="10"/>
      <c r="B2522" s="10"/>
    </row>
    <row r="2523" spans="1:2" ht="12.75">
      <c r="A2523" s="10"/>
      <c r="B2523" s="10"/>
    </row>
    <row r="2524" spans="1:2" ht="12.75">
      <c r="A2524" s="10"/>
      <c r="B2524" s="10"/>
    </row>
    <row r="2525" spans="1:2" ht="12.75">
      <c r="A2525" s="10"/>
      <c r="B2525" s="10"/>
    </row>
    <row r="2526" spans="1:2" ht="12.75">
      <c r="A2526" s="10"/>
      <c r="B2526" s="10"/>
    </row>
    <row r="2527" spans="1:2" ht="12.75">
      <c r="A2527" s="10"/>
      <c r="B2527" s="10"/>
    </row>
    <row r="2528" spans="1:2" ht="12.75">
      <c r="A2528" s="10"/>
      <c r="B2528" s="10"/>
    </row>
    <row r="2529" spans="1:2" ht="12.75">
      <c r="A2529" s="10"/>
      <c r="B2529" s="10"/>
    </row>
    <row r="2530" spans="1:2" ht="12.75">
      <c r="A2530" s="10"/>
      <c r="B2530" s="10"/>
    </row>
    <row r="2531" spans="1:2" ht="12.75">
      <c r="A2531" s="10"/>
      <c r="B2531" s="10"/>
    </row>
    <row r="2532" spans="1:2" ht="12.75">
      <c r="A2532" s="10"/>
      <c r="B2532" s="10"/>
    </row>
    <row r="2533" spans="1:2" ht="12.75">
      <c r="A2533" s="10"/>
      <c r="B2533" s="10"/>
    </row>
    <row r="2534" spans="1:2" ht="12.75">
      <c r="A2534" s="10"/>
      <c r="B2534" s="10"/>
    </row>
    <row r="2535" spans="1:2" ht="12.75">
      <c r="A2535" s="10"/>
      <c r="B2535" s="10"/>
    </row>
    <row r="2536" spans="1:2" ht="12.75">
      <c r="A2536" s="10"/>
      <c r="B2536" s="10"/>
    </row>
    <row r="2537" spans="1:2" ht="12.75">
      <c r="A2537" s="10"/>
      <c r="B2537" s="10"/>
    </row>
    <row r="2538" spans="1:2" ht="12.75">
      <c r="A2538" s="10"/>
      <c r="B2538" s="10"/>
    </row>
    <row r="2539" spans="1:2" ht="12.75">
      <c r="A2539" s="10"/>
      <c r="B2539" s="10"/>
    </row>
    <row r="2540" spans="1:2" ht="12.75">
      <c r="A2540" s="10"/>
      <c r="B2540" s="10"/>
    </row>
    <row r="2541" spans="1:2" ht="12.75">
      <c r="A2541" s="10"/>
      <c r="B2541" s="10"/>
    </row>
    <row r="2542" spans="1:2" ht="12.75">
      <c r="A2542" s="10"/>
      <c r="B2542" s="10"/>
    </row>
    <row r="2543" spans="1:2" ht="12.75">
      <c r="A2543" s="10"/>
      <c r="B2543" s="10"/>
    </row>
    <row r="2544" spans="1:2" ht="12.75">
      <c r="A2544" s="10"/>
      <c r="B2544" s="10"/>
    </row>
    <row r="2545" spans="1:2" ht="12.75">
      <c r="A2545" s="10"/>
      <c r="B2545" s="10"/>
    </row>
    <row r="2546" spans="1:2" ht="12.75">
      <c r="A2546" s="10"/>
      <c r="B2546" s="10"/>
    </row>
    <row r="2547" spans="1:2" ht="12.75">
      <c r="A2547" s="10"/>
      <c r="B2547" s="10"/>
    </row>
    <row r="2548" spans="1:2" ht="12.75">
      <c r="A2548" s="10"/>
      <c r="B2548" s="10"/>
    </row>
    <row r="2549" spans="1:2" ht="12.75">
      <c r="A2549" s="10"/>
      <c r="B2549" s="10"/>
    </row>
    <row r="2550" spans="1:2" ht="12.75">
      <c r="A2550" s="10"/>
      <c r="B2550" s="10"/>
    </row>
    <row r="2551" spans="1:2" ht="12.75">
      <c r="A2551" s="10"/>
      <c r="B2551" s="10"/>
    </row>
    <row r="2552" spans="1:2" ht="12.75">
      <c r="A2552" s="10"/>
      <c r="B2552" s="10"/>
    </row>
    <row r="2553" spans="1:2" ht="12.75">
      <c r="A2553" s="10"/>
      <c r="B2553" s="10"/>
    </row>
    <row r="2554" spans="1:2" ht="12.75">
      <c r="A2554" s="10"/>
      <c r="B2554" s="10"/>
    </row>
    <row r="2555" spans="1:2" ht="12.75">
      <c r="A2555" s="10"/>
      <c r="B2555" s="10"/>
    </row>
    <row r="2556" spans="1:2" ht="12.75">
      <c r="A2556" s="10"/>
      <c r="B2556" s="10"/>
    </row>
    <row r="2557" spans="1:2" ht="12.75">
      <c r="A2557" s="10"/>
      <c r="B2557" s="10"/>
    </row>
    <row r="2558" spans="1:2" ht="12.75">
      <c r="A2558" s="10"/>
      <c r="B2558" s="10"/>
    </row>
    <row r="2559" spans="1:2" ht="12.75">
      <c r="A2559" s="10"/>
      <c r="B2559" s="10"/>
    </row>
    <row r="2560" spans="1:2" ht="12.75">
      <c r="A2560" s="10"/>
      <c r="B2560" s="10"/>
    </row>
    <row r="2561" spans="1:2" ht="12.75">
      <c r="A2561" s="10"/>
      <c r="B2561" s="10"/>
    </row>
    <row r="2562" spans="1:2" ht="12.75">
      <c r="A2562" s="10"/>
      <c r="B2562" s="10"/>
    </row>
    <row r="2563" spans="1:2" ht="12.75">
      <c r="A2563" s="10"/>
      <c r="B2563" s="10"/>
    </row>
    <row r="2564" spans="1:2" ht="12.75">
      <c r="A2564" s="10"/>
      <c r="B2564" s="10"/>
    </row>
    <row r="2565" spans="1:2" ht="12.75">
      <c r="A2565" s="10"/>
      <c r="B2565" s="10"/>
    </row>
    <row r="2566" spans="1:2" ht="12.75">
      <c r="A2566" s="10"/>
      <c r="B2566" s="10"/>
    </row>
    <row r="2567" spans="1:2" ht="12.75">
      <c r="A2567" s="10"/>
      <c r="B2567" s="10"/>
    </row>
    <row r="2568" spans="1:2" ht="12.75">
      <c r="A2568" s="10"/>
      <c r="B2568" s="10"/>
    </row>
    <row r="2569" spans="1:2" ht="12.75">
      <c r="A2569" s="10"/>
      <c r="B2569" s="10"/>
    </row>
    <row r="2570" spans="1:2" ht="12.75">
      <c r="A2570" s="10"/>
      <c r="B2570" s="10"/>
    </row>
    <row r="2571" spans="1:2" ht="12.75">
      <c r="A2571" s="10"/>
      <c r="B2571" s="10"/>
    </row>
    <row r="2572" spans="1:2" ht="12.75">
      <c r="A2572" s="10"/>
      <c r="B2572" s="10"/>
    </row>
    <row r="2573" spans="1:2" ht="12.75">
      <c r="A2573" s="10"/>
      <c r="B2573" s="10"/>
    </row>
    <row r="2574" spans="1:2" ht="12.75">
      <c r="A2574" s="10"/>
      <c r="B2574" s="10"/>
    </row>
    <row r="2575" spans="1:2" ht="12.75">
      <c r="A2575" s="10"/>
      <c r="B2575" s="10"/>
    </row>
    <row r="2576" spans="1:2" ht="12.75">
      <c r="A2576" s="10"/>
      <c r="B2576" s="10"/>
    </row>
    <row r="2577" spans="1:2" ht="12.75">
      <c r="A2577" s="10"/>
      <c r="B2577" s="10"/>
    </row>
    <row r="2578" spans="1:2" ht="12.75">
      <c r="A2578" s="10"/>
      <c r="B2578" s="10"/>
    </row>
    <row r="2579" spans="1:2" ht="12.75">
      <c r="A2579" s="10"/>
      <c r="B2579" s="10"/>
    </row>
    <row r="2580" spans="1:2" ht="12.75">
      <c r="A2580" s="10"/>
      <c r="B2580" s="10"/>
    </row>
    <row r="2581" spans="1:2" ht="12.75">
      <c r="A2581" s="10"/>
      <c r="B2581" s="10"/>
    </row>
    <row r="2582" spans="1:2" ht="12.75">
      <c r="A2582" s="10"/>
      <c r="B2582" s="10"/>
    </row>
    <row r="2583" spans="1:2" ht="12.75">
      <c r="A2583" s="10"/>
      <c r="B2583" s="10"/>
    </row>
    <row r="2584" spans="1:2" ht="12.75">
      <c r="A2584" s="10"/>
      <c r="B2584" s="10"/>
    </row>
    <row r="2585" spans="1:2" ht="12.75">
      <c r="A2585" s="10"/>
      <c r="B2585" s="10"/>
    </row>
    <row r="2586" spans="1:2" ht="12.75">
      <c r="A2586" s="10"/>
      <c r="B2586" s="10"/>
    </row>
    <row r="2587" spans="1:2" ht="12.75">
      <c r="A2587" s="10"/>
      <c r="B2587" s="10"/>
    </row>
    <row r="2588" spans="1:2" ht="12.75">
      <c r="A2588" s="10"/>
      <c r="B2588" s="10"/>
    </row>
    <row r="2589" spans="1:2" ht="12.75">
      <c r="A2589" s="10"/>
      <c r="B2589" s="10"/>
    </row>
    <row r="2590" spans="1:2" ht="12.75">
      <c r="A2590" s="10"/>
      <c r="B2590" s="10"/>
    </row>
    <row r="2591" spans="1:2" ht="12.75">
      <c r="A2591" s="10"/>
      <c r="B2591" s="10"/>
    </row>
    <row r="2592" spans="1:2" ht="12.75">
      <c r="A2592" s="10"/>
      <c r="B2592" s="10"/>
    </row>
    <row r="2593" spans="1:2" ht="12.75">
      <c r="A2593" s="10"/>
      <c r="B2593" s="10"/>
    </row>
    <row r="2594" spans="1:2" ht="12.75">
      <c r="A2594" s="10"/>
      <c r="B2594" s="10"/>
    </row>
    <row r="2595" spans="1:2" ht="12.75">
      <c r="A2595" s="10"/>
      <c r="B2595" s="10"/>
    </row>
    <row r="2596" spans="1:2" ht="12.75">
      <c r="A2596" s="10"/>
      <c r="B2596" s="10"/>
    </row>
    <row r="2597" spans="1:2" ht="12.75">
      <c r="A2597" s="10"/>
      <c r="B2597" s="10"/>
    </row>
    <row r="2598" spans="1:2" ht="12.75">
      <c r="A2598" s="10"/>
      <c r="B2598" s="10"/>
    </row>
    <row r="2599" spans="1:2" ht="12.75">
      <c r="A2599" s="10"/>
      <c r="B2599" s="10"/>
    </row>
    <row r="2600" spans="1:2" ht="12.75">
      <c r="A2600" s="10"/>
      <c r="B2600" s="10"/>
    </row>
    <row r="2601" spans="1:2" ht="12.75">
      <c r="A2601" s="10"/>
      <c r="B2601" s="10"/>
    </row>
    <row r="2602" spans="1:2" ht="12.75">
      <c r="A2602" s="10"/>
      <c r="B2602" s="10"/>
    </row>
    <row r="2603" spans="1:2" ht="12.75">
      <c r="A2603" s="10"/>
      <c r="B2603" s="10"/>
    </row>
    <row r="2604" spans="1:2" ht="12.75">
      <c r="A2604" s="10"/>
      <c r="B2604" s="10"/>
    </row>
    <row r="2605" spans="1:2" ht="12.75">
      <c r="A2605" s="10"/>
      <c r="B2605" s="10"/>
    </row>
    <row r="2606" spans="1:2" ht="12.75">
      <c r="A2606" s="10"/>
      <c r="B2606" s="10"/>
    </row>
    <row r="2607" spans="1:2" ht="12.75">
      <c r="A2607" s="10"/>
      <c r="B2607" s="10"/>
    </row>
    <row r="2608" spans="1:2" ht="12.75">
      <c r="A2608" s="10"/>
      <c r="B2608" s="10"/>
    </row>
    <row r="2609" spans="1:2" ht="12.75">
      <c r="A2609" s="10"/>
      <c r="B2609" s="10"/>
    </row>
    <row r="2610" spans="1:2" ht="12.75">
      <c r="A2610" s="10"/>
      <c r="B2610" s="10"/>
    </row>
    <row r="2611" spans="1:2" ht="12.75">
      <c r="A2611" s="10"/>
      <c r="B2611" s="10"/>
    </row>
    <row r="2612" spans="1:2" ht="12.75">
      <c r="A2612" s="10"/>
      <c r="B2612" s="10"/>
    </row>
    <row r="2613" spans="1:2" ht="12.75">
      <c r="A2613" s="10"/>
      <c r="B2613" s="10"/>
    </row>
    <row r="2614" spans="1:2" ht="12.75">
      <c r="A2614" s="10"/>
      <c r="B2614" s="10"/>
    </row>
    <row r="2615" spans="1:2" ht="12.75">
      <c r="A2615" s="10"/>
      <c r="B2615" s="10"/>
    </row>
    <row r="2616" spans="1:2" ht="12.75">
      <c r="A2616" s="10"/>
      <c r="B2616" s="10"/>
    </row>
    <row r="2617" spans="1:2" ht="12.75">
      <c r="A2617" s="10"/>
      <c r="B2617" s="10"/>
    </row>
    <row r="2618" spans="1:2" ht="12.75">
      <c r="A2618" s="10"/>
      <c r="B2618" s="10"/>
    </row>
    <row r="2619" spans="1:2" ht="12.75">
      <c r="A2619" s="10"/>
      <c r="B2619" s="10"/>
    </row>
    <row r="2620" spans="1:2" ht="12.75">
      <c r="A2620" s="10"/>
      <c r="B2620" s="10"/>
    </row>
    <row r="2621" spans="1:2" ht="12.75">
      <c r="A2621" s="10"/>
      <c r="B2621" s="10"/>
    </row>
    <row r="2622" spans="1:2" ht="12.75">
      <c r="A2622" s="10"/>
      <c r="B2622" s="10"/>
    </row>
    <row r="2623" spans="1:2" ht="12.75">
      <c r="A2623" s="10"/>
      <c r="B2623" s="10"/>
    </row>
    <row r="2624" spans="1:2" ht="12.75">
      <c r="A2624" s="10"/>
      <c r="B2624" s="10"/>
    </row>
    <row r="2625" spans="1:2" ht="12.75">
      <c r="A2625" s="10"/>
      <c r="B2625" s="10"/>
    </row>
    <row r="2626" spans="1:2" ht="12.75">
      <c r="A2626" s="10"/>
      <c r="B2626" s="10"/>
    </row>
    <row r="2627" spans="1:2" ht="12.75">
      <c r="A2627" s="10"/>
      <c r="B2627" s="10"/>
    </row>
    <row r="2628" spans="1:2" ht="12.75">
      <c r="A2628" s="10"/>
      <c r="B2628" s="10"/>
    </row>
    <row r="2629" spans="1:2" ht="12.75">
      <c r="A2629" s="10"/>
      <c r="B2629" s="10"/>
    </row>
    <row r="2630" spans="1:2" ht="12.75">
      <c r="A2630" s="10"/>
      <c r="B2630" s="10"/>
    </row>
    <row r="2631" spans="1:2" ht="12.75">
      <c r="A2631" s="10"/>
      <c r="B2631" s="10"/>
    </row>
    <row r="2632" spans="1:2" ht="12.75">
      <c r="A2632" s="10"/>
      <c r="B2632" s="10"/>
    </row>
    <row r="2633" spans="1:2" ht="12.75">
      <c r="A2633" s="10"/>
      <c r="B2633" s="10"/>
    </row>
    <row r="2634" spans="1:2" ht="12.75">
      <c r="A2634" s="10"/>
      <c r="B2634" s="10"/>
    </row>
    <row r="2635" spans="1:2" ht="12.75">
      <c r="A2635" s="10"/>
      <c r="B2635" s="10"/>
    </row>
    <row r="2636" spans="1:2" ht="12.75">
      <c r="A2636" s="10"/>
      <c r="B2636" s="10"/>
    </row>
    <row r="2637" spans="1:2" ht="12.75">
      <c r="A2637" s="10"/>
      <c r="B2637" s="10"/>
    </row>
    <row r="2638" spans="1:2" ht="12.75">
      <c r="A2638" s="10"/>
      <c r="B2638" s="10"/>
    </row>
    <row r="2639" spans="1:2" ht="12.75">
      <c r="A2639" s="10"/>
      <c r="B2639" s="10"/>
    </row>
    <row r="2640" spans="1:2" ht="12.75">
      <c r="A2640" s="10"/>
      <c r="B2640" s="10"/>
    </row>
    <row r="2641" spans="1:2" ht="12.75">
      <c r="A2641" s="10"/>
      <c r="B2641" s="10"/>
    </row>
    <row r="2642" spans="1:2" ht="12.75">
      <c r="A2642" s="10"/>
      <c r="B2642" s="10"/>
    </row>
    <row r="2643" spans="1:2" ht="12.75">
      <c r="A2643" s="10"/>
      <c r="B2643" s="10"/>
    </row>
    <row r="2644" spans="1:2" ht="12.75">
      <c r="A2644" s="10"/>
      <c r="B2644" s="10"/>
    </row>
    <row r="2645" spans="1:2" ht="12.75">
      <c r="A2645" s="10"/>
      <c r="B2645" s="10"/>
    </row>
    <row r="2646" spans="1:2" ht="12.75">
      <c r="A2646" s="10"/>
      <c r="B2646" s="10"/>
    </row>
    <row r="2647" spans="1:2" ht="12.75">
      <c r="A2647" s="10"/>
      <c r="B2647" s="10"/>
    </row>
    <row r="2648" spans="1:2" ht="12.75">
      <c r="A2648" s="10"/>
      <c r="B2648" s="10"/>
    </row>
    <row r="2649" spans="1:2" ht="12.75">
      <c r="A2649" s="10"/>
      <c r="B2649" s="10"/>
    </row>
    <row r="2650" spans="1:2" ht="12.75">
      <c r="A2650" s="10"/>
      <c r="B2650" s="10"/>
    </row>
    <row r="2651" spans="1:2" ht="12.75">
      <c r="A2651" s="10"/>
      <c r="B2651" s="10"/>
    </row>
    <row r="2652" spans="1:2" ht="12.75">
      <c r="A2652" s="10"/>
      <c r="B2652" s="10"/>
    </row>
    <row r="2653" spans="1:2" ht="12.75">
      <c r="A2653" s="10"/>
      <c r="B2653" s="10"/>
    </row>
    <row r="2654" spans="1:2" ht="12.75">
      <c r="A2654" s="10"/>
      <c r="B2654" s="10"/>
    </row>
    <row r="2655" spans="1:2" ht="12.75">
      <c r="A2655" s="10"/>
      <c r="B2655" s="10"/>
    </row>
    <row r="2656" spans="1:2" ht="12.75">
      <c r="A2656" s="10"/>
      <c r="B2656" s="10"/>
    </row>
    <row r="2657" spans="1:2" ht="12.75">
      <c r="A2657" s="10"/>
      <c r="B2657" s="10"/>
    </row>
    <row r="2658" spans="1:2" ht="12.75">
      <c r="A2658" s="10"/>
      <c r="B2658" s="10"/>
    </row>
    <row r="2659" spans="1:2" ht="12.75">
      <c r="A2659" s="10"/>
      <c r="B2659" s="10"/>
    </row>
    <row r="2660" spans="1:2" ht="12.75">
      <c r="A2660" s="10"/>
      <c r="B2660" s="10"/>
    </row>
    <row r="2661" spans="1:2" ht="12.75">
      <c r="A2661" s="10"/>
      <c r="B2661" s="10"/>
    </row>
    <row r="2662" spans="1:2" ht="12.75">
      <c r="A2662" s="10"/>
      <c r="B2662" s="10"/>
    </row>
    <row r="2663" spans="1:2" ht="12.75">
      <c r="A2663" s="10"/>
      <c r="B2663" s="10"/>
    </row>
    <row r="2664" spans="1:2" ht="12.75">
      <c r="A2664" s="10"/>
      <c r="B2664" s="10"/>
    </row>
    <row r="2665" spans="1:2" ht="12.75">
      <c r="A2665" s="10"/>
      <c r="B2665" s="10"/>
    </row>
    <row r="2666" spans="1:2" ht="12.75">
      <c r="A2666" s="10"/>
      <c r="B2666" s="10"/>
    </row>
    <row r="2667" spans="1:2" ht="12.75">
      <c r="A2667" s="10"/>
      <c r="B2667" s="10"/>
    </row>
    <row r="2668" spans="1:2" ht="12.75">
      <c r="A2668" s="10"/>
      <c r="B2668" s="10"/>
    </row>
    <row r="2669" spans="1:2" ht="12.75">
      <c r="A2669" s="10"/>
      <c r="B2669" s="10"/>
    </row>
    <row r="2670" spans="1:2" ht="12.75">
      <c r="A2670" s="10"/>
      <c r="B2670" s="10"/>
    </row>
    <row r="2671" spans="1:2" ht="12.75">
      <c r="A2671" s="10"/>
      <c r="B2671" s="10"/>
    </row>
    <row r="2672" spans="1:2" ht="12.75">
      <c r="A2672" s="10"/>
      <c r="B2672" s="10"/>
    </row>
    <row r="2673" spans="1:2" ht="12.75">
      <c r="A2673" s="10"/>
      <c r="B2673" s="10"/>
    </row>
    <row r="2674" spans="1:2" ht="12.75">
      <c r="A2674" s="10"/>
      <c r="B2674" s="10"/>
    </row>
    <row r="2675" spans="1:2" ht="12.75">
      <c r="A2675" s="10"/>
      <c r="B2675" s="10"/>
    </row>
    <row r="2676" spans="1:2" ht="12.75">
      <c r="A2676" s="10"/>
      <c r="B2676" s="10"/>
    </row>
    <row r="2677" spans="1:2" ht="12.75">
      <c r="A2677" s="10"/>
      <c r="B2677" s="10"/>
    </row>
    <row r="2678" spans="1:2" ht="12.75">
      <c r="A2678" s="10"/>
      <c r="B2678" s="10"/>
    </row>
    <row r="2679" spans="1:2" ht="12.75">
      <c r="A2679" s="10"/>
      <c r="B2679" s="10"/>
    </row>
    <row r="2680" spans="1:2" ht="12.75">
      <c r="A2680" s="10"/>
      <c r="B2680" s="10"/>
    </row>
    <row r="2681" spans="1:2" ht="12.75">
      <c r="A2681" s="10"/>
      <c r="B2681" s="10"/>
    </row>
    <row r="2682" spans="1:2" ht="12.75">
      <c r="A2682" s="10"/>
      <c r="B2682" s="10"/>
    </row>
    <row r="2683" spans="1:2" ht="12.75">
      <c r="A2683" s="10"/>
      <c r="B2683" s="10"/>
    </row>
    <row r="2684" spans="1:2" ht="12.75">
      <c r="A2684" s="10"/>
      <c r="B2684" s="10"/>
    </row>
    <row r="2685" spans="1:2" ht="12.75">
      <c r="A2685" s="10"/>
      <c r="B2685" s="10"/>
    </row>
    <row r="2686" spans="1:2" ht="12.75">
      <c r="A2686" s="10"/>
      <c r="B2686" s="10"/>
    </row>
    <row r="2687" spans="1:2" ht="12.75">
      <c r="A2687" s="10"/>
      <c r="B2687" s="10"/>
    </row>
    <row r="2688" spans="1:2" ht="12.75">
      <c r="A2688" s="10"/>
      <c r="B2688" s="10"/>
    </row>
    <row r="2689" spans="1:2" ht="12.75">
      <c r="A2689" s="10"/>
      <c r="B2689" s="10"/>
    </row>
    <row r="2690" spans="1:2" ht="12.75">
      <c r="A2690" s="10"/>
      <c r="B2690" s="10"/>
    </row>
    <row r="2691" spans="1:2" ht="12.75">
      <c r="A2691" s="10"/>
      <c r="B2691" s="10"/>
    </row>
    <row r="2692" spans="1:2" ht="12.75">
      <c r="A2692" s="10"/>
      <c r="B2692" s="10"/>
    </row>
    <row r="2693" spans="1:2" ht="12.75">
      <c r="A2693" s="10"/>
      <c r="B2693" s="10"/>
    </row>
    <row r="2694" spans="1:2" ht="12.75">
      <c r="A2694" s="10"/>
      <c r="B2694" s="10"/>
    </row>
    <row r="2695" spans="1:2" ht="12.75">
      <c r="A2695" s="10"/>
      <c r="B2695" s="10"/>
    </row>
    <row r="2696" spans="1:2" ht="12.75">
      <c r="A2696" s="10"/>
      <c r="B2696" s="10"/>
    </row>
    <row r="2697" spans="1:2" ht="12.75">
      <c r="A2697" s="10"/>
      <c r="B2697" s="10"/>
    </row>
    <row r="2698" spans="1:2" ht="12.75">
      <c r="A2698" s="10"/>
      <c r="B2698" s="10"/>
    </row>
    <row r="2699" spans="1:2" ht="12.75">
      <c r="A2699" s="10"/>
      <c r="B2699" s="10"/>
    </row>
    <row r="2700" spans="1:2" ht="12.75">
      <c r="A2700" s="10"/>
      <c r="B2700" s="10"/>
    </row>
    <row r="2701" spans="1:2" ht="12.75">
      <c r="A2701" s="10"/>
      <c r="B2701" s="10"/>
    </row>
    <row r="2702" spans="1:2" ht="12.75">
      <c r="A2702" s="10"/>
      <c r="B2702" s="10"/>
    </row>
    <row r="2703" spans="1:2" ht="12.75">
      <c r="A2703" s="10"/>
      <c r="B2703" s="10"/>
    </row>
    <row r="2704" spans="1:2" ht="12.75">
      <c r="A2704" s="10"/>
      <c r="B2704" s="10"/>
    </row>
    <row r="2705" spans="1:2" ht="12.75">
      <c r="A2705" s="10"/>
      <c r="B2705" s="10"/>
    </row>
    <row r="2706" spans="1:2" ht="12.75">
      <c r="A2706" s="10"/>
      <c r="B2706" s="10"/>
    </row>
    <row r="2707" spans="1:2" ht="12.75">
      <c r="A2707" s="10"/>
      <c r="B2707" s="10"/>
    </row>
    <row r="2708" spans="1:2" ht="12.75">
      <c r="A2708" s="10"/>
      <c r="B2708" s="10"/>
    </row>
    <row r="2709" spans="1:2" ht="12.75">
      <c r="A2709" s="10"/>
      <c r="B2709" s="10"/>
    </row>
    <row r="2710" spans="1:2" ht="12.75">
      <c r="A2710" s="10"/>
      <c r="B2710" s="10"/>
    </row>
    <row r="2711" spans="1:2" ht="12.75">
      <c r="A2711" s="10"/>
      <c r="B2711" s="10"/>
    </row>
    <row r="2712" spans="1:2" ht="12.75">
      <c r="A2712" s="10"/>
      <c r="B2712" s="10"/>
    </row>
    <row r="2713" spans="1:2" ht="12.75">
      <c r="A2713" s="10"/>
      <c r="B2713" s="10"/>
    </row>
    <row r="2714" spans="1:2" ht="12.75">
      <c r="A2714" s="10"/>
      <c r="B2714" s="10"/>
    </row>
    <row r="2715" spans="1:2" ht="12.75">
      <c r="A2715" s="10"/>
      <c r="B2715" s="10"/>
    </row>
    <row r="2716" spans="1:2" ht="12.75">
      <c r="A2716" s="10"/>
      <c r="B2716" s="10"/>
    </row>
    <row r="2717" spans="1:2" ht="12.75">
      <c r="A2717" s="10"/>
      <c r="B2717" s="10"/>
    </row>
    <row r="2718" spans="1:2" ht="12.75">
      <c r="A2718" s="10"/>
      <c r="B2718" s="10"/>
    </row>
    <row r="2719" spans="1:2" ht="12.75">
      <c r="A2719" s="10"/>
      <c r="B2719" s="10"/>
    </row>
    <row r="2720" spans="1:2" ht="12.75">
      <c r="A2720" s="10"/>
      <c r="B2720" s="10"/>
    </row>
    <row r="2721" spans="1:2" ht="12.75">
      <c r="A2721" s="10"/>
      <c r="B2721" s="10"/>
    </row>
    <row r="2722" spans="1:2" ht="12.75">
      <c r="A2722" s="10"/>
      <c r="B2722" s="10"/>
    </row>
    <row r="2723" spans="1:2" ht="12.75">
      <c r="A2723" s="10"/>
      <c r="B2723" s="10"/>
    </row>
    <row r="2724" spans="1:2" ht="12.75">
      <c r="A2724" s="10"/>
      <c r="B2724" s="10"/>
    </row>
    <row r="2725" spans="1:2" ht="12.75">
      <c r="A2725" s="10"/>
      <c r="B2725" s="10"/>
    </row>
    <row r="2726" spans="1:2" ht="12.75">
      <c r="A2726" s="10"/>
      <c r="B2726" s="10"/>
    </row>
    <row r="2727" spans="1:2" ht="12.75">
      <c r="A2727" s="10"/>
      <c r="B2727" s="10"/>
    </row>
    <row r="2728" spans="1:2" ht="12.75">
      <c r="A2728" s="10"/>
      <c r="B2728" s="10"/>
    </row>
    <row r="2729" spans="1:2" ht="12.75">
      <c r="A2729" s="10"/>
      <c r="B2729" s="10"/>
    </row>
    <row r="2730" spans="1:2" ht="12.75">
      <c r="A2730" s="10"/>
      <c r="B2730" s="10"/>
    </row>
    <row r="2731" spans="1:2" ht="12.75">
      <c r="A2731" s="10"/>
      <c r="B2731" s="10"/>
    </row>
    <row r="2732" spans="1:2" ht="12.75">
      <c r="A2732" s="10"/>
      <c r="B2732" s="10"/>
    </row>
    <row r="2733" spans="1:2" ht="12.75">
      <c r="A2733" s="10"/>
      <c r="B2733" s="10"/>
    </row>
    <row r="2734" spans="1:2" ht="12.75">
      <c r="A2734" s="10"/>
      <c r="B2734" s="10"/>
    </row>
    <row r="2735" spans="1:2" ht="12.75">
      <c r="A2735" s="10"/>
      <c r="B2735" s="10"/>
    </row>
    <row r="2736" spans="1:2" ht="12.75">
      <c r="A2736" s="10"/>
      <c r="B2736" s="10"/>
    </row>
    <row r="2737" spans="1:2" ht="12.75">
      <c r="A2737" s="10"/>
      <c r="B2737" s="10"/>
    </row>
    <row r="2738" spans="1:2" ht="12.75">
      <c r="A2738" s="10"/>
      <c r="B2738" s="10"/>
    </row>
    <row r="2739" spans="1:2" ht="12.75">
      <c r="A2739" s="10"/>
      <c r="B2739" s="10"/>
    </row>
    <row r="2740" spans="1:2" ht="12.75">
      <c r="A2740" s="10"/>
      <c r="B2740" s="10"/>
    </row>
    <row r="2741" spans="1:2" ht="12.75">
      <c r="A2741" s="10"/>
      <c r="B2741" s="10"/>
    </row>
    <row r="2742" spans="1:2" ht="12.75">
      <c r="A2742" s="10"/>
      <c r="B2742" s="10"/>
    </row>
    <row r="2743" spans="1:2" ht="12.75">
      <c r="A2743" s="10"/>
      <c r="B2743" s="10"/>
    </row>
    <row r="2744" spans="1:2" ht="12.75">
      <c r="A2744" s="10"/>
      <c r="B2744" s="10"/>
    </row>
    <row r="2745" spans="1:2" ht="12.75">
      <c r="A2745" s="10"/>
      <c r="B2745" s="10"/>
    </row>
    <row r="2746" spans="1:2" ht="12.75">
      <c r="A2746" s="10"/>
      <c r="B2746" s="10"/>
    </row>
    <row r="2747" spans="1:2" ht="12.75">
      <c r="A2747" s="10"/>
      <c r="B2747" s="10"/>
    </row>
    <row r="2748" spans="1:2" ht="12.75">
      <c r="A2748" s="10"/>
      <c r="B2748" s="10"/>
    </row>
    <row r="2749" spans="1:2" ht="12.75">
      <c r="A2749" s="10"/>
      <c r="B2749" s="10"/>
    </row>
    <row r="2750" spans="1:2" ht="12.75">
      <c r="A2750" s="10"/>
      <c r="B2750" s="10"/>
    </row>
    <row r="2751" spans="1:2" ht="12.75">
      <c r="A2751" s="10"/>
      <c r="B2751" s="10"/>
    </row>
    <row r="2752" spans="1:2" ht="12.75">
      <c r="A2752" s="10"/>
      <c r="B2752" s="10"/>
    </row>
    <row r="2753" spans="1:2" ht="12.75">
      <c r="A2753" s="10"/>
      <c r="B2753" s="10"/>
    </row>
    <row r="2754" spans="1:2" ht="12.75">
      <c r="A2754" s="10"/>
      <c r="B2754" s="10"/>
    </row>
    <row r="2755" spans="1:2" ht="12.75">
      <c r="A2755" s="10"/>
      <c r="B2755" s="10"/>
    </row>
    <row r="2756" spans="1:2" ht="12.75">
      <c r="A2756" s="10"/>
      <c r="B2756" s="10"/>
    </row>
    <row r="2757" spans="1:2" ht="12.75">
      <c r="A2757" s="10"/>
      <c r="B2757" s="10"/>
    </row>
    <row r="2758" spans="1:2" ht="12.75">
      <c r="A2758" s="10"/>
      <c r="B2758" s="10"/>
    </row>
    <row r="2759" spans="1:2" ht="12.75">
      <c r="A2759" s="10"/>
      <c r="B2759" s="10"/>
    </row>
    <row r="2760" spans="1:2" ht="12.75">
      <c r="A2760" s="10"/>
      <c r="B2760" s="10"/>
    </row>
    <row r="2761" spans="1:2" ht="12.75">
      <c r="A2761" s="10"/>
      <c r="B2761" s="10"/>
    </row>
    <row r="2762" spans="1:2" ht="12.75">
      <c r="A2762" s="10"/>
      <c r="B2762" s="10"/>
    </row>
    <row r="2763" spans="1:2" ht="12.75">
      <c r="A2763" s="10"/>
      <c r="B2763" s="10"/>
    </row>
    <row r="2764" spans="1:2" ht="12.75">
      <c r="A2764" s="10"/>
      <c r="B2764" s="10"/>
    </row>
    <row r="2765" spans="1:2" ht="12.75">
      <c r="A2765" s="10"/>
      <c r="B2765" s="10"/>
    </row>
    <row r="2766" spans="1:2" ht="12.75">
      <c r="A2766" s="10"/>
      <c r="B2766" s="10"/>
    </row>
    <row r="2767" spans="1:2" ht="12.75">
      <c r="A2767" s="10"/>
      <c r="B2767" s="10"/>
    </row>
    <row r="2768" spans="1:2" ht="12.75">
      <c r="A2768" s="10"/>
      <c r="B2768" s="10"/>
    </row>
    <row r="2769" spans="1:2" ht="12.75">
      <c r="A2769" s="10"/>
      <c r="B2769" s="10"/>
    </row>
    <row r="2770" spans="1:2" ht="12.75">
      <c r="A2770" s="10"/>
      <c r="B2770" s="10"/>
    </row>
    <row r="2771" spans="1:2" ht="12.75">
      <c r="A2771" s="10"/>
      <c r="B2771" s="10"/>
    </row>
    <row r="2772" spans="1:2" ht="12.75">
      <c r="A2772" s="10"/>
      <c r="B2772" s="10"/>
    </row>
    <row r="2773" spans="1:2" ht="12.75">
      <c r="A2773" s="10"/>
      <c r="B2773" s="10"/>
    </row>
    <row r="2774" spans="1:2" ht="12.75">
      <c r="A2774" s="10"/>
      <c r="B2774" s="10"/>
    </row>
    <row r="2775" spans="1:2" ht="12.75">
      <c r="A2775" s="10"/>
      <c r="B2775" s="10"/>
    </row>
    <row r="2776" spans="1:2" ht="12.75">
      <c r="A2776" s="10"/>
      <c r="B2776" s="10"/>
    </row>
    <row r="2777" spans="1:2" ht="12.75">
      <c r="A2777" s="10"/>
      <c r="B2777" s="10"/>
    </row>
    <row r="2778" spans="1:2" ht="12.75">
      <c r="A2778" s="10"/>
      <c r="B2778" s="10"/>
    </row>
    <row r="2779" spans="1:2" ht="12.75">
      <c r="A2779" s="10"/>
      <c r="B2779" s="10"/>
    </row>
    <row r="2780" spans="1:2" ht="12.75">
      <c r="A2780" s="10"/>
      <c r="B2780" s="10"/>
    </row>
    <row r="2781" spans="1:2" ht="12.75">
      <c r="A2781" s="10"/>
      <c r="B2781" s="10"/>
    </row>
    <row r="2782" spans="1:2" ht="12.75">
      <c r="A2782" s="10"/>
      <c r="B2782" s="10"/>
    </row>
    <row r="2783" spans="1:2" ht="12.75">
      <c r="A2783" s="10"/>
      <c r="B2783" s="10"/>
    </row>
    <row r="2784" spans="1:2" ht="12.75">
      <c r="A2784" s="10"/>
      <c r="B2784" s="10"/>
    </row>
    <row r="2785" spans="1:2" ht="12.75">
      <c r="A2785" s="10"/>
      <c r="B2785" s="10"/>
    </row>
    <row r="2786" spans="1:2" ht="12.75">
      <c r="A2786" s="10"/>
      <c r="B2786" s="10"/>
    </row>
    <row r="2787" spans="1:2" ht="12.75">
      <c r="A2787" s="10"/>
      <c r="B2787" s="10"/>
    </row>
    <row r="2788" spans="1:2" ht="12.75">
      <c r="A2788" s="10"/>
      <c r="B2788" s="10"/>
    </row>
    <row r="2789" spans="1:2" ht="12.75">
      <c r="A2789" s="10"/>
      <c r="B2789" s="10"/>
    </row>
    <row r="2790" spans="1:2" ht="12.75">
      <c r="A2790" s="10"/>
      <c r="B2790" s="10"/>
    </row>
    <row r="2791" spans="1:2" ht="12.75">
      <c r="A2791" s="10"/>
      <c r="B2791" s="10"/>
    </row>
    <row r="2792" spans="1:2" ht="12.75">
      <c r="A2792" s="10"/>
      <c r="B2792" s="10"/>
    </row>
    <row r="2793" spans="1:2" ht="12.75">
      <c r="A2793" s="10"/>
      <c r="B2793" s="10"/>
    </row>
    <row r="2794" spans="1:2" ht="12.75">
      <c r="A2794" s="10"/>
      <c r="B2794" s="10"/>
    </row>
    <row r="2795" spans="1:2" ht="12.75">
      <c r="A2795" s="10"/>
      <c r="B2795" s="10"/>
    </row>
    <row r="2796" spans="1:2" ht="12.75">
      <c r="A2796" s="10"/>
      <c r="B2796" s="10"/>
    </row>
    <row r="2797" spans="1:2" ht="12.75">
      <c r="A2797" s="10"/>
      <c r="B2797" s="10"/>
    </row>
    <row r="2798" spans="1:2" ht="12.75">
      <c r="A2798" s="10"/>
      <c r="B2798" s="10"/>
    </row>
    <row r="2799" spans="1:2" ht="12.75">
      <c r="A2799" s="10"/>
      <c r="B2799" s="10"/>
    </row>
    <row r="2800" spans="1:2" ht="12.75">
      <c r="A2800" s="10"/>
      <c r="B2800" s="10"/>
    </row>
    <row r="2801" spans="1:2" ht="12.75">
      <c r="A2801" s="10"/>
      <c r="B2801" s="10"/>
    </row>
    <row r="2802" spans="1:2" ht="12.75">
      <c r="A2802" s="10"/>
      <c r="B2802" s="10"/>
    </row>
    <row r="2803" spans="1:2" ht="12.75">
      <c r="A2803" s="10"/>
      <c r="B2803" s="10"/>
    </row>
    <row r="2804" spans="1:2" ht="12.75">
      <c r="A2804" s="10"/>
      <c r="B2804" s="10"/>
    </row>
    <row r="2805" spans="1:2" ht="12.75">
      <c r="A2805" s="10"/>
      <c r="B2805" s="10"/>
    </row>
    <row r="2806" spans="1:2" ht="12.75">
      <c r="A2806" s="10"/>
      <c r="B2806" s="10"/>
    </row>
    <row r="2807" spans="1:2" ht="12.75">
      <c r="A2807" s="10"/>
      <c r="B2807" s="10"/>
    </row>
    <row r="2808" spans="1:2" ht="12.75">
      <c r="A2808" s="10"/>
      <c r="B2808" s="10"/>
    </row>
    <row r="2809" spans="1:2" ht="12.75">
      <c r="A2809" s="10"/>
      <c r="B2809" s="10"/>
    </row>
    <row r="2810" spans="1:2" ht="12.75">
      <c r="A2810" s="10"/>
      <c r="B2810" s="10"/>
    </row>
    <row r="2811" spans="1:2" ht="12.75">
      <c r="A2811" s="10"/>
      <c r="B2811" s="10"/>
    </row>
    <row r="2812" spans="1:2" ht="12.75">
      <c r="A2812" s="10"/>
      <c r="B2812" s="10"/>
    </row>
    <row r="2813" spans="1:2" ht="12.75">
      <c r="A2813" s="10"/>
      <c r="B2813" s="10"/>
    </row>
    <row r="2814" spans="1:2" ht="12.75">
      <c r="A2814" s="10"/>
      <c r="B2814" s="10"/>
    </row>
    <row r="2815" spans="1:2" ht="12.75">
      <c r="A2815" s="10"/>
      <c r="B2815" s="10"/>
    </row>
    <row r="2816" spans="1:2" ht="12.75">
      <c r="A2816" s="10"/>
      <c r="B2816" s="10"/>
    </row>
    <row r="2817" spans="1:2" ht="12.75">
      <c r="A2817" s="10"/>
      <c r="B2817" s="10"/>
    </row>
    <row r="2818" spans="1:2" ht="12.75">
      <c r="A2818" s="10"/>
      <c r="B2818" s="10"/>
    </row>
    <row r="2819" spans="1:2" ht="12.75">
      <c r="A2819" s="10"/>
      <c r="B2819" s="10"/>
    </row>
    <row r="2820" spans="1:2" ht="12.75">
      <c r="A2820" s="10"/>
      <c r="B2820" s="10"/>
    </row>
    <row r="2821" spans="1:2" ht="12.75">
      <c r="A2821" s="10"/>
      <c r="B2821" s="10"/>
    </row>
    <row r="2822" spans="1:2" ht="12.75">
      <c r="A2822" s="10"/>
      <c r="B2822" s="10"/>
    </row>
    <row r="2823" spans="1:2" ht="12.75">
      <c r="A2823" s="10"/>
      <c r="B2823" s="10"/>
    </row>
    <row r="2824" spans="1:2" ht="12.75">
      <c r="A2824" s="10"/>
      <c r="B2824" s="10"/>
    </row>
    <row r="2825" spans="1:2" ht="12.75">
      <c r="A2825" s="10"/>
      <c r="B2825" s="10"/>
    </row>
    <row r="2826" spans="1:2" ht="12.75">
      <c r="A2826" s="10"/>
      <c r="B2826" s="10"/>
    </row>
    <row r="2827" spans="1:2" ht="12.75">
      <c r="A2827" s="10"/>
      <c r="B2827" s="10"/>
    </row>
    <row r="2828" spans="1:2" ht="12.75">
      <c r="A2828" s="10"/>
      <c r="B2828" s="10"/>
    </row>
    <row r="2829" spans="1:2" ht="12.75">
      <c r="A2829" s="10"/>
      <c r="B2829" s="10"/>
    </row>
    <row r="2830" spans="1:2" ht="12.75">
      <c r="A2830" s="10"/>
      <c r="B2830" s="10"/>
    </row>
    <row r="2831" spans="1:2" ht="12.75">
      <c r="A2831" s="10"/>
      <c r="B2831" s="10"/>
    </row>
    <row r="2832" spans="1:2" ht="12.75">
      <c r="A2832" s="10"/>
      <c r="B2832" s="10"/>
    </row>
    <row r="2833" spans="1:2" ht="12.75">
      <c r="A2833" s="10"/>
      <c r="B2833" s="10"/>
    </row>
    <row r="2834" spans="1:2" ht="12.75">
      <c r="A2834" s="10"/>
      <c r="B2834" s="10"/>
    </row>
    <row r="2835" spans="1:2" ht="12.75">
      <c r="A2835" s="10"/>
      <c r="B2835" s="10"/>
    </row>
    <row r="2836" spans="1:2" ht="12.75">
      <c r="A2836" s="10"/>
      <c r="B2836" s="10"/>
    </row>
    <row r="2837" spans="1:2" ht="12.75">
      <c r="A2837" s="10"/>
      <c r="B2837" s="10"/>
    </row>
    <row r="2838" spans="1:2" ht="12.75">
      <c r="A2838" s="10"/>
      <c r="B2838" s="10"/>
    </row>
    <row r="2839" spans="1:2" ht="12.75">
      <c r="A2839" s="10"/>
      <c r="B2839" s="10"/>
    </row>
    <row r="2840" spans="1:2" ht="12.75">
      <c r="A2840" s="10"/>
      <c r="B2840" s="10"/>
    </row>
    <row r="2841" spans="1:2" ht="12.75">
      <c r="A2841" s="10"/>
      <c r="B2841" s="10"/>
    </row>
    <row r="2842" spans="1:2" ht="12.75">
      <c r="A2842" s="10"/>
      <c r="B2842" s="10"/>
    </row>
    <row r="2843" spans="1:2" ht="12.75">
      <c r="A2843" s="10"/>
      <c r="B2843" s="10"/>
    </row>
    <row r="2844" spans="1:2" ht="12.75">
      <c r="A2844" s="10"/>
      <c r="B2844" s="10"/>
    </row>
    <row r="2845" spans="1:2" ht="12.75">
      <c r="A2845" s="10"/>
      <c r="B2845" s="10"/>
    </row>
    <row r="2846" spans="1:2" ht="12.75">
      <c r="A2846" s="10"/>
      <c r="B2846" s="10"/>
    </row>
    <row r="2847" spans="1:2" ht="12.75">
      <c r="A2847" s="10"/>
      <c r="B2847" s="10"/>
    </row>
    <row r="2848" spans="1:2" ht="12.75">
      <c r="A2848" s="10"/>
      <c r="B2848" s="10"/>
    </row>
    <row r="2849" spans="1:2" ht="12.75">
      <c r="A2849" s="10"/>
      <c r="B2849" s="10"/>
    </row>
    <row r="2850" spans="1:2" ht="12.75">
      <c r="A2850" s="10"/>
      <c r="B2850" s="10"/>
    </row>
    <row r="2851" spans="1:2" ht="12.75">
      <c r="A2851" s="10"/>
      <c r="B2851" s="10"/>
    </row>
    <row r="2852" spans="1:2" ht="12.75">
      <c r="A2852" s="10"/>
      <c r="B2852" s="10"/>
    </row>
    <row r="2853" spans="1:2" ht="12.75">
      <c r="A2853" s="10"/>
      <c r="B2853" s="10"/>
    </row>
    <row r="2854" spans="1:2" ht="12.75">
      <c r="A2854" s="10"/>
      <c r="B2854" s="10"/>
    </row>
    <row r="2855" spans="1:2" ht="12.75">
      <c r="A2855" s="10"/>
      <c r="B2855" s="10"/>
    </row>
    <row r="2856" spans="1:2" ht="12.75">
      <c r="A2856" s="10"/>
      <c r="B2856" s="10"/>
    </row>
    <row r="2857" spans="1:2" ht="12.75">
      <c r="A2857" s="10"/>
      <c r="B2857" s="10"/>
    </row>
    <row r="2858" spans="1:2" ht="12.75">
      <c r="A2858" s="10"/>
      <c r="B2858" s="10"/>
    </row>
    <row r="2859" spans="1:2" ht="12.75">
      <c r="A2859" s="10"/>
      <c r="B2859" s="10"/>
    </row>
    <row r="2860" spans="1:2" ht="12.75">
      <c r="A2860" s="10"/>
      <c r="B2860" s="10"/>
    </row>
    <row r="2861" spans="1:2" ht="12.75">
      <c r="A2861" s="10"/>
      <c r="B2861" s="10"/>
    </row>
    <row r="2862" spans="1:2" ht="12.75">
      <c r="A2862" s="10"/>
      <c r="B2862" s="10"/>
    </row>
    <row r="2863" spans="1:2" ht="12.75">
      <c r="A2863" s="10"/>
      <c r="B2863" s="10"/>
    </row>
    <row r="2864" spans="1:2" ht="12.75">
      <c r="A2864" s="10"/>
      <c r="B2864" s="10"/>
    </row>
    <row r="2865" spans="1:2" ht="12.75">
      <c r="A2865" s="10"/>
      <c r="B2865" s="10"/>
    </row>
    <row r="2866" spans="1:2" ht="12.75">
      <c r="A2866" s="10"/>
      <c r="B2866" s="10"/>
    </row>
    <row r="2867" spans="1:2" ht="12.75">
      <c r="A2867" s="10"/>
      <c r="B2867" s="10"/>
    </row>
    <row r="2868" spans="1:2" ht="12.75">
      <c r="A2868" s="10"/>
      <c r="B2868" s="10"/>
    </row>
    <row r="2869" spans="1:2" ht="12.75">
      <c r="A2869" s="10"/>
      <c r="B2869" s="10"/>
    </row>
    <row r="2870" spans="1:2" ht="12.75">
      <c r="A2870" s="10"/>
      <c r="B2870" s="10"/>
    </row>
    <row r="2871" spans="1:2" ht="12.75">
      <c r="A2871" s="10"/>
      <c r="B2871" s="10"/>
    </row>
    <row r="2872" spans="1:2" ht="12.75">
      <c r="A2872" s="10"/>
      <c r="B2872" s="10"/>
    </row>
    <row r="2873" spans="1:2" ht="12.75">
      <c r="A2873" s="10"/>
      <c r="B2873" s="10"/>
    </row>
    <row r="2874" spans="1:2" ht="12.75">
      <c r="A2874" s="10"/>
      <c r="B2874" s="10"/>
    </row>
    <row r="2875" spans="1:2" ht="12.75">
      <c r="A2875" s="10"/>
      <c r="B2875" s="10"/>
    </row>
    <row r="2876" spans="1:2" ht="12.75">
      <c r="A2876" s="10"/>
      <c r="B2876" s="10"/>
    </row>
    <row r="2877" spans="1:2" ht="12.75">
      <c r="A2877" s="10"/>
      <c r="B2877" s="10"/>
    </row>
    <row r="2878" spans="1:2" ht="12.75">
      <c r="A2878" s="10"/>
      <c r="B2878" s="10"/>
    </row>
    <row r="2879" spans="1:2" ht="12.75">
      <c r="A2879" s="10"/>
      <c r="B2879" s="10"/>
    </row>
    <row r="2880" spans="1:2" ht="12.75">
      <c r="A2880" s="10"/>
      <c r="B2880" s="10"/>
    </row>
    <row r="2881" spans="1:2" ht="12.75">
      <c r="A2881" s="10"/>
      <c r="B2881" s="10"/>
    </row>
    <row r="2882" spans="1:2" ht="12.75">
      <c r="A2882" s="10"/>
      <c r="B2882" s="10"/>
    </row>
    <row r="2883" spans="1:2" ht="12.75">
      <c r="A2883" s="10"/>
      <c r="B2883" s="10"/>
    </row>
    <row r="2884" spans="1:2" ht="12.75">
      <c r="A2884" s="10"/>
      <c r="B2884" s="10"/>
    </row>
    <row r="2885" spans="1:2" ht="12.75">
      <c r="A2885" s="10"/>
      <c r="B2885" s="10"/>
    </row>
    <row r="2886" spans="1:2" ht="12.75">
      <c r="A2886" s="10"/>
      <c r="B2886" s="10"/>
    </row>
    <row r="2887" spans="1:2" ht="12.75">
      <c r="A2887" s="10"/>
      <c r="B2887" s="10"/>
    </row>
    <row r="2888" spans="1:2" ht="12.75">
      <c r="A2888" s="10"/>
      <c r="B2888" s="10"/>
    </row>
    <row r="2889" spans="1:2" ht="12.75">
      <c r="A2889" s="10"/>
      <c r="B2889" s="10"/>
    </row>
    <row r="2890" spans="1:2" ht="12.75">
      <c r="A2890" s="10"/>
      <c r="B2890" s="10"/>
    </row>
    <row r="2891" spans="1:2" ht="12.75">
      <c r="A2891" s="10"/>
      <c r="B2891" s="10"/>
    </row>
    <row r="2892" spans="1:2" ht="12.75">
      <c r="A2892" s="10"/>
      <c r="B2892" s="10"/>
    </row>
    <row r="2893" spans="1:2" ht="12.75">
      <c r="A2893" s="10"/>
      <c r="B2893" s="10"/>
    </row>
    <row r="2894" spans="1:2" ht="12.75">
      <c r="A2894" s="10"/>
      <c r="B2894" s="10"/>
    </row>
    <row r="2895" spans="1:2" ht="12.75">
      <c r="A2895" s="10"/>
      <c r="B2895" s="10"/>
    </row>
    <row r="2896" spans="1:2" ht="12.75">
      <c r="A2896" s="10"/>
      <c r="B2896" s="10"/>
    </row>
    <row r="2897" spans="1:2" ht="12.75">
      <c r="A2897" s="10"/>
      <c r="B2897" s="10"/>
    </row>
    <row r="2898" spans="1:2" ht="12.75">
      <c r="A2898" s="10"/>
      <c r="B2898" s="10"/>
    </row>
    <row r="2899" spans="1:2" ht="12.75">
      <c r="A2899" s="10"/>
      <c r="B2899" s="10"/>
    </row>
    <row r="2900" spans="1:2" ht="12.75">
      <c r="A2900" s="10"/>
      <c r="B2900" s="10"/>
    </row>
    <row r="2901" spans="1:2" ht="12.75">
      <c r="A2901" s="10"/>
      <c r="B2901" s="10"/>
    </row>
    <row r="2902" spans="1:2" ht="12.75">
      <c r="A2902" s="10"/>
      <c r="B2902" s="10"/>
    </row>
    <row r="2903" spans="1:2" ht="12.75">
      <c r="A2903" s="10"/>
      <c r="B2903" s="10"/>
    </row>
    <row r="2904" spans="1:2" ht="12.75">
      <c r="A2904" s="10"/>
      <c r="B2904" s="10"/>
    </row>
    <row r="2905" spans="1:2" ht="12.75">
      <c r="A2905" s="10"/>
      <c r="B2905" s="10"/>
    </row>
    <row r="2906" spans="1:2" ht="12.75">
      <c r="A2906" s="10"/>
      <c r="B2906" s="10"/>
    </row>
    <row r="2907" spans="1:2" ht="12.75">
      <c r="A2907" s="10"/>
      <c r="B2907" s="10"/>
    </row>
    <row r="2908" spans="1:2" ht="12.75">
      <c r="A2908" s="10"/>
      <c r="B2908" s="10"/>
    </row>
    <row r="2909" spans="1:2" ht="12.75">
      <c r="A2909" s="10"/>
      <c r="B2909" s="10"/>
    </row>
    <row r="2910" spans="1:2" ht="12.75">
      <c r="A2910" s="10"/>
      <c r="B2910" s="10"/>
    </row>
    <row r="2911" spans="1:2" ht="12.75">
      <c r="A2911" s="10"/>
      <c r="B2911" s="10"/>
    </row>
    <row r="2912" spans="1:2" ht="12.75">
      <c r="A2912" s="10"/>
      <c r="B2912" s="10"/>
    </row>
    <row r="2913" spans="1:2" ht="12.75">
      <c r="A2913" s="10"/>
      <c r="B2913" s="10"/>
    </row>
    <row r="2914" spans="1:2" ht="12.75">
      <c r="A2914" s="10"/>
      <c r="B2914" s="10"/>
    </row>
    <row r="2915" spans="1:2" ht="12.75">
      <c r="A2915" s="10"/>
      <c r="B2915" s="10"/>
    </row>
    <row r="2916" spans="1:2" ht="12.75">
      <c r="A2916" s="10"/>
      <c r="B2916" s="10"/>
    </row>
    <row r="2917" spans="1:2" ht="12.75">
      <c r="A2917" s="10"/>
      <c r="B2917" s="10"/>
    </row>
    <row r="2918" spans="1:2" ht="12.75">
      <c r="A2918" s="10"/>
      <c r="B2918" s="10"/>
    </row>
    <row r="2919" spans="1:2" ht="12.75">
      <c r="A2919" s="10"/>
      <c r="B2919" s="10"/>
    </row>
    <row r="2920" spans="1:2" ht="12.75">
      <c r="A2920" s="10"/>
      <c r="B2920" s="10"/>
    </row>
    <row r="2921" spans="1:2" ht="12.75">
      <c r="A2921" s="10"/>
      <c r="B2921" s="10"/>
    </row>
    <row r="2922" spans="1:2" ht="12.75">
      <c r="A2922" s="10"/>
      <c r="B2922" s="10"/>
    </row>
    <row r="2923" spans="1:2" ht="12.75">
      <c r="A2923" s="10"/>
      <c r="B2923" s="10"/>
    </row>
    <row r="2924" spans="1:2" ht="12.75">
      <c r="A2924" s="10"/>
      <c r="B2924" s="10"/>
    </row>
    <row r="2925" spans="1:2" ht="12.75">
      <c r="A2925" s="10"/>
      <c r="B2925" s="10"/>
    </row>
    <row r="2926" spans="1:2" ht="12.75">
      <c r="A2926" s="10"/>
      <c r="B2926" s="10"/>
    </row>
    <row r="2927" spans="1:2" ht="12.75">
      <c r="A2927" s="10"/>
      <c r="B2927" s="10"/>
    </row>
    <row r="2928" spans="1:2" ht="12.75">
      <c r="A2928" s="10"/>
      <c r="B2928" s="10"/>
    </row>
    <row r="2929" spans="1:2" ht="12.75">
      <c r="A2929" s="10"/>
      <c r="B2929" s="10"/>
    </row>
    <row r="2930" spans="1:2" ht="12.75">
      <c r="A2930" s="10"/>
      <c r="B2930" s="10"/>
    </row>
    <row r="2931" spans="1:2" ht="12.75">
      <c r="A2931" s="10"/>
      <c r="B2931" s="10"/>
    </row>
    <row r="2932" spans="1:2" ht="12.75">
      <c r="A2932" s="10"/>
      <c r="B2932" s="10"/>
    </row>
    <row r="2933" spans="1:2" ht="12.75">
      <c r="A2933" s="10"/>
      <c r="B2933" s="10"/>
    </row>
    <row r="2934" spans="1:2" ht="12.75">
      <c r="A2934" s="10"/>
      <c r="B2934" s="10"/>
    </row>
    <row r="2935" spans="1:2" ht="12.75">
      <c r="A2935" s="10"/>
      <c r="B2935" s="10"/>
    </row>
    <row r="2936" spans="1:2" ht="12.75">
      <c r="A2936" s="10"/>
      <c r="B2936" s="10"/>
    </row>
    <row r="2937" spans="1:2" ht="12.75">
      <c r="A2937" s="10"/>
      <c r="B2937" s="10"/>
    </row>
    <row r="2938" spans="1:2" ht="12.75">
      <c r="A2938" s="10"/>
      <c r="B2938" s="10"/>
    </row>
    <row r="2939" spans="1:2" ht="12.75">
      <c r="A2939" s="10"/>
      <c r="B2939" s="10"/>
    </row>
    <row r="2940" spans="1:2" ht="12.75">
      <c r="A2940" s="10"/>
      <c r="B2940" s="10"/>
    </row>
    <row r="2941" spans="1:2" ht="12.75">
      <c r="A2941" s="10"/>
      <c r="B2941" s="10"/>
    </row>
    <row r="2942" spans="1:2" ht="12.75">
      <c r="A2942" s="10"/>
      <c r="B2942" s="10"/>
    </row>
    <row r="2943" spans="1:2" ht="12.75">
      <c r="A2943" s="10"/>
      <c r="B2943" s="10"/>
    </row>
    <row r="2944" spans="1:2" ht="12.75">
      <c r="A2944" s="10"/>
      <c r="B2944" s="10"/>
    </row>
    <row r="2945" spans="1:2" ht="12.75">
      <c r="A2945" s="10"/>
      <c r="B2945" s="10"/>
    </row>
    <row r="2946" spans="1:2" ht="12.75">
      <c r="A2946" s="10"/>
      <c r="B2946" s="10"/>
    </row>
    <row r="2947" spans="1:2" ht="12.75">
      <c r="A2947" s="10"/>
      <c r="B2947" s="10"/>
    </row>
    <row r="2948" spans="1:2" ht="12.75">
      <c r="A2948" s="10"/>
      <c r="B2948" s="10"/>
    </row>
    <row r="2949" spans="1:2" ht="12.75">
      <c r="A2949" s="10"/>
      <c r="B2949" s="10"/>
    </row>
    <row r="2950" spans="1:2" ht="12.75">
      <c r="A2950" s="10"/>
      <c r="B2950" s="10"/>
    </row>
    <row r="2951" spans="1:2" ht="12.75">
      <c r="A2951" s="10"/>
      <c r="B2951" s="10"/>
    </row>
    <row r="2952" spans="1:2" ht="12.75">
      <c r="A2952" s="10"/>
      <c r="B2952" s="10"/>
    </row>
    <row r="2953" spans="1:2" ht="12.75">
      <c r="A2953" s="10"/>
      <c r="B2953" s="10"/>
    </row>
    <row r="2954" spans="1:2" ht="12.75">
      <c r="A2954" s="10"/>
      <c r="B2954" s="10"/>
    </row>
    <row r="2955" spans="1:2" ht="12.75">
      <c r="A2955" s="10"/>
      <c r="B2955" s="10"/>
    </row>
    <row r="2956" spans="1:2" ht="12.75">
      <c r="A2956" s="10"/>
      <c r="B2956" s="10"/>
    </row>
    <row r="2957" spans="1:2" ht="12.75">
      <c r="A2957" s="10"/>
      <c r="B2957" s="10"/>
    </row>
    <row r="2958" spans="1:2" ht="12.75">
      <c r="A2958" s="10"/>
      <c r="B2958" s="10"/>
    </row>
    <row r="2959" spans="1:2" ht="12.75">
      <c r="A2959" s="10"/>
      <c r="B2959" s="10"/>
    </row>
    <row r="2960" spans="1:2" ht="12.75">
      <c r="A2960" s="10"/>
      <c r="B2960" s="10"/>
    </row>
    <row r="2961" spans="1:2" ht="12.75">
      <c r="A2961" s="10"/>
      <c r="B2961" s="10"/>
    </row>
    <row r="2962" spans="1:2" ht="12.75">
      <c r="A2962" s="10"/>
      <c r="B2962" s="10"/>
    </row>
    <row r="2963" spans="1:2" ht="12.75">
      <c r="A2963" s="10"/>
      <c r="B2963" s="10"/>
    </row>
    <row r="2964" spans="1:2" ht="12.75">
      <c r="A2964" s="10"/>
      <c r="B2964" s="10"/>
    </row>
    <row r="2965" spans="1:2" ht="12.75">
      <c r="A2965" s="10"/>
      <c r="B2965" s="10"/>
    </row>
    <row r="2966" spans="1:2" ht="12.75">
      <c r="A2966" s="10"/>
      <c r="B2966" s="10"/>
    </row>
    <row r="2967" spans="1:2" ht="12.75">
      <c r="A2967" s="10"/>
      <c r="B2967" s="10"/>
    </row>
    <row r="2968" spans="1:2" ht="12.75">
      <c r="A2968" s="10"/>
      <c r="B2968" s="10"/>
    </row>
    <row r="2969" spans="1:2" ht="12.75">
      <c r="A2969" s="10"/>
      <c r="B2969" s="10"/>
    </row>
    <row r="2970" spans="1:2" ht="12.75">
      <c r="A2970" s="10"/>
      <c r="B2970" s="10"/>
    </row>
    <row r="2971" spans="1:2" ht="12.75">
      <c r="A2971" s="10"/>
      <c r="B2971" s="10"/>
    </row>
    <row r="2972" spans="1:2" ht="12.75">
      <c r="A2972" s="10"/>
      <c r="B2972" s="10"/>
    </row>
    <row r="2973" spans="1:2" ht="12.75">
      <c r="A2973" s="10"/>
      <c r="B2973" s="10"/>
    </row>
    <row r="2974" spans="1:2" ht="12.75">
      <c r="A2974" s="10"/>
      <c r="B2974" s="10"/>
    </row>
    <row r="2975" spans="1:2" ht="12.75">
      <c r="A2975" s="10"/>
      <c r="B2975" s="10"/>
    </row>
    <row r="2976" spans="1:2" ht="12.75">
      <c r="A2976" s="10"/>
      <c r="B2976" s="10"/>
    </row>
    <row r="2977" spans="1:2" ht="12.75">
      <c r="A2977" s="10"/>
      <c r="B2977" s="10"/>
    </row>
    <row r="2978" spans="1:2" ht="12.75">
      <c r="A2978" s="10"/>
      <c r="B2978" s="10"/>
    </row>
    <row r="2979" spans="1:2" ht="12.75">
      <c r="A2979" s="10"/>
      <c r="B2979" s="10"/>
    </row>
    <row r="2980" spans="1:2" ht="12.75">
      <c r="A2980" s="10"/>
      <c r="B2980" s="10"/>
    </row>
    <row r="2981" spans="1:2" ht="12.75">
      <c r="A2981" s="10"/>
      <c r="B2981" s="10"/>
    </row>
    <row r="2982" spans="1:2" ht="12.75">
      <c r="A2982" s="10"/>
      <c r="B2982" s="10"/>
    </row>
    <row r="2983" spans="1:2" ht="12.75">
      <c r="A2983" s="10"/>
      <c r="B2983" s="10"/>
    </row>
    <row r="2984" spans="1:2" ht="12.75">
      <c r="A2984" s="10"/>
      <c r="B2984" s="10"/>
    </row>
    <row r="2985" spans="1:2" ht="12.75">
      <c r="A2985" s="10"/>
      <c r="B2985" s="10"/>
    </row>
    <row r="2986" spans="1:2" ht="12.75">
      <c r="A2986" s="10"/>
      <c r="B2986" s="10"/>
    </row>
    <row r="2987" spans="1:2" ht="12.75">
      <c r="A2987" s="10"/>
      <c r="B2987" s="10"/>
    </row>
    <row r="2988" spans="1:2" ht="12.75">
      <c r="A2988" s="10"/>
      <c r="B2988" s="10"/>
    </row>
    <row r="2989" spans="1:2" ht="12.75">
      <c r="A2989" s="10"/>
      <c r="B2989" s="10"/>
    </row>
    <row r="2990" spans="1:2" ht="12.75">
      <c r="A2990" s="10"/>
      <c r="B2990" s="10"/>
    </row>
    <row r="2991" spans="1:2" ht="12.75">
      <c r="A2991" s="10"/>
      <c r="B2991" s="10"/>
    </row>
    <row r="2992" spans="1:2" ht="12.75">
      <c r="A2992" s="10"/>
      <c r="B2992" s="10"/>
    </row>
    <row r="2993" spans="1:2" ht="12.75">
      <c r="A2993" s="10"/>
      <c r="B2993" s="10"/>
    </row>
    <row r="2994" spans="1:2" ht="12.75">
      <c r="A2994" s="10"/>
      <c r="B2994" s="10"/>
    </row>
    <row r="2995" spans="1:2" ht="12.75">
      <c r="A2995" s="10"/>
      <c r="B2995" s="10"/>
    </row>
    <row r="2996" spans="1:2" ht="12.75">
      <c r="A2996" s="10"/>
      <c r="B2996" s="10"/>
    </row>
    <row r="2997" spans="1:2" ht="12.75">
      <c r="A2997" s="10"/>
      <c r="B2997" s="10"/>
    </row>
    <row r="2998" spans="1:2" ht="12.75">
      <c r="A2998" s="10"/>
      <c r="B2998" s="10"/>
    </row>
    <row r="2999" spans="1:2" ht="12.75">
      <c r="A2999" s="10"/>
      <c r="B2999" s="10"/>
    </row>
    <row r="3000" spans="1:2" ht="12.75">
      <c r="A3000" s="10"/>
      <c r="B3000" s="10"/>
    </row>
    <row r="3001" spans="1:2" ht="12.75">
      <c r="A3001" s="10"/>
      <c r="B3001" s="10"/>
    </row>
    <row r="3002" spans="1:2" ht="12.75">
      <c r="A3002" s="10"/>
      <c r="B3002" s="10"/>
    </row>
    <row r="3003" spans="1:2" ht="12.75">
      <c r="A3003" s="10"/>
      <c r="B3003" s="10"/>
    </row>
    <row r="3004" spans="1:2" ht="12.75">
      <c r="A3004" s="10"/>
      <c r="B3004" s="10"/>
    </row>
    <row r="3005" spans="1:2" ht="12.75">
      <c r="A3005" s="10"/>
      <c r="B3005" s="10"/>
    </row>
    <row r="3006" spans="1:2" ht="12.75">
      <c r="A3006" s="10"/>
      <c r="B3006" s="10"/>
    </row>
    <row r="3007" spans="1:2" ht="12.75">
      <c r="A3007" s="10"/>
      <c r="B3007" s="10"/>
    </row>
    <row r="3008" spans="1:2" ht="12.75">
      <c r="A3008" s="10"/>
      <c r="B3008" s="10"/>
    </row>
    <row r="3009" spans="1:2" ht="12.75">
      <c r="A3009" s="10"/>
      <c r="B3009" s="10"/>
    </row>
    <row r="3010" spans="1:2" ht="12.75">
      <c r="A3010" s="10"/>
      <c r="B3010" s="10"/>
    </row>
    <row r="3011" spans="1:2" ht="12.75">
      <c r="A3011" s="10"/>
      <c r="B3011" s="10"/>
    </row>
    <row r="3012" spans="1:2" ht="12.75">
      <c r="A3012" s="10"/>
      <c r="B3012" s="10"/>
    </row>
    <row r="3013" spans="1:2" ht="12.75">
      <c r="A3013" s="10"/>
      <c r="B3013" s="10"/>
    </row>
    <row r="3014" spans="1:2" ht="12.75">
      <c r="A3014" s="10"/>
      <c r="B3014" s="10"/>
    </row>
    <row r="3015" spans="1:2" ht="12.75">
      <c r="A3015" s="10"/>
      <c r="B3015" s="10"/>
    </row>
    <row r="3016" spans="1:2" ht="12.75">
      <c r="A3016" s="10"/>
      <c r="B3016" s="10"/>
    </row>
    <row r="3017" spans="1:2" ht="12.75">
      <c r="A3017" s="10"/>
      <c r="B3017" s="10"/>
    </row>
    <row r="3018" spans="1:2" ht="12.75">
      <c r="A3018" s="10"/>
      <c r="B3018" s="10"/>
    </row>
    <row r="3019" spans="1:2" ht="12.75">
      <c r="A3019" s="10"/>
      <c r="B3019" s="10"/>
    </row>
    <row r="3020" spans="1:2" ht="12.75">
      <c r="A3020" s="10"/>
      <c r="B3020" s="10"/>
    </row>
    <row r="3021" spans="1:2" ht="12.75">
      <c r="A3021" s="10"/>
      <c r="B3021" s="10"/>
    </row>
    <row r="3022" spans="1:2" ht="12.75">
      <c r="A3022" s="10"/>
      <c r="B3022" s="10"/>
    </row>
    <row r="3023" spans="1:2" ht="12.75">
      <c r="A3023" s="10"/>
      <c r="B3023" s="10"/>
    </row>
    <row r="3024" spans="1:2" ht="12.75">
      <c r="A3024" s="10"/>
      <c r="B3024" s="10"/>
    </row>
    <row r="3025" spans="1:2" ht="12.75">
      <c r="A3025" s="10"/>
      <c r="B3025" s="10"/>
    </row>
    <row r="3026" spans="1:2" ht="12.75">
      <c r="A3026" s="10"/>
      <c r="B3026" s="10"/>
    </row>
    <row r="3027" spans="1:2" ht="12.75">
      <c r="A3027" s="10"/>
      <c r="B3027" s="10"/>
    </row>
    <row r="3028" spans="1:2" ht="12.75">
      <c r="A3028" s="10"/>
      <c r="B3028" s="10"/>
    </row>
    <row r="3029" spans="1:2" ht="12.75">
      <c r="A3029" s="10"/>
      <c r="B3029" s="10"/>
    </row>
    <row r="3030" spans="1:2" ht="12.75">
      <c r="A3030" s="10"/>
      <c r="B3030" s="10"/>
    </row>
    <row r="3031" spans="1:2" ht="12.75">
      <c r="A3031" s="10"/>
      <c r="B3031" s="10"/>
    </row>
    <row r="3032" spans="1:2" ht="12.75">
      <c r="A3032" s="10"/>
      <c r="B3032" s="10"/>
    </row>
    <row r="3033" spans="1:2" ht="12.75">
      <c r="A3033" s="10"/>
      <c r="B3033" s="10"/>
    </row>
    <row r="3034" spans="1:2" ht="12.75">
      <c r="A3034" s="10"/>
      <c r="B3034" s="10"/>
    </row>
    <row r="3035" spans="1:2" ht="12.75">
      <c r="A3035" s="10"/>
      <c r="B3035" s="10"/>
    </row>
    <row r="3036" spans="1:2" ht="12.75">
      <c r="A3036" s="10"/>
      <c r="B3036" s="10"/>
    </row>
    <row r="3037" spans="1:2" ht="12.75">
      <c r="A3037" s="10"/>
      <c r="B3037" s="10"/>
    </row>
    <row r="3038" spans="1:2" ht="12.75">
      <c r="A3038" s="10"/>
      <c r="B3038" s="10"/>
    </row>
    <row r="3039" spans="1:2" ht="12.75">
      <c r="A3039" s="10"/>
      <c r="B3039" s="10"/>
    </row>
    <row r="3040" spans="1:2" ht="12.75">
      <c r="A3040" s="10"/>
      <c r="B3040" s="10"/>
    </row>
    <row r="3041" spans="1:2" ht="12.75">
      <c r="A3041" s="10"/>
      <c r="B3041" s="10"/>
    </row>
    <row r="3042" spans="1:2" ht="12.75">
      <c r="A3042" s="10"/>
      <c r="B3042" s="10"/>
    </row>
    <row r="3043" spans="1:2" ht="12.75">
      <c r="A3043" s="10"/>
      <c r="B3043" s="10"/>
    </row>
    <row r="3044" spans="1:2" ht="12.75">
      <c r="A3044" s="10"/>
      <c r="B3044" s="10"/>
    </row>
    <row r="3045" spans="1:2" ht="12.75">
      <c r="A3045" s="10"/>
      <c r="B3045" s="10"/>
    </row>
    <row r="3046" spans="1:2" ht="12.75">
      <c r="A3046" s="10"/>
      <c r="B3046" s="10"/>
    </row>
    <row r="3047" spans="1:2" ht="12.75">
      <c r="A3047" s="10"/>
      <c r="B3047" s="10"/>
    </row>
    <row r="3048" spans="1:2" ht="12.75">
      <c r="A3048" s="10"/>
      <c r="B3048" s="10"/>
    </row>
    <row r="3049" spans="1:2" ht="12.75">
      <c r="A3049" s="10"/>
      <c r="B3049" s="10"/>
    </row>
    <row r="3050" spans="1:2" ht="12.75">
      <c r="A3050" s="10"/>
      <c r="B3050" s="10"/>
    </row>
    <row r="3051" spans="1:2" ht="12.75">
      <c r="A3051" s="10"/>
      <c r="B3051" s="10"/>
    </row>
    <row r="3052" spans="1:2" ht="12.75">
      <c r="A3052" s="10"/>
      <c r="B3052" s="10"/>
    </row>
    <row r="3053" spans="1:2" ht="12.75">
      <c r="A3053" s="10"/>
      <c r="B3053" s="10"/>
    </row>
    <row r="3054" spans="1:2" ht="12.75">
      <c r="A3054" s="10"/>
      <c r="B3054" s="10"/>
    </row>
    <row r="3055" spans="1:2" ht="12.75">
      <c r="A3055" s="10"/>
      <c r="B3055" s="10"/>
    </row>
    <row r="3056" spans="1:2" ht="12.75">
      <c r="A3056" s="10"/>
      <c r="B3056" s="10"/>
    </row>
    <row r="3057" spans="1:2" ht="12.75">
      <c r="A3057" s="10"/>
      <c r="B3057" s="10"/>
    </row>
    <row r="3058" spans="1:2" ht="12.75">
      <c r="A3058" s="10"/>
      <c r="B3058" s="10"/>
    </row>
    <row r="3059" spans="1:2" ht="12.75">
      <c r="A3059" s="10"/>
      <c r="B3059" s="10"/>
    </row>
    <row r="3060" spans="1:2" ht="12.75">
      <c r="A3060" s="10"/>
      <c r="B3060" s="10"/>
    </row>
    <row r="3061" spans="1:2" ht="12.75">
      <c r="A3061" s="10"/>
      <c r="B3061" s="10"/>
    </row>
    <row r="3062" spans="1:2" ht="12.75">
      <c r="A3062" s="10"/>
      <c r="B3062" s="10"/>
    </row>
    <row r="3063" spans="1:2" ht="12.75">
      <c r="A3063" s="10"/>
      <c r="B3063" s="10"/>
    </row>
    <row r="3064" spans="1:2" ht="12.75">
      <c r="A3064" s="10"/>
      <c r="B3064" s="10"/>
    </row>
    <row r="3065" spans="1:2" ht="12.75">
      <c r="A3065" s="10"/>
      <c r="B3065" s="10"/>
    </row>
    <row r="3066" spans="1:2" ht="12.75">
      <c r="A3066" s="10"/>
      <c r="B3066" s="10"/>
    </row>
    <row r="3067" spans="1:2" ht="12.75">
      <c r="A3067" s="10"/>
      <c r="B3067" s="10"/>
    </row>
    <row r="3068" spans="1:2" ht="12.75">
      <c r="A3068" s="10"/>
      <c r="B3068" s="10"/>
    </row>
    <row r="3069" spans="1:2" ht="12.75">
      <c r="A3069" s="10"/>
      <c r="B3069" s="10"/>
    </row>
    <row r="3070" spans="1:2" ht="12.75">
      <c r="A3070" s="10"/>
      <c r="B3070" s="10"/>
    </row>
    <row r="3071" spans="1:2" ht="12.75">
      <c r="A3071" s="10"/>
      <c r="B3071" s="10"/>
    </row>
    <row r="3072" spans="1:2" ht="12.75">
      <c r="A3072" s="10"/>
      <c r="B3072" s="10"/>
    </row>
    <row r="3073" spans="1:2" ht="12.75">
      <c r="A3073" s="10"/>
      <c r="B3073" s="10"/>
    </row>
    <row r="3074" spans="1:2" ht="12.75">
      <c r="A3074" s="10"/>
      <c r="B3074" s="10"/>
    </row>
    <row r="3075" spans="1:2" ht="12.75">
      <c r="A3075" s="10"/>
      <c r="B3075" s="10"/>
    </row>
    <row r="3076" spans="1:2" ht="12.75">
      <c r="A3076" s="10"/>
      <c r="B3076" s="10"/>
    </row>
    <row r="3077" spans="1:2" ht="12.75">
      <c r="A3077" s="10"/>
      <c r="B3077" s="10"/>
    </row>
    <row r="3078" spans="1:2" ht="12.75">
      <c r="A3078" s="10"/>
      <c r="B3078" s="10"/>
    </row>
    <row r="3079" spans="1:2" ht="12.75">
      <c r="A3079" s="10"/>
      <c r="B3079" s="10"/>
    </row>
    <row r="3080" spans="1:2" ht="12.75">
      <c r="A3080" s="10"/>
      <c r="B3080" s="10"/>
    </row>
    <row r="3081" spans="1:2" ht="12.75">
      <c r="A3081" s="10"/>
      <c r="B3081" s="10"/>
    </row>
    <row r="3082" spans="1:2" ht="12.75">
      <c r="A3082" s="10"/>
      <c r="B3082" s="10"/>
    </row>
    <row r="3083" spans="1:2" ht="12.75">
      <c r="A3083" s="10"/>
      <c r="B3083" s="10"/>
    </row>
    <row r="3084" spans="1:2" ht="12.75">
      <c r="A3084" s="10"/>
      <c r="B3084" s="10"/>
    </row>
    <row r="3085" spans="1:2" ht="12.75">
      <c r="A3085" s="10"/>
      <c r="B3085" s="10"/>
    </row>
    <row r="3086" spans="1:2" ht="12.75">
      <c r="A3086" s="10"/>
      <c r="B3086" s="10"/>
    </row>
    <row r="3087" spans="1:2" ht="12.75">
      <c r="A3087" s="10"/>
      <c r="B3087" s="10"/>
    </row>
    <row r="3088" spans="1:2" ht="12.75">
      <c r="A3088" s="10"/>
      <c r="B3088" s="10"/>
    </row>
    <row r="3089" spans="1:2" ht="12.75">
      <c r="A3089" s="10"/>
      <c r="B3089" s="10"/>
    </row>
    <row r="3090" spans="1:2" ht="12.75">
      <c r="A3090" s="10"/>
      <c r="B3090" s="10"/>
    </row>
    <row r="3091" spans="1:2" ht="12.75">
      <c r="A3091" s="10"/>
      <c r="B3091" s="10"/>
    </row>
    <row r="3092" spans="1:2" ht="12.75">
      <c r="A3092" s="10"/>
      <c r="B3092" s="10"/>
    </row>
    <row r="3093" spans="1:2" ht="12.75">
      <c r="A3093" s="10"/>
      <c r="B3093" s="10"/>
    </row>
    <row r="3094" spans="1:2" ht="12.75">
      <c r="A3094" s="10"/>
      <c r="B3094" s="10"/>
    </row>
    <row r="3095" spans="1:2" ht="12.75">
      <c r="A3095" s="10"/>
      <c r="B3095" s="10"/>
    </row>
    <row r="3096" spans="1:2" ht="12.75">
      <c r="A3096" s="10"/>
      <c r="B3096" s="10"/>
    </row>
    <row r="3097" spans="1:2" ht="12.75">
      <c r="A3097" s="10"/>
      <c r="B3097" s="10"/>
    </row>
    <row r="3098" spans="1:2" ht="12.75">
      <c r="A3098" s="10"/>
      <c r="B3098" s="10"/>
    </row>
    <row r="3099" spans="1:2" ht="12.75">
      <c r="A3099" s="10"/>
      <c r="B3099" s="10"/>
    </row>
    <row r="3100" spans="1:2" ht="12.75">
      <c r="A3100" s="10"/>
      <c r="B3100" s="10"/>
    </row>
    <row r="3101" spans="1:2" ht="12.75">
      <c r="A3101" s="10"/>
      <c r="B3101" s="10"/>
    </row>
    <row r="3102" spans="1:2" ht="12.75">
      <c r="A3102" s="10"/>
      <c r="B3102" s="10"/>
    </row>
    <row r="3103" spans="1:2" ht="12.75">
      <c r="A3103" s="10"/>
      <c r="B3103" s="10"/>
    </row>
    <row r="3104" spans="1:2" ht="12.75">
      <c r="A3104" s="10"/>
      <c r="B3104" s="10"/>
    </row>
    <row r="3105" spans="1:2" ht="12.75">
      <c r="A3105" s="10"/>
      <c r="B3105" s="10"/>
    </row>
    <row r="3106" spans="1:2" ht="12.75">
      <c r="A3106" s="10"/>
      <c r="B3106" s="10"/>
    </row>
    <row r="3107" spans="1:2" ht="12.75">
      <c r="A3107" s="10"/>
      <c r="B3107" s="10"/>
    </row>
    <row r="3108" spans="1:2" ht="12.75">
      <c r="A3108" s="10"/>
      <c r="B3108" s="10"/>
    </row>
    <row r="3109" spans="1:2" ht="12.75">
      <c r="A3109" s="10"/>
      <c r="B3109" s="10"/>
    </row>
    <row r="3110" spans="1:2" ht="12.75">
      <c r="A3110" s="10"/>
      <c r="B3110" s="10"/>
    </row>
    <row r="3111" spans="1:2" ht="12.75">
      <c r="A3111" s="10"/>
      <c r="B3111" s="10"/>
    </row>
    <row r="3112" spans="1:2" ht="12.75">
      <c r="A3112" s="10"/>
      <c r="B3112" s="10"/>
    </row>
    <row r="3113" spans="1:2" ht="12.75">
      <c r="A3113" s="10"/>
      <c r="B3113" s="10"/>
    </row>
    <row r="3114" spans="1:2" ht="12.75">
      <c r="A3114" s="10"/>
      <c r="B3114" s="10"/>
    </row>
    <row r="3115" spans="1:2" ht="12.75">
      <c r="A3115" s="10"/>
      <c r="B3115" s="10"/>
    </row>
    <row r="3116" spans="1:2" ht="12.75">
      <c r="A3116" s="10"/>
      <c r="B3116" s="10"/>
    </row>
    <row r="3117" spans="1:2" ht="12.75">
      <c r="A3117" s="10"/>
      <c r="B3117" s="10"/>
    </row>
    <row r="3118" spans="1:2" ht="12.75">
      <c r="A3118" s="10"/>
      <c r="B3118" s="10"/>
    </row>
    <row r="3119" spans="1:2" ht="12.75">
      <c r="A3119" s="10"/>
      <c r="B3119" s="10"/>
    </row>
    <row r="3120" spans="1:2" ht="12.75">
      <c r="A3120" s="10"/>
      <c r="B3120" s="10"/>
    </row>
    <row r="3121" spans="1:2" ht="12.75">
      <c r="A3121" s="10"/>
      <c r="B3121" s="10"/>
    </row>
    <row r="3122" spans="1:2" ht="12.75">
      <c r="A3122" s="10"/>
      <c r="B3122" s="10"/>
    </row>
    <row r="3123" spans="1:2" ht="12.75">
      <c r="A3123" s="10"/>
      <c r="B3123" s="10"/>
    </row>
    <row r="3124" spans="1:2" ht="12.75">
      <c r="A3124" s="10"/>
      <c r="B3124" s="10"/>
    </row>
    <row r="3125" spans="1:2" ht="12.75">
      <c r="A3125" s="10"/>
      <c r="B3125" s="10"/>
    </row>
    <row r="3126" spans="1:2" ht="12.75">
      <c r="A3126" s="10"/>
      <c r="B3126" s="10"/>
    </row>
    <row r="3127" spans="1:2" ht="12.75">
      <c r="A3127" s="10"/>
      <c r="B3127" s="10"/>
    </row>
    <row r="3128" spans="1:2" ht="12.75">
      <c r="A3128" s="10"/>
      <c r="B3128" s="10"/>
    </row>
    <row r="3129" spans="1:2" ht="12.75">
      <c r="A3129" s="10"/>
      <c r="B3129" s="10"/>
    </row>
    <row r="3130" spans="1:2" ht="12.75">
      <c r="A3130" s="10"/>
      <c r="B3130" s="10"/>
    </row>
    <row r="3131" spans="1:2" ht="12.75">
      <c r="A3131" s="10"/>
      <c r="B3131" s="10"/>
    </row>
    <row r="3132" spans="1:2" ht="12.75">
      <c r="A3132" s="10"/>
      <c r="B3132" s="10"/>
    </row>
    <row r="3133" spans="1:2" ht="12.75">
      <c r="A3133" s="10"/>
      <c r="B3133" s="10"/>
    </row>
    <row r="3134" spans="1:2" ht="12.75">
      <c r="A3134" s="10"/>
      <c r="B3134" s="10"/>
    </row>
    <row r="3135" spans="1:2" ht="12.75">
      <c r="A3135" s="10"/>
      <c r="B3135" s="10"/>
    </row>
    <row r="3136" spans="1:2" ht="12.75">
      <c r="A3136" s="10"/>
      <c r="B3136" s="10"/>
    </row>
    <row r="3137" spans="1:2" ht="12.75">
      <c r="A3137" s="10"/>
      <c r="B3137" s="10"/>
    </row>
    <row r="3138" spans="1:2" ht="12.75">
      <c r="A3138" s="10"/>
      <c r="B3138" s="10"/>
    </row>
    <row r="3139" spans="1:2" ht="12.75">
      <c r="A3139" s="10"/>
      <c r="B3139" s="10"/>
    </row>
    <row r="3140" spans="1:2" ht="12.75">
      <c r="A3140" s="10"/>
      <c r="B3140" s="10"/>
    </row>
    <row r="3141" spans="1:2" ht="12.75">
      <c r="A3141" s="10"/>
      <c r="B3141" s="10"/>
    </row>
    <row r="3142" spans="1:2" ht="12.75">
      <c r="A3142" s="10"/>
      <c r="B3142" s="10"/>
    </row>
    <row r="3143" spans="1:2" ht="12.75">
      <c r="A3143" s="10"/>
      <c r="B3143" s="10"/>
    </row>
    <row r="3144" spans="1:2" ht="12.75">
      <c r="A3144" s="10"/>
      <c r="B3144" s="10"/>
    </row>
    <row r="3145" spans="1:2" ht="12.75">
      <c r="A3145" s="10"/>
      <c r="B3145" s="10"/>
    </row>
    <row r="3146" spans="1:2" ht="12.75">
      <c r="A3146" s="10"/>
      <c r="B3146" s="10"/>
    </row>
    <row r="3147" spans="1:2" ht="12.75">
      <c r="A3147" s="10"/>
      <c r="B3147" s="10"/>
    </row>
    <row r="3148" spans="1:2" ht="12.75">
      <c r="A3148" s="10"/>
      <c r="B3148" s="10"/>
    </row>
    <row r="3149" spans="1:2" ht="12.75">
      <c r="A3149" s="10"/>
      <c r="B3149" s="10"/>
    </row>
    <row r="3150" spans="1:2" ht="12.75">
      <c r="A3150" s="10"/>
      <c r="B3150" s="10"/>
    </row>
    <row r="3151" spans="1:2" ht="12.75">
      <c r="A3151" s="10"/>
      <c r="B3151" s="10"/>
    </row>
    <row r="3152" spans="1:2" ht="12.75">
      <c r="A3152" s="10"/>
      <c r="B3152" s="10"/>
    </row>
    <row r="3153" spans="1:2" ht="12.75">
      <c r="A3153" s="10"/>
      <c r="B3153" s="10"/>
    </row>
    <row r="3154" spans="1:2" ht="12.75">
      <c r="A3154" s="10"/>
      <c r="B3154" s="10"/>
    </row>
    <row r="3155" spans="1:2" ht="12.75">
      <c r="A3155" s="10"/>
      <c r="B3155" s="10"/>
    </row>
    <row r="3156" spans="1:2" ht="12.75">
      <c r="A3156" s="10"/>
      <c r="B3156" s="10"/>
    </row>
    <row r="3157" spans="1:2" ht="12.75">
      <c r="A3157" s="10"/>
      <c r="B3157" s="10"/>
    </row>
    <row r="3158" spans="1:2" ht="12.75">
      <c r="A3158" s="10"/>
      <c r="B3158" s="10"/>
    </row>
    <row r="3159" spans="1:2" ht="12.75">
      <c r="A3159" s="10"/>
      <c r="B3159" s="10"/>
    </row>
    <row r="3160" spans="1:2" ht="12.75">
      <c r="A3160" s="10"/>
      <c r="B3160" s="10"/>
    </row>
    <row r="3161" spans="1:2" ht="12.75">
      <c r="A3161" s="10"/>
      <c r="B3161" s="10"/>
    </row>
    <row r="3162" spans="1:2" ht="12.75">
      <c r="A3162" s="10"/>
      <c r="B3162" s="10"/>
    </row>
    <row r="3163" spans="1:2" ht="12.75">
      <c r="A3163" s="10"/>
      <c r="B3163" s="10"/>
    </row>
    <row r="3164" spans="1:2" ht="12.75">
      <c r="A3164" s="10"/>
      <c r="B3164" s="10"/>
    </row>
    <row r="3165" spans="1:2" ht="12.75">
      <c r="A3165" s="10"/>
      <c r="B3165" s="10"/>
    </row>
    <row r="3166" spans="1:2" ht="12.75">
      <c r="A3166" s="10"/>
      <c r="B3166" s="10"/>
    </row>
    <row r="3167" spans="1:2" ht="12.75">
      <c r="A3167" s="10"/>
      <c r="B3167" s="10"/>
    </row>
    <row r="3168" spans="1:2" ht="12.75">
      <c r="A3168" s="10"/>
      <c r="B3168" s="10"/>
    </row>
    <row r="3169" spans="1:2" ht="12.75">
      <c r="A3169" s="10"/>
      <c r="B3169" s="10"/>
    </row>
    <row r="3170" spans="1:2" ht="12.75">
      <c r="A3170" s="10"/>
      <c r="B3170" s="10"/>
    </row>
    <row r="3171" spans="1:2" ht="12.75">
      <c r="A3171" s="10"/>
      <c r="B3171" s="10"/>
    </row>
    <row r="3172" spans="1:2" ht="12.75">
      <c r="A3172" s="10"/>
      <c r="B3172" s="10"/>
    </row>
    <row r="3173" spans="1:2" ht="12.75">
      <c r="A3173" s="10"/>
      <c r="B3173" s="10"/>
    </row>
    <row r="3174" spans="1:2" ht="12.75">
      <c r="A3174" s="10"/>
      <c r="B3174" s="10"/>
    </row>
    <row r="3175" spans="1:2" ht="12.75">
      <c r="A3175" s="10"/>
      <c r="B3175" s="10"/>
    </row>
    <row r="3176" spans="1:2" ht="12.75">
      <c r="A3176" s="10"/>
      <c r="B3176" s="10"/>
    </row>
    <row r="3177" spans="1:2" ht="12.75">
      <c r="A3177" s="10"/>
      <c r="B3177" s="10"/>
    </row>
    <row r="3178" spans="1:2" ht="12.75">
      <c r="A3178" s="10"/>
      <c r="B3178" s="10"/>
    </row>
    <row r="3179" spans="1:2" ht="12.75">
      <c r="A3179" s="10"/>
      <c r="B3179" s="10"/>
    </row>
    <row r="3180" spans="1:2" ht="12.75">
      <c r="A3180" s="10"/>
      <c r="B3180" s="10"/>
    </row>
    <row r="3181" spans="1:2" ht="12.75">
      <c r="A3181" s="10"/>
      <c r="B3181" s="10"/>
    </row>
    <row r="3182" spans="1:2" ht="12.75">
      <c r="A3182" s="10"/>
      <c r="B3182" s="10"/>
    </row>
    <row r="3183" spans="1:2" ht="12.75">
      <c r="A3183" s="10"/>
      <c r="B3183" s="10"/>
    </row>
    <row r="3184" spans="1:2" ht="12.75">
      <c r="A3184" s="10"/>
      <c r="B3184" s="10"/>
    </row>
    <row r="3185" spans="1:2" ht="12.75">
      <c r="A3185" s="10"/>
      <c r="B3185" s="10"/>
    </row>
    <row r="3186" spans="1:2" ht="12.75">
      <c r="A3186" s="10"/>
      <c r="B3186" s="10"/>
    </row>
    <row r="3187" spans="1:2" ht="12.75">
      <c r="A3187" s="10"/>
      <c r="B3187" s="10"/>
    </row>
    <row r="3188" spans="1:2" ht="12.75">
      <c r="A3188" s="10"/>
      <c r="B3188" s="10"/>
    </row>
    <row r="3189" spans="1:2" ht="12.75">
      <c r="A3189" s="10"/>
      <c r="B3189" s="10"/>
    </row>
    <row r="3190" spans="1:2" ht="12.75">
      <c r="A3190" s="10"/>
      <c r="B3190" s="10"/>
    </row>
    <row r="3191" spans="1:2" ht="12.75">
      <c r="A3191" s="10"/>
      <c r="B3191" s="10"/>
    </row>
    <row r="3192" spans="1:2" ht="12.75">
      <c r="A3192" s="10"/>
      <c r="B3192" s="10"/>
    </row>
    <row r="3193" spans="1:2" ht="12.75">
      <c r="A3193" s="10"/>
      <c r="B3193" s="10"/>
    </row>
    <row r="3194" spans="1:2" ht="12.75">
      <c r="A3194" s="10"/>
      <c r="B3194" s="10"/>
    </row>
    <row r="3195" spans="1:2" ht="12.75">
      <c r="A3195" s="10"/>
      <c r="B3195" s="10"/>
    </row>
    <row r="3196" spans="1:2" ht="12.75">
      <c r="A3196" s="10"/>
      <c r="B3196" s="10"/>
    </row>
    <row r="3197" spans="1:2" ht="12.75">
      <c r="A3197" s="10"/>
      <c r="B3197" s="10"/>
    </row>
    <row r="3198" spans="1:2" ht="12.75">
      <c r="A3198" s="10"/>
      <c r="B3198" s="10"/>
    </row>
    <row r="3199" spans="1:2" ht="12.75">
      <c r="A3199" s="10"/>
      <c r="B3199" s="10"/>
    </row>
    <row r="3200" spans="1:2" ht="12.75">
      <c r="A3200" s="10"/>
      <c r="B3200" s="10"/>
    </row>
    <row r="3201" spans="1:2" ht="12.75">
      <c r="A3201" s="10"/>
      <c r="B3201" s="10"/>
    </row>
    <row r="3202" spans="1:2" ht="12.75">
      <c r="A3202" s="10"/>
      <c r="B3202" s="10"/>
    </row>
    <row r="3203" spans="1:2" ht="12.75">
      <c r="A3203" s="10"/>
      <c r="B3203" s="10"/>
    </row>
    <row r="3204" spans="1:2" ht="12.75">
      <c r="A3204" s="10"/>
      <c r="B3204" s="10"/>
    </row>
    <row r="3205" spans="1:2" ht="12.75">
      <c r="A3205" s="10"/>
      <c r="B3205" s="10"/>
    </row>
    <row r="3206" spans="1:2" ht="12.75">
      <c r="A3206" s="10"/>
      <c r="B3206" s="10"/>
    </row>
    <row r="3207" spans="1:2" ht="12.75">
      <c r="A3207" s="10"/>
      <c r="B3207" s="10"/>
    </row>
    <row r="3208" spans="1:2" ht="12.75">
      <c r="A3208" s="10"/>
      <c r="B3208" s="10"/>
    </row>
    <row r="3209" spans="1:2" ht="12.75">
      <c r="A3209" s="10"/>
      <c r="B3209" s="10"/>
    </row>
    <row r="3210" spans="1:2" ht="12.75">
      <c r="A3210" s="10"/>
      <c r="B3210" s="10"/>
    </row>
    <row r="3211" spans="1:2" ht="12.75">
      <c r="A3211" s="10"/>
      <c r="B3211" s="10"/>
    </row>
    <row r="3212" spans="1:2" ht="12.75">
      <c r="A3212" s="10"/>
      <c r="B3212" s="10"/>
    </row>
    <row r="3213" spans="1:2" ht="12.75">
      <c r="A3213" s="10"/>
      <c r="B3213" s="10"/>
    </row>
    <row r="3214" spans="1:2" ht="12.75">
      <c r="A3214" s="10"/>
      <c r="B3214" s="10"/>
    </row>
    <row r="3215" spans="1:2" ht="12.75">
      <c r="A3215" s="10"/>
      <c r="B3215" s="10"/>
    </row>
    <row r="3216" spans="1:2" ht="12.75">
      <c r="A3216" s="10"/>
      <c r="B3216" s="10"/>
    </row>
    <row r="3217" spans="1:2" ht="12.75">
      <c r="A3217" s="10"/>
      <c r="B3217" s="10"/>
    </row>
    <row r="3218" spans="1:2" ht="12.75">
      <c r="A3218" s="10"/>
      <c r="B3218" s="10"/>
    </row>
    <row r="3219" spans="1:2" ht="12.75">
      <c r="A3219" s="10"/>
      <c r="B3219" s="10"/>
    </row>
    <row r="3220" spans="1:2" ht="12.75">
      <c r="A3220" s="10"/>
      <c r="B3220" s="10"/>
    </row>
    <row r="3221" spans="1:2" ht="12.75">
      <c r="A3221" s="10"/>
      <c r="B3221" s="10"/>
    </row>
    <row r="3222" spans="1:2" ht="12.75">
      <c r="A3222" s="10"/>
      <c r="B3222" s="10"/>
    </row>
    <row r="3223" spans="1:2" ht="12.75">
      <c r="A3223" s="10"/>
      <c r="B3223" s="10"/>
    </row>
    <row r="3224" spans="1:2" ht="12.75">
      <c r="A3224" s="10"/>
      <c r="B3224" s="10"/>
    </row>
    <row r="3225" spans="1:2" ht="12.75">
      <c r="A3225" s="10"/>
      <c r="B3225" s="10"/>
    </row>
    <row r="3226" spans="1:2" ht="12.75">
      <c r="A3226" s="10"/>
      <c r="B3226" s="10"/>
    </row>
    <row r="3227" spans="1:2" ht="12.75">
      <c r="A3227" s="10"/>
      <c r="B3227" s="10"/>
    </row>
    <row r="3228" spans="1:2" ht="12.75">
      <c r="A3228" s="10"/>
      <c r="B3228" s="10"/>
    </row>
    <row r="3229" spans="1:2" ht="12.75">
      <c r="A3229" s="10"/>
      <c r="B3229" s="10"/>
    </row>
    <row r="3230" spans="1:2" ht="12.75">
      <c r="A3230" s="10"/>
      <c r="B3230" s="10"/>
    </row>
    <row r="3231" spans="1:2" ht="12.75">
      <c r="A3231" s="10"/>
      <c r="B3231" s="10"/>
    </row>
    <row r="3232" spans="1:2" ht="12.75">
      <c r="A3232" s="10"/>
      <c r="B3232" s="10"/>
    </row>
    <row r="3233" spans="1:2" ht="12.75">
      <c r="A3233" s="10"/>
      <c r="B3233" s="10"/>
    </row>
    <row r="3234" spans="1:2" ht="12.75">
      <c r="A3234" s="10"/>
      <c r="B3234" s="10"/>
    </row>
    <row r="3235" spans="1:2" ht="12.75">
      <c r="A3235" s="10"/>
      <c r="B3235" s="10"/>
    </row>
    <row r="3236" spans="1:2" ht="12.75">
      <c r="A3236" s="10"/>
      <c r="B3236" s="10"/>
    </row>
    <row r="3237" spans="1:2" ht="12.75">
      <c r="A3237" s="10"/>
      <c r="B3237" s="10"/>
    </row>
    <row r="3238" spans="1:2" ht="12.75">
      <c r="A3238" s="10"/>
      <c r="B3238" s="10"/>
    </row>
    <row r="3239" spans="1:2" ht="12.75">
      <c r="A3239" s="10"/>
      <c r="B3239" s="10"/>
    </row>
    <row r="3240" spans="1:2" ht="12.75">
      <c r="A3240" s="10"/>
      <c r="B3240" s="10"/>
    </row>
    <row r="3241" spans="1:2" ht="12.75">
      <c r="A3241" s="10"/>
      <c r="B3241" s="10"/>
    </row>
    <row r="3242" spans="1:2" ht="12.75">
      <c r="A3242" s="10"/>
      <c r="B3242" s="10"/>
    </row>
    <row r="3243" spans="1:2" ht="12.75">
      <c r="A3243" s="10"/>
      <c r="B3243" s="10"/>
    </row>
    <row r="3244" spans="1:2" ht="12.75">
      <c r="A3244" s="10"/>
      <c r="B3244" s="10"/>
    </row>
    <row r="3245" spans="1:2" ht="12.75">
      <c r="A3245" s="10"/>
      <c r="B3245" s="10"/>
    </row>
    <row r="3246" spans="1:2" ht="12.75">
      <c r="A3246" s="10"/>
      <c r="B3246" s="10"/>
    </row>
    <row r="3247" spans="1:2" ht="12.75">
      <c r="A3247" s="10"/>
      <c r="B3247" s="10"/>
    </row>
    <row r="3248" spans="1:2" ht="12.75">
      <c r="A3248" s="10"/>
      <c r="B3248" s="10"/>
    </row>
    <row r="3249" spans="1:2" ht="12.75">
      <c r="A3249" s="10"/>
      <c r="B3249" s="10"/>
    </row>
    <row r="3250" spans="1:2" ht="12.75">
      <c r="A3250" s="10"/>
      <c r="B3250" s="10"/>
    </row>
    <row r="3251" spans="1:2" ht="12.75">
      <c r="A3251" s="10"/>
      <c r="B3251" s="10"/>
    </row>
    <row r="3252" spans="1:2" ht="12.75">
      <c r="A3252" s="10"/>
      <c r="B3252" s="10"/>
    </row>
    <row r="3253" spans="1:2" ht="12.75">
      <c r="A3253" s="10"/>
      <c r="B3253" s="10"/>
    </row>
    <row r="3254" spans="1:2" ht="12.75">
      <c r="A3254" s="10"/>
      <c r="B3254" s="10"/>
    </row>
    <row r="3255" spans="1:2" ht="12.75">
      <c r="A3255" s="10"/>
      <c r="B3255" s="10"/>
    </row>
    <row r="3256" spans="1:2" ht="12.75">
      <c r="A3256" s="10"/>
      <c r="B3256" s="10"/>
    </row>
    <row r="3257" spans="1:2" ht="12.75">
      <c r="A3257" s="10"/>
      <c r="B3257" s="10"/>
    </row>
    <row r="3258" spans="1:2" ht="12.75">
      <c r="A3258" s="10"/>
      <c r="B3258" s="10"/>
    </row>
    <row r="3259" spans="1:2" ht="12.75">
      <c r="A3259" s="10"/>
      <c r="B3259" s="10"/>
    </row>
    <row r="3260" spans="1:2" ht="12.75">
      <c r="A3260" s="10"/>
      <c r="B3260" s="10"/>
    </row>
    <row r="3261" spans="1:2" ht="12.75">
      <c r="A3261" s="10"/>
      <c r="B3261" s="10"/>
    </row>
    <row r="3262" spans="1:2" ht="12.75">
      <c r="A3262" s="10"/>
      <c r="B3262" s="10"/>
    </row>
    <row r="3263" spans="1:2" ht="12.75">
      <c r="A3263" s="10"/>
      <c r="B3263" s="10"/>
    </row>
    <row r="3264" spans="1:2" ht="12.75">
      <c r="A3264" s="10"/>
      <c r="B3264" s="10"/>
    </row>
    <row r="3265" spans="1:2" ht="12.75">
      <c r="A3265" s="10"/>
      <c r="B3265" s="10"/>
    </row>
    <row r="3266" spans="1:2" ht="12.75">
      <c r="A3266" s="10"/>
      <c r="B3266" s="10"/>
    </row>
    <row r="3267" spans="1:2" ht="12.75">
      <c r="A3267" s="10"/>
      <c r="B3267" s="10"/>
    </row>
    <row r="3268" spans="1:2" ht="12.75">
      <c r="A3268" s="10"/>
      <c r="B3268" s="10"/>
    </row>
    <row r="3269" spans="1:2" ht="12.75">
      <c r="A3269" s="10"/>
      <c r="B3269" s="10"/>
    </row>
    <row r="3270" spans="1:2" ht="12.75">
      <c r="A3270" s="10"/>
      <c r="B3270" s="10"/>
    </row>
    <row r="3271" spans="1:2" ht="12.75">
      <c r="A3271" s="10"/>
      <c r="B3271" s="10"/>
    </row>
    <row r="3272" spans="1:2" ht="12.75">
      <c r="A3272" s="10"/>
      <c r="B3272" s="10"/>
    </row>
    <row r="3273" spans="1:2" ht="12.75">
      <c r="A3273" s="10"/>
      <c r="B3273" s="10"/>
    </row>
    <row r="3274" spans="1:2" ht="12.75">
      <c r="A3274" s="10"/>
      <c r="B3274" s="10"/>
    </row>
    <row r="3275" spans="1:2" ht="12.75">
      <c r="A3275" s="10"/>
      <c r="B3275" s="10"/>
    </row>
    <row r="3276" spans="1:2" ht="12.75">
      <c r="A3276" s="10"/>
      <c r="B3276" s="10"/>
    </row>
    <row r="3277" spans="1:2" ht="12.75">
      <c r="A3277" s="10"/>
      <c r="B3277" s="10"/>
    </row>
    <row r="3278" spans="1:2" ht="12.75">
      <c r="A3278" s="10"/>
      <c r="B3278" s="10"/>
    </row>
    <row r="3279" spans="1:2" ht="12.75">
      <c r="A3279" s="10"/>
      <c r="B3279" s="10"/>
    </row>
    <row r="3280" spans="1:2" ht="12.75">
      <c r="A3280" s="10"/>
      <c r="B3280" s="10"/>
    </row>
    <row r="3281" spans="1:2" ht="12.75">
      <c r="A3281" s="10"/>
      <c r="B3281" s="10"/>
    </row>
    <row r="3282" spans="1:2" ht="12.75">
      <c r="A3282" s="10"/>
      <c r="B3282" s="10"/>
    </row>
    <row r="3283" spans="1:2" ht="12.75">
      <c r="A3283" s="10"/>
      <c r="B3283" s="10"/>
    </row>
    <row r="3284" spans="1:2" ht="12.75">
      <c r="A3284" s="10"/>
      <c r="B3284" s="10"/>
    </row>
    <row r="3285" spans="1:2" ht="12.75">
      <c r="A3285" s="10"/>
      <c r="B3285" s="10"/>
    </row>
    <row r="3286" spans="1:2" ht="12.75">
      <c r="A3286" s="10"/>
      <c r="B3286" s="10"/>
    </row>
    <row r="3287" spans="1:2" ht="12.75">
      <c r="A3287" s="10"/>
      <c r="B3287" s="10"/>
    </row>
    <row r="3288" spans="1:2" ht="12.75">
      <c r="A3288" s="10"/>
      <c r="B3288" s="10"/>
    </row>
    <row r="3289" spans="1:2" ht="12.75">
      <c r="A3289" s="10"/>
      <c r="B3289" s="10"/>
    </row>
    <row r="3290" spans="1:2" ht="12.75">
      <c r="A3290" s="10"/>
      <c r="B3290" s="10"/>
    </row>
    <row r="3291" spans="1:2" ht="12.75">
      <c r="A3291" s="10"/>
      <c r="B3291" s="10"/>
    </row>
    <row r="3292" spans="1:2" ht="12.75">
      <c r="A3292" s="10"/>
      <c r="B3292" s="10"/>
    </row>
    <row r="3293" spans="1:2" ht="12.75">
      <c r="A3293" s="10"/>
      <c r="B3293" s="10"/>
    </row>
    <row r="3294" spans="1:2" ht="12.75">
      <c r="A3294" s="10"/>
      <c r="B3294" s="10"/>
    </row>
    <row r="3295" spans="1:2" ht="12.75">
      <c r="A3295" s="10"/>
      <c r="B3295" s="10"/>
    </row>
    <row r="3296" spans="1:2" ht="12.75">
      <c r="A3296" s="10"/>
      <c r="B3296" s="10"/>
    </row>
    <row r="3297" spans="1:2" ht="12.75">
      <c r="A3297" s="10"/>
      <c r="B3297" s="10"/>
    </row>
    <row r="3298" spans="1:2" ht="12.75">
      <c r="A3298" s="10"/>
      <c r="B3298" s="10"/>
    </row>
    <row r="3299" spans="1:2" ht="12.75">
      <c r="A3299" s="10"/>
      <c r="B3299" s="10"/>
    </row>
    <row r="3300" spans="1:2" ht="12.75">
      <c r="A3300" s="10"/>
      <c r="B3300" s="10"/>
    </row>
    <row r="3301" spans="1:2" ht="12.75">
      <c r="A3301" s="10"/>
      <c r="B3301" s="10"/>
    </row>
    <row r="3302" spans="1:2" ht="12.75">
      <c r="A3302" s="10"/>
      <c r="B3302" s="10"/>
    </row>
    <row r="3303" spans="1:2" ht="12.75">
      <c r="A3303" s="10"/>
      <c r="B3303" s="10"/>
    </row>
    <row r="3304" spans="1:2" ht="12.75">
      <c r="A3304" s="10"/>
      <c r="B3304" s="10"/>
    </row>
    <row r="3305" spans="1:2" ht="12.75">
      <c r="A3305" s="10"/>
      <c r="B3305" s="10"/>
    </row>
    <row r="3306" spans="1:2" ht="12.75">
      <c r="A3306" s="10"/>
      <c r="B3306" s="10"/>
    </row>
    <row r="3307" spans="1:2" ht="12.75">
      <c r="A3307" s="10"/>
      <c r="B3307" s="10"/>
    </row>
    <row r="3308" spans="1:2" ht="12.75">
      <c r="A3308" s="10"/>
      <c r="B3308" s="10"/>
    </row>
    <row r="3309" spans="1:2" ht="12.75">
      <c r="A3309" s="10"/>
      <c r="B3309" s="10"/>
    </row>
    <row r="3310" spans="1:2" ht="12.75">
      <c r="A3310" s="10"/>
      <c r="B3310" s="10"/>
    </row>
    <row r="3311" spans="1:2" ht="12.75">
      <c r="A3311" s="10"/>
      <c r="B3311" s="10"/>
    </row>
    <row r="3312" spans="1:2" ht="12.75">
      <c r="A3312" s="10"/>
      <c r="B3312" s="10"/>
    </row>
    <row r="3313" spans="1:2" ht="12.75">
      <c r="A3313" s="10"/>
      <c r="B3313" s="10"/>
    </row>
    <row r="3314" spans="1:2" ht="12.75">
      <c r="A3314" s="10"/>
      <c r="B3314" s="10"/>
    </row>
    <row r="3315" spans="1:2" ht="12.75">
      <c r="A3315" s="10"/>
      <c r="B3315" s="10"/>
    </row>
    <row r="3316" spans="1:2" ht="12.75">
      <c r="A3316" s="10"/>
      <c r="B3316" s="10"/>
    </row>
    <row r="3317" spans="1:2" ht="12.75">
      <c r="A3317" s="10"/>
      <c r="B3317" s="10"/>
    </row>
    <row r="3318" spans="1:2" ht="12.75">
      <c r="A3318" s="10"/>
      <c r="B3318" s="10"/>
    </row>
    <row r="3319" spans="1:2" ht="12.75">
      <c r="A3319" s="10"/>
      <c r="B3319" s="10"/>
    </row>
    <row r="3320" spans="1:2" ht="12.75">
      <c r="A3320" s="10"/>
      <c r="B3320" s="10"/>
    </row>
    <row r="3321" spans="1:2" ht="12.75">
      <c r="A3321" s="10"/>
      <c r="B3321" s="10"/>
    </row>
    <row r="3322" spans="1:2" ht="12.75">
      <c r="A3322" s="10"/>
      <c r="B3322" s="10"/>
    </row>
    <row r="3323" spans="1:2" ht="12.75">
      <c r="A3323" s="10"/>
      <c r="B3323" s="10"/>
    </row>
    <row r="3324" spans="1:2" ht="12.75">
      <c r="A3324" s="10"/>
      <c r="B3324" s="10"/>
    </row>
    <row r="3325" spans="1:2" ht="12.75">
      <c r="A3325" s="10"/>
      <c r="B3325" s="10"/>
    </row>
    <row r="3326" spans="1:2" ht="12.75">
      <c r="A3326" s="10"/>
      <c r="B3326" s="10"/>
    </row>
    <row r="3327" spans="1:2" ht="12.75">
      <c r="A3327" s="10"/>
      <c r="B3327" s="10"/>
    </row>
    <row r="3328" spans="1:2" ht="12.75">
      <c r="A3328" s="10"/>
      <c r="B3328" s="10"/>
    </row>
    <row r="3329" spans="1:2" ht="12.75">
      <c r="A3329" s="10"/>
      <c r="B3329" s="10"/>
    </row>
    <row r="3330" spans="1:2" ht="12.75">
      <c r="A3330" s="10"/>
      <c r="B3330" s="10"/>
    </row>
    <row r="3331" spans="1:2" ht="12.75">
      <c r="A3331" s="10"/>
      <c r="B3331" s="10"/>
    </row>
    <row r="3332" spans="1:2" ht="12.75">
      <c r="A3332" s="10"/>
      <c r="B3332" s="10"/>
    </row>
    <row r="3333" spans="1:2" ht="12.75">
      <c r="A3333" s="10"/>
      <c r="B3333" s="10"/>
    </row>
    <row r="3334" spans="1:2" ht="12.75">
      <c r="A3334" s="10"/>
      <c r="B3334" s="10"/>
    </row>
    <row r="3335" spans="1:2" ht="12.75">
      <c r="A3335" s="10"/>
      <c r="B3335" s="10"/>
    </row>
    <row r="3336" spans="1:2" ht="12.75">
      <c r="A3336" s="10"/>
      <c r="B3336" s="10"/>
    </row>
    <row r="3337" spans="1:2" ht="12.75">
      <c r="A3337" s="10"/>
      <c r="B3337" s="10"/>
    </row>
    <row r="3338" spans="1:2" ht="12.75">
      <c r="A3338" s="10"/>
      <c r="B3338" s="10"/>
    </row>
    <row r="3339" spans="1:2" ht="12.75">
      <c r="A3339" s="10"/>
      <c r="B3339" s="10"/>
    </row>
    <row r="3340" spans="1:2" ht="12.75">
      <c r="A3340" s="10"/>
      <c r="B3340" s="10"/>
    </row>
    <row r="3341" spans="1:2" ht="12.75">
      <c r="A3341" s="10"/>
      <c r="B3341" s="10"/>
    </row>
    <row r="3342" spans="1:2" ht="12.75">
      <c r="A3342" s="10"/>
      <c r="B3342" s="10"/>
    </row>
    <row r="3343" spans="1:2" ht="12.75">
      <c r="A3343" s="10"/>
      <c r="B3343" s="10"/>
    </row>
    <row r="3344" spans="1:2" ht="12.75">
      <c r="A3344" s="10"/>
      <c r="B3344" s="10"/>
    </row>
    <row r="3345" spans="1:2" ht="12.75">
      <c r="A3345" s="10"/>
      <c r="B3345" s="10"/>
    </row>
    <row r="3346" spans="1:2" ht="12.75">
      <c r="A3346" s="10"/>
      <c r="B3346" s="10"/>
    </row>
    <row r="3347" spans="1:2" ht="12.75">
      <c r="A3347" s="10"/>
      <c r="B3347" s="10"/>
    </row>
    <row r="3348" spans="1:2" ht="12.75">
      <c r="A3348" s="10"/>
      <c r="B3348" s="10"/>
    </row>
    <row r="3349" spans="1:2" ht="12.75">
      <c r="A3349" s="10"/>
      <c r="B3349" s="10"/>
    </row>
    <row r="3350" spans="1:2" ht="12.75">
      <c r="A3350" s="10"/>
      <c r="B3350" s="10"/>
    </row>
    <row r="3351" spans="1:2" ht="12.75">
      <c r="A3351" s="10"/>
      <c r="B3351" s="10"/>
    </row>
    <row r="3352" spans="1:2" ht="12.75">
      <c r="A3352" s="10"/>
      <c r="B3352" s="10"/>
    </row>
    <row r="3353" spans="1:2" ht="12.75">
      <c r="A3353" s="10"/>
      <c r="B3353" s="10"/>
    </row>
    <row r="3354" spans="1:2" ht="12.75">
      <c r="A3354" s="10"/>
      <c r="B3354" s="10"/>
    </row>
    <row r="3355" spans="1:2" ht="12.75">
      <c r="A3355" s="10"/>
      <c r="B3355" s="10"/>
    </row>
    <row r="3356" spans="1:2" ht="12.75">
      <c r="A3356" s="10"/>
      <c r="B3356" s="10"/>
    </row>
    <row r="3357" spans="1:2" ht="12.75">
      <c r="A3357" s="10"/>
      <c r="B3357" s="10"/>
    </row>
    <row r="3358" spans="1:2" ht="12.75">
      <c r="A3358" s="10"/>
      <c r="B3358" s="10"/>
    </row>
    <row r="3359" spans="1:2" ht="12.75">
      <c r="A3359" s="10"/>
      <c r="B3359" s="10"/>
    </row>
    <row r="3360" spans="1:2" ht="12.75">
      <c r="A3360" s="10"/>
      <c r="B3360" s="10"/>
    </row>
    <row r="3361" spans="1:2" ht="12.75">
      <c r="A3361" s="10"/>
      <c r="B3361" s="10"/>
    </row>
    <row r="3362" spans="1:2" ht="12.75">
      <c r="A3362" s="10"/>
      <c r="B3362" s="10"/>
    </row>
    <row r="3363" spans="1:2" ht="12.75">
      <c r="A3363" s="10"/>
      <c r="B3363" s="10"/>
    </row>
    <row r="3364" spans="1:2" ht="12.75">
      <c r="A3364" s="10"/>
      <c r="B3364" s="10"/>
    </row>
    <row r="3365" spans="1:2" ht="12.75">
      <c r="A3365" s="10"/>
      <c r="B3365" s="10"/>
    </row>
    <row r="3366" spans="1:2" ht="12.75">
      <c r="A3366" s="10"/>
      <c r="B3366" s="10"/>
    </row>
    <row r="3367" spans="1:2" ht="12.75">
      <c r="A3367" s="10"/>
      <c r="B3367" s="10"/>
    </row>
    <row r="3368" spans="1:2" ht="12.75">
      <c r="A3368" s="10"/>
      <c r="B3368" s="10"/>
    </row>
    <row r="3369" spans="1:2" ht="12.75">
      <c r="A3369" s="10"/>
      <c r="B3369" s="10"/>
    </row>
    <row r="3370" spans="1:2" ht="12.75">
      <c r="A3370" s="10"/>
      <c r="B3370" s="10"/>
    </row>
    <row r="3371" spans="1:2" ht="12.75">
      <c r="A3371" s="10"/>
      <c r="B3371" s="10"/>
    </row>
    <row r="3372" spans="1:2" ht="12.75">
      <c r="A3372" s="10"/>
      <c r="B3372" s="10"/>
    </row>
    <row r="3373" spans="1:2" ht="12.75">
      <c r="A3373" s="10"/>
      <c r="B3373" s="10"/>
    </row>
    <row r="3374" spans="1:2" ht="12.75">
      <c r="A3374" s="10"/>
      <c r="B3374" s="10"/>
    </row>
    <row r="3375" spans="1:2" ht="12.75">
      <c r="A3375" s="10"/>
      <c r="B3375" s="10"/>
    </row>
    <row r="3376" spans="1:2" ht="12.75">
      <c r="A3376" s="10"/>
      <c r="B3376" s="10"/>
    </row>
    <row r="3377" spans="1:2" ht="12.75">
      <c r="A3377" s="10"/>
      <c r="B3377" s="10"/>
    </row>
    <row r="3378" spans="1:2" ht="12.75">
      <c r="A3378" s="10"/>
      <c r="B3378" s="10"/>
    </row>
    <row r="3379" spans="1:2" ht="12.75">
      <c r="A3379" s="10"/>
      <c r="B3379" s="10"/>
    </row>
    <row r="3380" spans="1:2" ht="12.75">
      <c r="A3380" s="10"/>
      <c r="B3380" s="10"/>
    </row>
    <row r="3381" spans="1:2" ht="12.75">
      <c r="A3381" s="10"/>
      <c r="B3381" s="10"/>
    </row>
    <row r="3382" spans="1:2" ht="12.75">
      <c r="A3382" s="10"/>
      <c r="B3382" s="10"/>
    </row>
    <row r="3383" spans="1:2" ht="12.75">
      <c r="A3383" s="10"/>
      <c r="B3383" s="10"/>
    </row>
    <row r="3384" spans="1:2" ht="12.75">
      <c r="A3384" s="10"/>
      <c r="B3384" s="10"/>
    </row>
    <row r="3385" spans="1:2" ht="12.75">
      <c r="A3385" s="10"/>
      <c r="B3385" s="10"/>
    </row>
    <row r="3386" spans="1:2" ht="12.75">
      <c r="A3386" s="10"/>
      <c r="B3386" s="10"/>
    </row>
    <row r="3387" spans="1:2" ht="12.75">
      <c r="A3387" s="10"/>
      <c r="B3387" s="10"/>
    </row>
    <row r="3388" spans="1:2" ht="12.75">
      <c r="A3388" s="10"/>
      <c r="B3388" s="10"/>
    </row>
    <row r="3389" spans="1:2" ht="12.75">
      <c r="A3389" s="10"/>
      <c r="B3389" s="10"/>
    </row>
    <row r="3390" spans="1:2" ht="12.75">
      <c r="A3390" s="10"/>
      <c r="B3390" s="10"/>
    </row>
    <row r="3391" spans="1:2" ht="12.75">
      <c r="A3391" s="10"/>
      <c r="B3391" s="10"/>
    </row>
    <row r="3392" spans="1:2" ht="12.75">
      <c r="A3392" s="10"/>
      <c r="B3392" s="10"/>
    </row>
    <row r="3393" spans="1:2" ht="12.75">
      <c r="A3393" s="10"/>
      <c r="B3393" s="10"/>
    </row>
    <row r="3394" spans="1:2" ht="12.75">
      <c r="A3394" s="10"/>
      <c r="B3394" s="10"/>
    </row>
    <row r="3395" spans="1:2" ht="12.75">
      <c r="A3395" s="10"/>
      <c r="B3395" s="10"/>
    </row>
    <row r="3396" spans="1:2" ht="12.75">
      <c r="A3396" s="10"/>
      <c r="B3396" s="10"/>
    </row>
    <row r="3397" spans="1:2" ht="12.75">
      <c r="A3397" s="10"/>
      <c r="B3397" s="10"/>
    </row>
    <row r="3398" spans="1:2" ht="12.75">
      <c r="A3398" s="10"/>
      <c r="B3398" s="10"/>
    </row>
    <row r="3399" spans="1:2" ht="12.75">
      <c r="A3399" s="10"/>
      <c r="B3399" s="10"/>
    </row>
    <row r="3400" spans="1:2" ht="12.75">
      <c r="A3400" s="10"/>
      <c r="B3400" s="10"/>
    </row>
    <row r="3401" spans="1:2" ht="12.75">
      <c r="A3401" s="10"/>
      <c r="B3401" s="10"/>
    </row>
    <row r="3402" spans="1:2" ht="12.75">
      <c r="A3402" s="10"/>
      <c r="B3402" s="10"/>
    </row>
    <row r="3403" spans="1:2" ht="12.75">
      <c r="A3403" s="10"/>
      <c r="B3403" s="10"/>
    </row>
    <row r="3404" spans="1:2" ht="12.75">
      <c r="A3404" s="10"/>
      <c r="B3404" s="10"/>
    </row>
    <row r="3405" spans="1:2" ht="12.75">
      <c r="A3405" s="10"/>
      <c r="B3405" s="10"/>
    </row>
    <row r="3406" spans="1:2" ht="12.75">
      <c r="A3406" s="10"/>
      <c r="B3406" s="10"/>
    </row>
    <row r="3407" spans="1:2" ht="12.75">
      <c r="A3407" s="10"/>
      <c r="B3407" s="10"/>
    </row>
    <row r="3408" spans="1:2" ht="12.75">
      <c r="A3408" s="10"/>
      <c r="B3408" s="10"/>
    </row>
    <row r="3409" spans="1:2" ht="12.75">
      <c r="A3409" s="10"/>
      <c r="B3409" s="10"/>
    </row>
    <row r="3410" spans="1:2" ht="12.75">
      <c r="A3410" s="10"/>
      <c r="B3410" s="10"/>
    </row>
    <row r="3411" spans="1:2" ht="12.75">
      <c r="A3411" s="10"/>
      <c r="B3411" s="10"/>
    </row>
    <row r="3412" spans="1:2" ht="12.75">
      <c r="A3412" s="10"/>
      <c r="B3412" s="10"/>
    </row>
    <row r="3413" spans="1:2" ht="12.75">
      <c r="A3413" s="10"/>
      <c r="B3413" s="10"/>
    </row>
    <row r="3414" spans="1:2" ht="12.75">
      <c r="A3414" s="10"/>
      <c r="B3414" s="10"/>
    </row>
    <row r="3415" spans="1:2" ht="12.75">
      <c r="A3415" s="10"/>
      <c r="B3415" s="10"/>
    </row>
    <row r="3416" spans="1:2" ht="12.75">
      <c r="A3416" s="10"/>
      <c r="B3416" s="10"/>
    </row>
    <row r="3417" spans="1:2" ht="12.75">
      <c r="A3417" s="10"/>
      <c r="B3417" s="10"/>
    </row>
    <row r="3418" spans="1:2" ht="12.75">
      <c r="A3418" s="10"/>
      <c r="B3418" s="10"/>
    </row>
    <row r="3419" spans="1:2" ht="12.75">
      <c r="A3419" s="10"/>
      <c r="B3419" s="10"/>
    </row>
    <row r="3420" spans="1:2" ht="12.75">
      <c r="A3420" s="10"/>
      <c r="B3420" s="10"/>
    </row>
    <row r="3421" spans="1:2" ht="12.75">
      <c r="A3421" s="10"/>
      <c r="B3421" s="10"/>
    </row>
    <row r="3422" spans="1:2" ht="12.75">
      <c r="A3422" s="10"/>
      <c r="B3422" s="10"/>
    </row>
    <row r="3423" spans="1:2" ht="12.75">
      <c r="A3423" s="10"/>
      <c r="B3423" s="10"/>
    </row>
    <row r="3424" spans="1:2" ht="12.75">
      <c r="A3424" s="10"/>
      <c r="B3424" s="10"/>
    </row>
    <row r="3425" spans="1:2" ht="12.75">
      <c r="A3425" s="10"/>
      <c r="B3425" s="10"/>
    </row>
    <row r="3426" spans="1:2" ht="12.75">
      <c r="A3426" s="10"/>
      <c r="B3426" s="10"/>
    </row>
    <row r="3427" spans="1:2" ht="12.75">
      <c r="A3427" s="10"/>
      <c r="B3427" s="10"/>
    </row>
    <row r="3428" spans="1:2" ht="12.75">
      <c r="A3428" s="10"/>
      <c r="B3428" s="10"/>
    </row>
    <row r="3429" spans="1:2" ht="12.75">
      <c r="A3429" s="10"/>
      <c r="B3429" s="10"/>
    </row>
    <row r="3430" spans="1:2" ht="12.75">
      <c r="A3430" s="10"/>
      <c r="B3430" s="10"/>
    </row>
    <row r="3431" spans="1:2" ht="12.75">
      <c r="A3431" s="10"/>
      <c r="B3431" s="10"/>
    </row>
    <row r="3432" spans="1:2" ht="12.75">
      <c r="A3432" s="10"/>
      <c r="B3432" s="10"/>
    </row>
    <row r="3433" spans="1:2" ht="12.75">
      <c r="A3433" s="10"/>
      <c r="B3433" s="10"/>
    </row>
    <row r="3434" spans="1:2" ht="12.75">
      <c r="A3434" s="10"/>
      <c r="B3434" s="10"/>
    </row>
    <row r="3435" spans="1:2" ht="12.75">
      <c r="A3435" s="10"/>
      <c r="B3435" s="10"/>
    </row>
    <row r="3436" spans="1:2" ht="12.75">
      <c r="A3436" s="10"/>
      <c r="B3436" s="10"/>
    </row>
    <row r="3437" spans="1:2" ht="12.75">
      <c r="A3437" s="10"/>
      <c r="B3437" s="10"/>
    </row>
    <row r="3438" spans="1:2" ht="12.75">
      <c r="A3438" s="10"/>
      <c r="B3438" s="10"/>
    </row>
    <row r="3439" spans="1:2" ht="12.75">
      <c r="A3439" s="10"/>
      <c r="B3439" s="10"/>
    </row>
    <row r="3440" spans="1:2" ht="12.75">
      <c r="A3440" s="10"/>
      <c r="B3440" s="10"/>
    </row>
    <row r="3441" spans="1:2" ht="12.75">
      <c r="A3441" s="10"/>
      <c r="B3441" s="10"/>
    </row>
    <row r="3442" spans="1:2" ht="12.75">
      <c r="A3442" s="10"/>
      <c r="B3442" s="10"/>
    </row>
    <row r="3443" spans="1:2" ht="12.75">
      <c r="A3443" s="10"/>
      <c r="B3443" s="10"/>
    </row>
    <row r="3444" spans="1:2" ht="12.75">
      <c r="A3444" s="10"/>
      <c r="B3444" s="10"/>
    </row>
    <row r="3445" spans="1:2" ht="12.75">
      <c r="A3445" s="10"/>
      <c r="B3445" s="10"/>
    </row>
    <row r="3446" spans="1:2" ht="12.75">
      <c r="A3446" s="10"/>
      <c r="B3446" s="10"/>
    </row>
    <row r="3447" spans="1:2" ht="12.75">
      <c r="A3447" s="10"/>
      <c r="B3447" s="10"/>
    </row>
    <row r="3448" spans="1:2" ht="12.75">
      <c r="A3448" s="10"/>
      <c r="B3448" s="10"/>
    </row>
    <row r="3449" spans="1:2" ht="12.75">
      <c r="A3449" s="10"/>
      <c r="B3449" s="10"/>
    </row>
    <row r="3450" spans="1:2" ht="12.75">
      <c r="A3450" s="10"/>
      <c r="B3450" s="10"/>
    </row>
    <row r="3451" spans="1:2" ht="12.75">
      <c r="A3451" s="10"/>
      <c r="B3451" s="10"/>
    </row>
    <row r="3452" spans="1:2" ht="12.75">
      <c r="A3452" s="10"/>
      <c r="B3452" s="10"/>
    </row>
    <row r="3453" spans="1:2" ht="12.75">
      <c r="A3453" s="10"/>
      <c r="B3453" s="10"/>
    </row>
    <row r="3454" spans="1:2" ht="12.75">
      <c r="A3454" s="10"/>
      <c r="B3454" s="10"/>
    </row>
    <row r="3455" spans="1:2" ht="12.75">
      <c r="A3455" s="10"/>
      <c r="B3455" s="10"/>
    </row>
    <row r="3456" spans="1:2" ht="12.75">
      <c r="A3456" s="10"/>
      <c r="B3456" s="10"/>
    </row>
    <row r="3457" spans="1:2" ht="12.75">
      <c r="A3457" s="10"/>
      <c r="B3457" s="10"/>
    </row>
    <row r="3458" spans="1:2" ht="12.75">
      <c r="A3458" s="10"/>
      <c r="B3458" s="10"/>
    </row>
    <row r="3459" spans="1:2" ht="12.75">
      <c r="A3459" s="10"/>
      <c r="B3459" s="10"/>
    </row>
    <row r="3460" spans="1:2" ht="12.75">
      <c r="A3460" s="10"/>
      <c r="B3460" s="10"/>
    </row>
    <row r="3461" spans="1:2" ht="12.75">
      <c r="A3461" s="10"/>
      <c r="B3461" s="10"/>
    </row>
    <row r="3462" spans="1:2" ht="12.75">
      <c r="A3462" s="10"/>
      <c r="B3462" s="10"/>
    </row>
    <row r="3463" spans="1:2" ht="12.75">
      <c r="A3463" s="10"/>
      <c r="B3463" s="10"/>
    </row>
    <row r="3464" spans="1:2" ht="12.75">
      <c r="A3464" s="10"/>
      <c r="B3464" s="10"/>
    </row>
    <row r="3465" spans="1:2" ht="12.75">
      <c r="A3465" s="10"/>
      <c r="B3465" s="10"/>
    </row>
    <row r="3466" spans="1:2" ht="12.75">
      <c r="A3466" s="10"/>
      <c r="B3466" s="10"/>
    </row>
    <row r="3467" spans="1:2" ht="12.75">
      <c r="A3467" s="10"/>
      <c r="B3467" s="10"/>
    </row>
    <row r="3468" spans="1:2" ht="12.75">
      <c r="A3468" s="10"/>
      <c r="B3468" s="10"/>
    </row>
    <row r="3469" spans="1:2" ht="12.75">
      <c r="A3469" s="10"/>
      <c r="B3469" s="10"/>
    </row>
    <row r="3470" spans="1:2" ht="12.75">
      <c r="A3470" s="10"/>
      <c r="B3470" s="10"/>
    </row>
    <row r="3471" spans="1:2" ht="12.75">
      <c r="A3471" s="10"/>
      <c r="B3471" s="10"/>
    </row>
    <row r="3472" spans="1:2" ht="12.75">
      <c r="A3472" s="10"/>
      <c r="B3472" s="10"/>
    </row>
    <row r="3473" spans="1:2" ht="12.75">
      <c r="A3473" s="10"/>
      <c r="B3473" s="10"/>
    </row>
    <row r="3474" spans="1:2" ht="12.75">
      <c r="A3474" s="10"/>
      <c r="B3474" s="10"/>
    </row>
    <row r="3475" spans="1:2" ht="12.75">
      <c r="A3475" s="10"/>
      <c r="B3475" s="10"/>
    </row>
    <row r="3476" spans="1:2" ht="12.75">
      <c r="A3476" s="10"/>
      <c r="B3476" s="10"/>
    </row>
    <row r="3477" spans="1:2" ht="12.75">
      <c r="A3477" s="10"/>
      <c r="B3477" s="10"/>
    </row>
    <row r="3478" spans="1:2" ht="12.75">
      <c r="A3478" s="10"/>
      <c r="B3478" s="10"/>
    </row>
    <row r="3479" spans="1:2" ht="12.75">
      <c r="A3479" s="10"/>
      <c r="B3479" s="10"/>
    </row>
    <row r="3480" spans="1:2" ht="12.75">
      <c r="A3480" s="10"/>
      <c r="B3480" s="10"/>
    </row>
    <row r="3481" spans="1:2" ht="12.75">
      <c r="A3481" s="10"/>
      <c r="B3481" s="10"/>
    </row>
    <row r="3482" spans="1:2" ht="12.75">
      <c r="A3482" s="10"/>
      <c r="B3482" s="10"/>
    </row>
    <row r="3483" spans="1:2" ht="12.75">
      <c r="A3483" s="10"/>
      <c r="B3483" s="10"/>
    </row>
    <row r="3484" spans="1:2" ht="12.75">
      <c r="A3484" s="10"/>
      <c r="B3484" s="10"/>
    </row>
    <row r="3485" spans="1:2" ht="12.75">
      <c r="A3485" s="10"/>
      <c r="B3485" s="10"/>
    </row>
    <row r="3486" spans="1:2" ht="12.75">
      <c r="A3486" s="10"/>
      <c r="B3486" s="10"/>
    </row>
    <row r="3487" spans="1:2" ht="12.75">
      <c r="A3487" s="10"/>
      <c r="B3487" s="10"/>
    </row>
    <row r="3488" spans="1:2" ht="12.75">
      <c r="A3488" s="10"/>
      <c r="B3488" s="10"/>
    </row>
    <row r="3489" spans="1:2" ht="12.75">
      <c r="A3489" s="10"/>
      <c r="B3489" s="10"/>
    </row>
    <row r="3490" spans="1:2" ht="12.75">
      <c r="A3490" s="10"/>
      <c r="B3490" s="10"/>
    </row>
    <row r="3491" spans="1:2" ht="12.75">
      <c r="A3491" s="10"/>
      <c r="B3491" s="10"/>
    </row>
    <row r="3492" spans="1:2" ht="12.75">
      <c r="A3492" s="10"/>
      <c r="B3492" s="10"/>
    </row>
    <row r="3493" spans="1:2" ht="12.75">
      <c r="A3493" s="10"/>
      <c r="B3493" s="10"/>
    </row>
    <row r="3494" spans="1:2" ht="12.75">
      <c r="A3494" s="10"/>
      <c r="B3494" s="10"/>
    </row>
    <row r="3495" spans="1:2" ht="12.75">
      <c r="A3495" s="10"/>
      <c r="B3495" s="10"/>
    </row>
    <row r="3496" spans="1:2" ht="12.75">
      <c r="A3496" s="10"/>
      <c r="B3496" s="10"/>
    </row>
    <row r="3497" spans="1:2" ht="12.75">
      <c r="A3497" s="10"/>
      <c r="B3497" s="10"/>
    </row>
    <row r="3498" spans="1:2" ht="12.75">
      <c r="A3498" s="10"/>
      <c r="B3498" s="10"/>
    </row>
    <row r="3499" spans="1:2" ht="12.75">
      <c r="A3499" s="10"/>
      <c r="B3499" s="10"/>
    </row>
    <row r="3500" spans="1:2" ht="12.75">
      <c r="A3500" s="10"/>
      <c r="B3500" s="10"/>
    </row>
    <row r="3501" spans="1:2" ht="12.75">
      <c r="A3501" s="10"/>
      <c r="B3501" s="10"/>
    </row>
    <row r="3502" spans="1:2" ht="12.75">
      <c r="A3502" s="10"/>
      <c r="B3502" s="10"/>
    </row>
    <row r="3503" spans="1:2" ht="12.75">
      <c r="A3503" s="10"/>
      <c r="B3503" s="10"/>
    </row>
    <row r="3504" spans="1:2" ht="12.75">
      <c r="A3504" s="10"/>
      <c r="B3504" s="10"/>
    </row>
    <row r="3505" spans="1:2" ht="12.75">
      <c r="A3505" s="10"/>
      <c r="B3505" s="10"/>
    </row>
    <row r="3506" spans="1:2" ht="12.75">
      <c r="A3506" s="10"/>
      <c r="B3506" s="10"/>
    </row>
    <row r="3507" spans="1:2" ht="12.75">
      <c r="A3507" s="10"/>
      <c r="B3507" s="10"/>
    </row>
    <row r="3508" spans="1:2" ht="12.75">
      <c r="A3508" s="10"/>
      <c r="B3508" s="10"/>
    </row>
    <row r="3509" spans="1:2" ht="12.75">
      <c r="A3509" s="10"/>
      <c r="B3509" s="10"/>
    </row>
    <row r="3510" spans="1:2" ht="12.75">
      <c r="A3510" s="10"/>
      <c r="B3510" s="10"/>
    </row>
    <row r="3511" spans="1:2" ht="12.75">
      <c r="A3511" s="10"/>
      <c r="B3511" s="10"/>
    </row>
    <row r="3512" spans="1:2" ht="12.75">
      <c r="A3512" s="10"/>
      <c r="B3512" s="10"/>
    </row>
    <row r="3513" spans="1:2" ht="12.75">
      <c r="A3513" s="10"/>
      <c r="B3513" s="10"/>
    </row>
    <row r="3514" spans="1:2" ht="12.75">
      <c r="A3514" s="10"/>
      <c r="B3514" s="10"/>
    </row>
    <row r="3515" spans="1:2" ht="12.75">
      <c r="A3515" s="10"/>
      <c r="B3515" s="10"/>
    </row>
    <row r="3516" spans="1:2" ht="12.75">
      <c r="A3516" s="10"/>
      <c r="B3516" s="10"/>
    </row>
    <row r="3517" spans="1:2" ht="12.75">
      <c r="A3517" s="10"/>
      <c r="B3517" s="10"/>
    </row>
    <row r="3518" spans="1:2" ht="12.75">
      <c r="A3518" s="10"/>
      <c r="B3518" s="10"/>
    </row>
    <row r="3519" spans="1:2" ht="12.75">
      <c r="A3519" s="10"/>
      <c r="B3519" s="10"/>
    </row>
    <row r="3520" spans="1:2" ht="12.75">
      <c r="A3520" s="10"/>
      <c r="B3520" s="10"/>
    </row>
    <row r="3521" spans="1:2" ht="12.75">
      <c r="A3521" s="10"/>
      <c r="B3521" s="10"/>
    </row>
    <row r="3522" spans="1:2" ht="12.75">
      <c r="A3522" s="10"/>
      <c r="B3522" s="10"/>
    </row>
    <row r="3523" spans="1:2" ht="12.75">
      <c r="A3523" s="10"/>
      <c r="B3523" s="10"/>
    </row>
    <row r="3524" spans="1:2" ht="12.75">
      <c r="A3524" s="10"/>
      <c r="B3524" s="10"/>
    </row>
    <row r="3525" spans="1:2" ht="12.75">
      <c r="A3525" s="10"/>
      <c r="B3525" s="10"/>
    </row>
    <row r="3526" spans="1:2" ht="12.75">
      <c r="A3526" s="10"/>
      <c r="B3526" s="10"/>
    </row>
    <row r="3527" spans="1:2" ht="12.75">
      <c r="A3527" s="10"/>
      <c r="B3527" s="10"/>
    </row>
    <row r="3528" spans="1:2" ht="12.75">
      <c r="A3528" s="10"/>
      <c r="B3528" s="10"/>
    </row>
    <row r="3529" spans="1:2" ht="12.75">
      <c r="A3529" s="10"/>
      <c r="B3529" s="10"/>
    </row>
    <row r="3530" spans="1:2" ht="12.75">
      <c r="A3530" s="10"/>
      <c r="B3530" s="10"/>
    </row>
    <row r="3531" spans="1:2" ht="12.75">
      <c r="A3531" s="10"/>
      <c r="B3531" s="10"/>
    </row>
    <row r="3532" spans="1:2" ht="12.75">
      <c r="A3532" s="10"/>
      <c r="B3532" s="10"/>
    </row>
    <row r="3533" spans="1:2" ht="12.75">
      <c r="A3533" s="10"/>
      <c r="B3533" s="10"/>
    </row>
    <row r="3534" spans="1:2" ht="12.75">
      <c r="A3534" s="10"/>
      <c r="B3534" s="10"/>
    </row>
    <row r="3535" spans="1:2" ht="12.75">
      <c r="A3535" s="10"/>
      <c r="B3535" s="10"/>
    </row>
    <row r="3536" spans="1:2" ht="12.75">
      <c r="A3536" s="10"/>
      <c r="B3536" s="10"/>
    </row>
    <row r="3537" spans="1:2" ht="12.75">
      <c r="A3537" s="10"/>
      <c r="B3537" s="10"/>
    </row>
    <row r="3538" spans="1:2" ht="12.75">
      <c r="A3538" s="10"/>
      <c r="B3538" s="10"/>
    </row>
    <row r="3539" spans="1:2" ht="12.75">
      <c r="A3539" s="10"/>
      <c r="B3539" s="10"/>
    </row>
    <row r="3540" spans="1:2" ht="12.75">
      <c r="A3540" s="10"/>
      <c r="B3540" s="10"/>
    </row>
    <row r="3541" spans="1:2" ht="12.75">
      <c r="A3541" s="10"/>
      <c r="B3541" s="10"/>
    </row>
    <row r="3542" spans="1:2" ht="12.75">
      <c r="A3542" s="10"/>
      <c r="B3542" s="10"/>
    </row>
    <row r="3543" spans="1:2" ht="12.75">
      <c r="A3543" s="10"/>
      <c r="B3543" s="10"/>
    </row>
    <row r="3544" spans="1:2" ht="12.75">
      <c r="A3544" s="10"/>
      <c r="B3544" s="10"/>
    </row>
    <row r="3545" spans="1:2" ht="12.75">
      <c r="A3545" s="10"/>
      <c r="B3545" s="10"/>
    </row>
    <row r="3546" spans="1:2" ht="12.75">
      <c r="A3546" s="10"/>
      <c r="B3546" s="10"/>
    </row>
    <row r="3547" spans="1:2" ht="12.75">
      <c r="A3547" s="10"/>
      <c r="B3547" s="10"/>
    </row>
    <row r="3548" spans="1:2" ht="12.75">
      <c r="A3548" s="10"/>
      <c r="B3548" s="10"/>
    </row>
    <row r="3549" spans="1:2" ht="12.75">
      <c r="A3549" s="10"/>
      <c r="B3549" s="10"/>
    </row>
    <row r="3550" spans="1:2" ht="12.75">
      <c r="A3550" s="10"/>
      <c r="B3550" s="10"/>
    </row>
    <row r="3551" spans="1:2" ht="12.75">
      <c r="A3551" s="10"/>
      <c r="B3551" s="10"/>
    </row>
    <row r="3552" spans="1:2" ht="12.75">
      <c r="A3552" s="10"/>
      <c r="B3552" s="10"/>
    </row>
    <row r="3553" spans="1:2" ht="12.75">
      <c r="A3553" s="10"/>
      <c r="B3553" s="10"/>
    </row>
    <row r="3554" spans="1:2" ht="12.75">
      <c r="A3554" s="10"/>
      <c r="B3554" s="10"/>
    </row>
    <row r="3555" spans="1:2" ht="12.75">
      <c r="A3555" s="10"/>
      <c r="B3555" s="10"/>
    </row>
    <row r="3556" spans="1:2" ht="12.75">
      <c r="A3556" s="10"/>
      <c r="B3556" s="10"/>
    </row>
    <row r="3557" spans="1:2" ht="12.75">
      <c r="A3557" s="10"/>
      <c r="B3557" s="10"/>
    </row>
    <row r="3558" spans="1:2" ht="12.75">
      <c r="A3558" s="10"/>
      <c r="B3558" s="10"/>
    </row>
    <row r="3559" spans="1:2" ht="12.75">
      <c r="A3559" s="10"/>
      <c r="B3559" s="10"/>
    </row>
    <row r="3560" spans="1:2" ht="12.75">
      <c r="A3560" s="10"/>
      <c r="B3560" s="10"/>
    </row>
    <row r="3561" spans="1:2" ht="12.75">
      <c r="A3561" s="10"/>
      <c r="B3561" s="10"/>
    </row>
    <row r="3562" spans="1:2" ht="12.75">
      <c r="A3562" s="10"/>
      <c r="B3562" s="10"/>
    </row>
    <row r="3563" spans="1:2" ht="12.75">
      <c r="A3563" s="10"/>
      <c r="B3563" s="10"/>
    </row>
    <row r="3564" spans="1:2" ht="12.75">
      <c r="A3564" s="10"/>
      <c r="B3564" s="10"/>
    </row>
    <row r="3565" spans="1:2" ht="12.75">
      <c r="A3565" s="10"/>
      <c r="B3565" s="10"/>
    </row>
    <row r="3566" spans="1:2" ht="12.75">
      <c r="A3566" s="10"/>
      <c r="B3566" s="10"/>
    </row>
    <row r="3567" spans="1:2" ht="12.75">
      <c r="A3567" s="10"/>
      <c r="B3567" s="10"/>
    </row>
    <row r="3568" spans="1:2" ht="12.75">
      <c r="A3568" s="10"/>
      <c r="B3568" s="10"/>
    </row>
    <row r="3569" spans="1:2" ht="12.75">
      <c r="A3569" s="10"/>
      <c r="B3569" s="10"/>
    </row>
    <row r="3570" spans="1:2" ht="12.75">
      <c r="A3570" s="10"/>
      <c r="B3570" s="10"/>
    </row>
    <row r="3571" spans="1:2" ht="12.75">
      <c r="A3571" s="10"/>
      <c r="B3571" s="10"/>
    </row>
    <row r="3572" spans="1:2" ht="12.75">
      <c r="A3572" s="10"/>
      <c r="B3572" s="10"/>
    </row>
    <row r="3573" spans="1:2" ht="12.75">
      <c r="A3573" s="10"/>
      <c r="B3573" s="10"/>
    </row>
    <row r="3574" spans="1:2" ht="12.75">
      <c r="A3574" s="10"/>
      <c r="B3574" s="10"/>
    </row>
    <row r="3575" spans="1:2" ht="12.75">
      <c r="A3575" s="10"/>
      <c r="B3575" s="10"/>
    </row>
    <row r="3576" spans="1:2" ht="12.75">
      <c r="A3576" s="10"/>
      <c r="B3576" s="10"/>
    </row>
    <row r="3577" spans="1:2" ht="12.75">
      <c r="A3577" s="10"/>
      <c r="B3577" s="10"/>
    </row>
    <row r="3578" spans="1:2" ht="12.75">
      <c r="A3578" s="10"/>
      <c r="B3578" s="10"/>
    </row>
    <row r="3579" spans="1:2" ht="12.75">
      <c r="A3579" s="10"/>
      <c r="B3579" s="10"/>
    </row>
    <row r="3580" spans="1:2" ht="12.75">
      <c r="A3580" s="10"/>
      <c r="B3580" s="10"/>
    </row>
    <row r="3581" spans="1:2" ht="12.75">
      <c r="A3581" s="10"/>
      <c r="B3581" s="10"/>
    </row>
    <row r="3582" spans="1:2" ht="12.75">
      <c r="A3582" s="10"/>
      <c r="B3582" s="10"/>
    </row>
    <row r="3583" spans="1:2" ht="12.75">
      <c r="A3583" s="10"/>
      <c r="B3583" s="10"/>
    </row>
    <row r="3584" spans="1:2" ht="12.75">
      <c r="A3584" s="10"/>
      <c r="B3584" s="10"/>
    </row>
    <row r="3585" spans="1:2" ht="12.75">
      <c r="A3585" s="10"/>
      <c r="B3585" s="10"/>
    </row>
    <row r="3586" spans="1:2" ht="12.75">
      <c r="A3586" s="10"/>
      <c r="B3586" s="10"/>
    </row>
    <row r="3587" spans="1:2" ht="12.75">
      <c r="A3587" s="10"/>
      <c r="B3587" s="10"/>
    </row>
    <row r="3588" spans="1:2" ht="12.75">
      <c r="A3588" s="10"/>
      <c r="B3588" s="10"/>
    </row>
    <row r="3589" spans="1:2" ht="12.75">
      <c r="A3589" s="10"/>
      <c r="B3589" s="10"/>
    </row>
    <row r="3590" spans="1:2" ht="12.75">
      <c r="A3590" s="10"/>
      <c r="B3590" s="10"/>
    </row>
    <row r="3591" spans="1:2" ht="12.75">
      <c r="A3591" s="10"/>
      <c r="B3591" s="10"/>
    </row>
    <row r="3592" spans="1:2" ht="12.75">
      <c r="A3592" s="10"/>
      <c r="B3592" s="10"/>
    </row>
    <row r="3593" spans="1:2" ht="12.75">
      <c r="A3593" s="10"/>
      <c r="B3593" s="10"/>
    </row>
    <row r="3594" spans="1:2" ht="12.75">
      <c r="A3594" s="10"/>
      <c r="B3594" s="10"/>
    </row>
    <row r="3595" spans="1:2" ht="12.75">
      <c r="A3595" s="10"/>
      <c r="B3595" s="10"/>
    </row>
    <row r="3596" spans="1:2" ht="12.75">
      <c r="A3596" s="10"/>
      <c r="B3596" s="10"/>
    </row>
    <row r="3597" spans="1:2" ht="12.75">
      <c r="A3597" s="10"/>
      <c r="B3597" s="10"/>
    </row>
    <row r="3598" spans="1:2" ht="12.75">
      <c r="A3598" s="10"/>
      <c r="B3598" s="10"/>
    </row>
    <row r="3599" spans="1:2" ht="12.75">
      <c r="A3599" s="10"/>
      <c r="B3599" s="10"/>
    </row>
    <row r="3600" spans="1:2" ht="12.75">
      <c r="A3600" s="10"/>
      <c r="B3600" s="10"/>
    </row>
    <row r="3601" spans="1:2" ht="12.75">
      <c r="A3601" s="10"/>
      <c r="B3601" s="10"/>
    </row>
    <row r="3602" spans="1:2" ht="12.75">
      <c r="A3602" s="10"/>
      <c r="B3602" s="10"/>
    </row>
    <row r="3603" spans="1:2" ht="12.75">
      <c r="A3603" s="10"/>
      <c r="B3603" s="10"/>
    </row>
    <row r="3604" spans="1:2" ht="12.75">
      <c r="A3604" s="10"/>
      <c r="B3604" s="10"/>
    </row>
    <row r="3605" spans="1:2" ht="12.75">
      <c r="A3605" s="10"/>
      <c r="B3605" s="10"/>
    </row>
    <row r="3606" spans="1:2" ht="12.75">
      <c r="A3606" s="10"/>
      <c r="B3606" s="10"/>
    </row>
    <row r="3607" spans="1:2" ht="12.75">
      <c r="A3607" s="10"/>
      <c r="B3607" s="10"/>
    </row>
    <row r="3608" spans="1:2" ht="12.75">
      <c r="A3608" s="10"/>
      <c r="B3608" s="10"/>
    </row>
    <row r="3609" spans="1:2" ht="12.75">
      <c r="A3609" s="10"/>
      <c r="B3609" s="10"/>
    </row>
    <row r="3610" spans="1:2" ht="12.75">
      <c r="A3610" s="10"/>
      <c r="B3610" s="10"/>
    </row>
    <row r="3611" spans="1:2" ht="12.75">
      <c r="A3611" s="10"/>
      <c r="B3611" s="10"/>
    </row>
    <row r="3612" spans="1:2" ht="12.75">
      <c r="A3612" s="10"/>
      <c r="B3612" s="10"/>
    </row>
    <row r="3613" spans="1:2" ht="12.75">
      <c r="A3613" s="10"/>
      <c r="B3613" s="10"/>
    </row>
    <row r="3614" spans="1:2" ht="12.75">
      <c r="A3614" s="10"/>
      <c r="B3614" s="10"/>
    </row>
    <row r="3615" spans="1:2" ht="12.75">
      <c r="A3615" s="10"/>
      <c r="B3615" s="10"/>
    </row>
    <row r="3616" spans="1:2" ht="12.75">
      <c r="A3616" s="10"/>
      <c r="B3616" s="10"/>
    </row>
    <row r="3617" spans="1:2" ht="12.75">
      <c r="A3617" s="10"/>
      <c r="B3617" s="10"/>
    </row>
    <row r="3618" spans="1:2" ht="12.75">
      <c r="A3618" s="10"/>
      <c r="B3618" s="10"/>
    </row>
    <row r="3619" spans="1:2" ht="12.75">
      <c r="A3619" s="10"/>
      <c r="B3619" s="10"/>
    </row>
    <row r="3620" spans="1:2" ht="12.75">
      <c r="A3620" s="10"/>
      <c r="B3620" s="10"/>
    </row>
    <row r="3621" spans="1:2" ht="12.75">
      <c r="A3621" s="10"/>
      <c r="B3621" s="10"/>
    </row>
    <row r="3622" spans="1:2" ht="12.75">
      <c r="A3622" s="10"/>
      <c r="B3622" s="10"/>
    </row>
    <row r="3623" spans="1:2" ht="12.75">
      <c r="A3623" s="10"/>
      <c r="B3623" s="10"/>
    </row>
    <row r="3624" spans="1:2" ht="12.75">
      <c r="A3624" s="10"/>
      <c r="B3624" s="10"/>
    </row>
    <row r="3625" spans="1:2" ht="12.75">
      <c r="A3625" s="10"/>
      <c r="B3625" s="10"/>
    </row>
    <row r="3626" spans="1:2" ht="12.75">
      <c r="A3626" s="10"/>
      <c r="B3626" s="10"/>
    </row>
    <row r="3627" spans="1:2" ht="12.75">
      <c r="A3627" s="10"/>
      <c r="B3627" s="10"/>
    </row>
    <row r="3628" spans="1:2" ht="12.75">
      <c r="A3628" s="10"/>
      <c r="B3628" s="10"/>
    </row>
    <row r="3629" spans="1:2" ht="12.75">
      <c r="A3629" s="10"/>
      <c r="B3629" s="10"/>
    </row>
    <row r="3630" spans="1:2" ht="12.75">
      <c r="A3630" s="10"/>
      <c r="B3630" s="10"/>
    </row>
    <row r="3631" spans="1:2" ht="12.75">
      <c r="A3631" s="10"/>
      <c r="B3631" s="10"/>
    </row>
    <row r="3632" spans="1:2" ht="12.75">
      <c r="A3632" s="10"/>
      <c r="B3632" s="10"/>
    </row>
    <row r="3633" spans="1:2" ht="12.75">
      <c r="A3633" s="10"/>
      <c r="B3633" s="10"/>
    </row>
    <row r="3634" spans="1:2" ht="12.75">
      <c r="A3634" s="10"/>
      <c r="B3634" s="10"/>
    </row>
    <row r="3635" spans="1:2" ht="12.75">
      <c r="A3635" s="10"/>
      <c r="B3635" s="10"/>
    </row>
    <row r="3636" spans="1:2" ht="12.75">
      <c r="A3636" s="10"/>
      <c r="B3636" s="10"/>
    </row>
    <row r="3637" spans="1:2" ht="12.75">
      <c r="A3637" s="10"/>
      <c r="B3637" s="10"/>
    </row>
    <row r="3638" spans="1:2" ht="12.75">
      <c r="A3638" s="10"/>
      <c r="B3638" s="10"/>
    </row>
    <row r="3639" spans="1:2" ht="12.75">
      <c r="A3639" s="10"/>
      <c r="B3639" s="10"/>
    </row>
    <row r="3640" spans="1:2" ht="12.75">
      <c r="A3640" s="10"/>
      <c r="B3640" s="10"/>
    </row>
    <row r="3641" spans="1:2" ht="12.75">
      <c r="A3641" s="10"/>
      <c r="B3641" s="10"/>
    </row>
    <row r="3642" spans="1:2" ht="12.75">
      <c r="A3642" s="10"/>
      <c r="B3642" s="10"/>
    </row>
    <row r="3643" spans="1:2" ht="12.75">
      <c r="A3643" s="10"/>
      <c r="B3643" s="10"/>
    </row>
    <row r="3644" spans="1:2" ht="12.75">
      <c r="A3644" s="10"/>
      <c r="B3644" s="10"/>
    </row>
    <row r="3645" spans="1:2" ht="12.75">
      <c r="A3645" s="10"/>
      <c r="B3645" s="10"/>
    </row>
    <row r="3646" spans="1:2" ht="12.75">
      <c r="A3646" s="10"/>
      <c r="B3646" s="10"/>
    </row>
    <row r="3647" spans="1:2" ht="12.75">
      <c r="A3647" s="10"/>
      <c r="B3647" s="10"/>
    </row>
    <row r="3648" spans="1:2" ht="12.75">
      <c r="A3648" s="10"/>
      <c r="B3648" s="10"/>
    </row>
    <row r="3649" spans="1:2" ht="12.75">
      <c r="A3649" s="10"/>
      <c r="B3649" s="10"/>
    </row>
    <row r="3650" spans="1:2" ht="12.75">
      <c r="A3650" s="10"/>
      <c r="B3650" s="10"/>
    </row>
    <row r="3651" spans="1:2" ht="12.75">
      <c r="A3651" s="10"/>
      <c r="B3651" s="10"/>
    </row>
    <row r="3652" spans="1:2" ht="12.75">
      <c r="A3652" s="10"/>
      <c r="B3652" s="10"/>
    </row>
    <row r="3653" spans="1:2" ht="12.75">
      <c r="A3653" s="10"/>
      <c r="B3653" s="10"/>
    </row>
    <row r="3654" spans="1:2" ht="12.75">
      <c r="A3654" s="10"/>
      <c r="B3654" s="10"/>
    </row>
    <row r="3655" spans="1:2" ht="12.75">
      <c r="A3655" s="10"/>
      <c r="B3655" s="10"/>
    </row>
    <row r="3656" spans="1:2" ht="12.75">
      <c r="A3656" s="10"/>
      <c r="B3656" s="10"/>
    </row>
    <row r="3657" spans="1:2" ht="12.75">
      <c r="A3657" s="10"/>
      <c r="B3657" s="10"/>
    </row>
    <row r="3658" spans="1:2" ht="12.75">
      <c r="A3658" s="10"/>
      <c r="B3658" s="10"/>
    </row>
    <row r="3659" spans="1:2" ht="12.75">
      <c r="A3659" s="10"/>
      <c r="B3659" s="10"/>
    </row>
    <row r="3660" spans="1:2" ht="12.75">
      <c r="A3660" s="10"/>
      <c r="B3660" s="10"/>
    </row>
    <row r="3661" spans="1:2" ht="12.75">
      <c r="A3661" s="10"/>
      <c r="B3661" s="10"/>
    </row>
    <row r="3662" spans="1:2" ht="12.75">
      <c r="A3662" s="10"/>
      <c r="B3662" s="10"/>
    </row>
    <row r="3663" spans="1:2" ht="12.75">
      <c r="A3663" s="10"/>
      <c r="B3663" s="10"/>
    </row>
    <row r="3664" spans="1:2" ht="12.75">
      <c r="A3664" s="10"/>
      <c r="B3664" s="10"/>
    </row>
    <row r="3665" spans="1:2" ht="12.75">
      <c r="A3665" s="10"/>
      <c r="B3665" s="10"/>
    </row>
    <row r="3666" spans="1:2" ht="12.75">
      <c r="A3666" s="10"/>
      <c r="B3666" s="10"/>
    </row>
    <row r="3667" spans="1:2" ht="12.75">
      <c r="A3667" s="10"/>
      <c r="B3667" s="10"/>
    </row>
    <row r="3668" spans="1:2" ht="12.75">
      <c r="A3668" s="10"/>
      <c r="B3668" s="10"/>
    </row>
    <row r="3669" spans="1:2" ht="12.75">
      <c r="A3669" s="10"/>
      <c r="B3669" s="10"/>
    </row>
    <row r="3670" spans="1:2" ht="12.75">
      <c r="A3670" s="10"/>
      <c r="B3670" s="10"/>
    </row>
    <row r="3671" spans="1:2" ht="12.75">
      <c r="A3671" s="10"/>
      <c r="B3671" s="10"/>
    </row>
    <row r="3672" spans="1:2" ht="12.75">
      <c r="A3672" s="10"/>
      <c r="B3672" s="10"/>
    </row>
    <row r="3673" spans="1:2" ht="12.75">
      <c r="A3673" s="10"/>
      <c r="B3673" s="10"/>
    </row>
    <row r="3674" spans="1:2" ht="12.75">
      <c r="A3674" s="10"/>
      <c r="B3674" s="10"/>
    </row>
    <row r="3675" spans="1:2" ht="12.75">
      <c r="A3675" s="10"/>
      <c r="B3675" s="10"/>
    </row>
    <row r="3676" spans="1:2" ht="12.75">
      <c r="A3676" s="10"/>
      <c r="B3676" s="10"/>
    </row>
    <row r="3677" spans="1:2" ht="12.75">
      <c r="A3677" s="10"/>
      <c r="B3677" s="10"/>
    </row>
    <row r="3678" spans="1:2" ht="12.75">
      <c r="A3678" s="10"/>
      <c r="B3678" s="10"/>
    </row>
    <row r="3679" spans="1:2" ht="12.75">
      <c r="A3679" s="10"/>
      <c r="B3679" s="10"/>
    </row>
    <row r="3680" spans="1:2" ht="12.75">
      <c r="A3680" s="10"/>
      <c r="B3680" s="10"/>
    </row>
    <row r="3681" spans="1:2" ht="12.75">
      <c r="A3681" s="10"/>
      <c r="B3681" s="10"/>
    </row>
    <row r="3682" spans="1:2" ht="12.75">
      <c r="A3682" s="10"/>
      <c r="B3682" s="10"/>
    </row>
    <row r="3683" spans="1:2" ht="12.75">
      <c r="A3683" s="10"/>
      <c r="B3683" s="10"/>
    </row>
    <row r="3684" spans="1:2" ht="12.75">
      <c r="A3684" s="10"/>
      <c r="B3684" s="10"/>
    </row>
    <row r="3685" spans="1:2" ht="12.75">
      <c r="A3685" s="10"/>
      <c r="B3685" s="10"/>
    </row>
    <row r="3686" spans="1:2" ht="12.75">
      <c r="A3686" s="10"/>
      <c r="B3686" s="10"/>
    </row>
    <row r="3687" spans="1:2" ht="12.75">
      <c r="A3687" s="10"/>
      <c r="B3687" s="10"/>
    </row>
    <row r="3688" spans="1:2" ht="12.75">
      <c r="A3688" s="10"/>
      <c r="B3688" s="10"/>
    </row>
    <row r="3689" spans="1:2" ht="12.75">
      <c r="A3689" s="10"/>
      <c r="B3689" s="10"/>
    </row>
    <row r="3690" spans="1:2" ht="12.75">
      <c r="A3690" s="10"/>
      <c r="B3690" s="10"/>
    </row>
    <row r="3691" spans="1:2" ht="12.75">
      <c r="A3691" s="10"/>
      <c r="B3691" s="10"/>
    </row>
    <row r="3692" spans="1:2" ht="12.75">
      <c r="A3692" s="10"/>
      <c r="B3692" s="10"/>
    </row>
    <row r="3693" spans="1:2" ht="12.75">
      <c r="A3693" s="10"/>
      <c r="B3693" s="10"/>
    </row>
    <row r="3694" spans="1:2" ht="12.75">
      <c r="A3694" s="10"/>
      <c r="B3694" s="10"/>
    </row>
    <row r="3695" spans="1:2" ht="12.75">
      <c r="A3695" s="10"/>
      <c r="B3695" s="10"/>
    </row>
    <row r="3696" spans="1:2" ht="12.75">
      <c r="A3696" s="10"/>
      <c r="B3696" s="10"/>
    </row>
    <row r="3697" spans="1:2" ht="12.75">
      <c r="A3697" s="10"/>
      <c r="B3697" s="10"/>
    </row>
    <row r="3698" spans="1:2" ht="12.75">
      <c r="A3698" s="10"/>
      <c r="B3698" s="10"/>
    </row>
    <row r="3699" spans="1:2" ht="12.75">
      <c r="A3699" s="10"/>
      <c r="B3699" s="10"/>
    </row>
    <row r="3700" spans="1:2" ht="12.75">
      <c r="A3700" s="10"/>
      <c r="B3700" s="10"/>
    </row>
    <row r="3701" spans="1:2" ht="12.75">
      <c r="A3701" s="10"/>
      <c r="B3701" s="10"/>
    </row>
    <row r="3702" spans="1:2" ht="12.75">
      <c r="A3702" s="10"/>
      <c r="B3702" s="10"/>
    </row>
    <row r="3703" spans="1:2" ht="12.75">
      <c r="A3703" s="10"/>
      <c r="B3703" s="10"/>
    </row>
    <row r="3704" spans="1:2" ht="12.75">
      <c r="A3704" s="10"/>
      <c r="B3704" s="10"/>
    </row>
    <row r="3705" spans="1:2" ht="12.75">
      <c r="A3705" s="10"/>
      <c r="B3705" s="10"/>
    </row>
    <row r="3706" spans="1:2" ht="12.75">
      <c r="A3706" s="10"/>
      <c r="B3706" s="10"/>
    </row>
    <row r="3707" spans="1:2" ht="12.75">
      <c r="A3707" s="10"/>
      <c r="B3707" s="10"/>
    </row>
    <row r="3708" spans="1:2" ht="12.75">
      <c r="A3708" s="10"/>
      <c r="B3708" s="10"/>
    </row>
    <row r="3709" spans="1:2" ht="12.75">
      <c r="A3709" s="10"/>
      <c r="B3709" s="10"/>
    </row>
    <row r="3710" spans="1:2" ht="12.75">
      <c r="A3710" s="10"/>
      <c r="B3710" s="10"/>
    </row>
    <row r="3711" spans="1:2" ht="12.75">
      <c r="A3711" s="10"/>
      <c r="B3711" s="10"/>
    </row>
    <row r="3712" spans="1:2" ht="12.75">
      <c r="A3712" s="10"/>
      <c r="B3712" s="10"/>
    </row>
    <row r="3713" spans="1:2" ht="12.75">
      <c r="A3713" s="10"/>
      <c r="B3713" s="10"/>
    </row>
    <row r="3714" spans="1:2" ht="12.75">
      <c r="A3714" s="10"/>
      <c r="B3714" s="10"/>
    </row>
    <row r="3715" spans="1:2" ht="12.75">
      <c r="A3715" s="10"/>
      <c r="B3715" s="10"/>
    </row>
    <row r="3716" spans="1:2" ht="12.75">
      <c r="A3716" s="10"/>
      <c r="B3716" s="10"/>
    </row>
    <row r="3717" spans="1:2" ht="12.75">
      <c r="A3717" s="10"/>
      <c r="B3717" s="10"/>
    </row>
    <row r="3718" spans="1:2" ht="12.75">
      <c r="A3718" s="10"/>
      <c r="B3718" s="10"/>
    </row>
    <row r="3719" spans="1:2" ht="12.75">
      <c r="A3719" s="10"/>
      <c r="B3719" s="10"/>
    </row>
    <row r="3720" spans="1:2" ht="12.75">
      <c r="A3720" s="10"/>
      <c r="B3720" s="10"/>
    </row>
    <row r="3721" spans="1:2" ht="12.75">
      <c r="A3721" s="10"/>
      <c r="B3721" s="10"/>
    </row>
    <row r="3722" spans="1:2" ht="12.75">
      <c r="A3722" s="10"/>
      <c r="B3722" s="10"/>
    </row>
    <row r="3723" spans="1:2" ht="12.75">
      <c r="A3723" s="10"/>
      <c r="B3723" s="10"/>
    </row>
    <row r="3724" spans="1:2" ht="12.75">
      <c r="A3724" s="10"/>
      <c r="B3724" s="10"/>
    </row>
    <row r="3725" spans="1:2" ht="12.75">
      <c r="A3725" s="10"/>
      <c r="B3725" s="10"/>
    </row>
    <row r="3726" spans="1:2" ht="12.75">
      <c r="A3726" s="10"/>
      <c r="B3726" s="10"/>
    </row>
    <row r="3727" spans="1:2" ht="12.75">
      <c r="A3727" s="10"/>
      <c r="B3727" s="10"/>
    </row>
    <row r="3728" spans="1:2" ht="12.75">
      <c r="A3728" s="10"/>
      <c r="B3728" s="10"/>
    </row>
    <row r="3729" spans="1:2" ht="12.75">
      <c r="A3729" s="10"/>
      <c r="B3729" s="10"/>
    </row>
    <row r="3730" spans="1:2" ht="12.75">
      <c r="A3730" s="10"/>
      <c r="B3730" s="10"/>
    </row>
    <row r="3731" spans="1:2" ht="12.75">
      <c r="A3731" s="10"/>
      <c r="B3731" s="10"/>
    </row>
    <row r="3732" spans="1:2" ht="12.75">
      <c r="A3732" s="10"/>
      <c r="B3732" s="10"/>
    </row>
    <row r="3733" spans="1:2" ht="12.75">
      <c r="A3733" s="10"/>
      <c r="B3733" s="10"/>
    </row>
    <row r="3734" spans="1:2" ht="12.75">
      <c r="A3734" s="10"/>
      <c r="B3734" s="10"/>
    </row>
    <row r="3735" spans="1:2" ht="12.75">
      <c r="A3735" s="10"/>
      <c r="B3735" s="10"/>
    </row>
    <row r="3736" spans="1:2" ht="12.75">
      <c r="A3736" s="10"/>
      <c r="B3736" s="10"/>
    </row>
    <row r="3737" spans="1:2" ht="12.75">
      <c r="A3737" s="10"/>
      <c r="B3737" s="10"/>
    </row>
    <row r="3738" spans="1:2" ht="12.75">
      <c r="A3738" s="10"/>
      <c r="B3738" s="10"/>
    </row>
    <row r="3739" spans="1:2" ht="12.75">
      <c r="A3739" s="10"/>
      <c r="B3739" s="10"/>
    </row>
    <row r="3740" spans="1:2" ht="12.75">
      <c r="A3740" s="10"/>
      <c r="B3740" s="10"/>
    </row>
    <row r="3741" spans="1:2" ht="12.75">
      <c r="A3741" s="10"/>
      <c r="B3741" s="10"/>
    </row>
    <row r="3742" spans="1:2" ht="12.75">
      <c r="A3742" s="10"/>
      <c r="B3742" s="10"/>
    </row>
    <row r="3743" spans="1:2" ht="12.75">
      <c r="A3743" s="10"/>
      <c r="B3743" s="10"/>
    </row>
    <row r="3744" spans="1:2" ht="12.75">
      <c r="A3744" s="10"/>
      <c r="B3744" s="10"/>
    </row>
    <row r="3745" spans="1:2" ht="12.75">
      <c r="A3745" s="10"/>
      <c r="B3745" s="10"/>
    </row>
    <row r="3746" spans="1:2" ht="12.75">
      <c r="A3746" s="10"/>
      <c r="B3746" s="10"/>
    </row>
    <row r="3747" spans="1:2" ht="12.75">
      <c r="A3747" s="10"/>
      <c r="B3747" s="10"/>
    </row>
    <row r="3748" spans="1:2" ht="12.75">
      <c r="A3748" s="10"/>
      <c r="B3748" s="10"/>
    </row>
    <row r="3749" spans="1:2" ht="12.75">
      <c r="A3749" s="10"/>
      <c r="B3749" s="10"/>
    </row>
    <row r="3750" spans="1:2" ht="12.75">
      <c r="A3750" s="10"/>
      <c r="B3750" s="10"/>
    </row>
    <row r="3751" spans="1:2" ht="12.75">
      <c r="A3751" s="10"/>
      <c r="B3751" s="10"/>
    </row>
    <row r="3752" spans="1:2" ht="12.75">
      <c r="A3752" s="10"/>
      <c r="B3752" s="10"/>
    </row>
    <row r="3753" spans="1:2" ht="12.75">
      <c r="A3753" s="10"/>
      <c r="B3753" s="10"/>
    </row>
    <row r="3754" spans="1:2" ht="12.75">
      <c r="A3754" s="10"/>
      <c r="B3754" s="10"/>
    </row>
    <row r="3755" spans="1:2" ht="12.75">
      <c r="A3755" s="10"/>
      <c r="B3755" s="10"/>
    </row>
    <row r="3756" spans="1:2" ht="12.75">
      <c r="A3756" s="10"/>
      <c r="B3756" s="10"/>
    </row>
    <row r="3757" spans="1:2" ht="12.75">
      <c r="A3757" s="10"/>
      <c r="B3757" s="10"/>
    </row>
    <row r="3758" spans="1:2" ht="12.75">
      <c r="A3758" s="10"/>
      <c r="B3758" s="10"/>
    </row>
    <row r="3759" spans="1:2" ht="12.75">
      <c r="A3759" s="10"/>
      <c r="B3759" s="10"/>
    </row>
    <row r="3760" spans="1:2" ht="12.75">
      <c r="A3760" s="10"/>
      <c r="B3760" s="10"/>
    </row>
    <row r="3761" spans="1:2" ht="12.75">
      <c r="A3761" s="10"/>
      <c r="B3761" s="10"/>
    </row>
    <row r="3762" spans="1:2" ht="12.75">
      <c r="A3762" s="10"/>
      <c r="B3762" s="10"/>
    </row>
    <row r="3763" spans="1:2" ht="12.75">
      <c r="A3763" s="10"/>
      <c r="B3763" s="10"/>
    </row>
    <row r="3764" spans="1:2" ht="12.75">
      <c r="A3764" s="10"/>
      <c r="B3764" s="10"/>
    </row>
    <row r="3765" spans="1:2" ht="12.75">
      <c r="A3765" s="10"/>
      <c r="B3765" s="10"/>
    </row>
    <row r="3766" spans="1:2" ht="12.75">
      <c r="A3766" s="10"/>
      <c r="B3766" s="10"/>
    </row>
    <row r="3767" spans="1:2" ht="12.75">
      <c r="A3767" s="10"/>
      <c r="B3767" s="10"/>
    </row>
    <row r="3768" spans="1:2" ht="12.75">
      <c r="A3768" s="10"/>
      <c r="B3768" s="10"/>
    </row>
    <row r="3769" spans="1:2" ht="12.75">
      <c r="A3769" s="10"/>
      <c r="B3769" s="10"/>
    </row>
    <row r="3770" spans="1:2" ht="12.75">
      <c r="A3770" s="10"/>
      <c r="B3770" s="10"/>
    </row>
    <row r="3771" spans="1:2" ht="12.75">
      <c r="A3771" s="10"/>
      <c r="B3771" s="10"/>
    </row>
    <row r="3772" spans="1:2" ht="12.75">
      <c r="A3772" s="10"/>
      <c r="B3772" s="10"/>
    </row>
    <row r="3773" spans="1:2" ht="12.75">
      <c r="A3773" s="10"/>
      <c r="B3773" s="10"/>
    </row>
    <row r="3774" spans="1:2" ht="12.75">
      <c r="A3774" s="10"/>
      <c r="B3774" s="10"/>
    </row>
    <row r="3775" spans="1:2" ht="12.75">
      <c r="A3775" s="10"/>
      <c r="B3775" s="10"/>
    </row>
    <row r="3776" spans="1:2" ht="12.75">
      <c r="A3776" s="10"/>
      <c r="B3776" s="10"/>
    </row>
    <row r="3777" spans="1:2" ht="12.75">
      <c r="A3777" s="10"/>
      <c r="B3777" s="10"/>
    </row>
    <row r="3778" spans="1:2" ht="12.75">
      <c r="A3778" s="10"/>
      <c r="B3778" s="10"/>
    </row>
    <row r="3779" spans="1:2" ht="12.75">
      <c r="A3779" s="10"/>
      <c r="B3779" s="10"/>
    </row>
    <row r="3780" spans="1:2" ht="12.75">
      <c r="A3780" s="10"/>
      <c r="B3780" s="10"/>
    </row>
    <row r="3781" spans="1:2" ht="12.75">
      <c r="A3781" s="10"/>
      <c r="B3781" s="10"/>
    </row>
    <row r="3782" spans="1:2" ht="12.75">
      <c r="A3782" s="10"/>
      <c r="B3782" s="10"/>
    </row>
    <row r="3783" spans="1:2" ht="12.75">
      <c r="A3783" s="10"/>
      <c r="B3783" s="10"/>
    </row>
    <row r="3784" spans="1:2" ht="12.75">
      <c r="A3784" s="10"/>
      <c r="B3784" s="10"/>
    </row>
    <row r="3785" spans="1:2" ht="12.75">
      <c r="A3785" s="10"/>
      <c r="B3785" s="10"/>
    </row>
    <row r="3786" spans="1:2" ht="12.75">
      <c r="A3786" s="10"/>
      <c r="B3786" s="10"/>
    </row>
    <row r="3787" spans="1:2" ht="12.75">
      <c r="A3787" s="10"/>
      <c r="B3787" s="10"/>
    </row>
    <row r="3788" spans="1:2" ht="12.75">
      <c r="A3788" s="10"/>
      <c r="B3788" s="10"/>
    </row>
    <row r="3789" spans="1:2" ht="12.75">
      <c r="A3789" s="10"/>
      <c r="B3789" s="10"/>
    </row>
    <row r="3790" spans="1:2" ht="12.75">
      <c r="A3790" s="10"/>
      <c r="B3790" s="10"/>
    </row>
    <row r="3791" spans="1:2" ht="12.75">
      <c r="A3791" s="10"/>
      <c r="B3791" s="10"/>
    </row>
    <row r="3792" spans="1:2" ht="12.75">
      <c r="A3792" s="10"/>
      <c r="B3792" s="10"/>
    </row>
    <row r="3793" spans="1:2" ht="12.75">
      <c r="A3793" s="10"/>
      <c r="B3793" s="10"/>
    </row>
    <row r="3794" spans="1:2" ht="12.75">
      <c r="A3794" s="10"/>
      <c r="B3794" s="10"/>
    </row>
    <row r="3795" spans="1:2" ht="12.75">
      <c r="A3795" s="10"/>
      <c r="B3795" s="10"/>
    </row>
    <row r="3796" spans="1:2" ht="12.75">
      <c r="A3796" s="10"/>
      <c r="B3796" s="10"/>
    </row>
    <row r="3797" spans="1:2" ht="12.75">
      <c r="A3797" s="10"/>
      <c r="B3797" s="10"/>
    </row>
    <row r="3798" spans="1:2" ht="12.75">
      <c r="A3798" s="10"/>
      <c r="B3798" s="10"/>
    </row>
    <row r="3799" spans="1:2" ht="12.75">
      <c r="A3799" s="10"/>
      <c r="B3799" s="10"/>
    </row>
    <row r="3800" spans="1:2" ht="12.75">
      <c r="A3800" s="10"/>
      <c r="B3800" s="10"/>
    </row>
    <row r="3801" spans="1:2" ht="12.75">
      <c r="A3801" s="10"/>
      <c r="B3801" s="10"/>
    </row>
    <row r="3802" spans="1:2" ht="12.75">
      <c r="A3802" s="10"/>
      <c r="B3802" s="10"/>
    </row>
    <row r="3803" spans="1:2" ht="12.75">
      <c r="A3803" s="10"/>
      <c r="B3803" s="10"/>
    </row>
    <row r="3804" spans="1:2" ht="12.75">
      <c r="A3804" s="10"/>
      <c r="B3804" s="10"/>
    </row>
    <row r="3805" spans="1:2" ht="12.75">
      <c r="A3805" s="10"/>
      <c r="B3805" s="10"/>
    </row>
    <row r="3806" spans="1:2" ht="12.75">
      <c r="A3806" s="10"/>
      <c r="B3806" s="10"/>
    </row>
    <row r="3807" spans="1:2" ht="12.75">
      <c r="A3807" s="10"/>
      <c r="B3807" s="10"/>
    </row>
    <row r="3808" spans="1:2" ht="12.75">
      <c r="A3808" s="10"/>
      <c r="B3808" s="10"/>
    </row>
    <row r="3809" spans="1:2" ht="12.75">
      <c r="A3809" s="10"/>
      <c r="B3809" s="10"/>
    </row>
    <row r="3810" spans="1:2" ht="12.75">
      <c r="A3810" s="10"/>
      <c r="B3810" s="10"/>
    </row>
    <row r="3811" spans="1:2" ht="12.75">
      <c r="A3811" s="10"/>
      <c r="B3811" s="10"/>
    </row>
    <row r="3812" spans="1:2" ht="12.75">
      <c r="A3812" s="10"/>
      <c r="B3812" s="10"/>
    </row>
    <row r="3813" spans="1:2" ht="12.75">
      <c r="A3813" s="10"/>
      <c r="B3813" s="10"/>
    </row>
    <row r="3814" spans="1:2" ht="12.75">
      <c r="A3814" s="10"/>
      <c r="B3814" s="10"/>
    </row>
    <row r="3815" spans="1:2" ht="12.75">
      <c r="A3815" s="10"/>
      <c r="B3815" s="10"/>
    </row>
    <row r="3816" spans="1:2" ht="12.75">
      <c r="A3816" s="10"/>
      <c r="B3816" s="10"/>
    </row>
    <row r="3817" spans="1:2" ht="12.75">
      <c r="A3817" s="10"/>
      <c r="B3817" s="10"/>
    </row>
    <row r="3818" spans="1:2" ht="12.75">
      <c r="A3818" s="10"/>
      <c r="B3818" s="10"/>
    </row>
    <row r="3819" spans="1:2" ht="12.75">
      <c r="A3819" s="10"/>
      <c r="B3819" s="10"/>
    </row>
    <row r="3820" spans="1:2" ht="12.75">
      <c r="A3820" s="10"/>
      <c r="B3820" s="10"/>
    </row>
    <row r="3821" spans="1:2" ht="12.75">
      <c r="A3821" s="10"/>
      <c r="B3821" s="10"/>
    </row>
    <row r="3822" spans="1:2" ht="12.75">
      <c r="A3822" s="10"/>
      <c r="B3822" s="10"/>
    </row>
    <row r="3823" spans="1:2" ht="12.75">
      <c r="A3823" s="10"/>
      <c r="B3823" s="10"/>
    </row>
    <row r="3824" spans="1:2" ht="12.75">
      <c r="A3824" s="10"/>
      <c r="B3824" s="10"/>
    </row>
    <row r="3825" spans="1:2" ht="12.75">
      <c r="A3825" s="10"/>
      <c r="B3825" s="10"/>
    </row>
    <row r="3826" spans="1:2" ht="12.75">
      <c r="A3826" s="10"/>
      <c r="B3826" s="10"/>
    </row>
    <row r="3827" spans="1:2" ht="12.75">
      <c r="A3827" s="10"/>
      <c r="B3827" s="10"/>
    </row>
    <row r="3828" spans="1:2" ht="12.75">
      <c r="A3828" s="10"/>
      <c r="B3828" s="10"/>
    </row>
    <row r="3829" spans="1:2" ht="12.75">
      <c r="A3829" s="10"/>
      <c r="B3829" s="10"/>
    </row>
    <row r="3830" spans="1:2" ht="12.75">
      <c r="A3830" s="10"/>
      <c r="B3830" s="10"/>
    </row>
    <row r="3831" spans="1:2" ht="12.75">
      <c r="A3831" s="10"/>
      <c r="B3831" s="10"/>
    </row>
    <row r="3832" spans="1:2" ht="12.75">
      <c r="A3832" s="10"/>
      <c r="B3832" s="10"/>
    </row>
    <row r="3833" spans="1:2" ht="12.75">
      <c r="A3833" s="10"/>
      <c r="B3833" s="10"/>
    </row>
    <row r="3834" spans="1:2" ht="12.75">
      <c r="A3834" s="10"/>
      <c r="B3834" s="10"/>
    </row>
    <row r="3835" spans="1:2" ht="12.75">
      <c r="A3835" s="10"/>
      <c r="B3835" s="10"/>
    </row>
    <row r="3836" spans="1:2" ht="12.75">
      <c r="A3836" s="10"/>
      <c r="B3836" s="10"/>
    </row>
    <row r="3837" spans="1:2" ht="12.75">
      <c r="A3837" s="10"/>
      <c r="B3837" s="10"/>
    </row>
    <row r="3838" spans="1:2" ht="12.75">
      <c r="A3838" s="10"/>
      <c r="B3838" s="10"/>
    </row>
    <row r="3839" spans="1:2" ht="12.75">
      <c r="A3839" s="10"/>
      <c r="B3839" s="10"/>
    </row>
    <row r="3840" spans="1:2" ht="12.75">
      <c r="A3840" s="10"/>
      <c r="B3840" s="10"/>
    </row>
    <row r="3841" spans="1:2" ht="12.75">
      <c r="A3841" s="10"/>
      <c r="B3841" s="10"/>
    </row>
    <row r="3842" spans="1:2" ht="12.75">
      <c r="A3842" s="10"/>
      <c r="B3842" s="10"/>
    </row>
    <row r="3843" spans="1:2" ht="12.75">
      <c r="A3843" s="10"/>
      <c r="B3843" s="10"/>
    </row>
    <row r="3844" spans="1:2" ht="12.75">
      <c r="A3844" s="10"/>
      <c r="B3844" s="10"/>
    </row>
    <row r="3845" spans="1:2" ht="12.75">
      <c r="A3845" s="10"/>
      <c r="B3845" s="10"/>
    </row>
    <row r="3846" spans="1:2" ht="12.75">
      <c r="A3846" s="10"/>
      <c r="B3846" s="10"/>
    </row>
    <row r="3847" spans="1:2" ht="12.75">
      <c r="A3847" s="10"/>
      <c r="B3847" s="10"/>
    </row>
    <row r="3848" spans="1:2" ht="12.75">
      <c r="A3848" s="10"/>
      <c r="B3848" s="10"/>
    </row>
    <row r="3849" spans="1:2" ht="12.75">
      <c r="A3849" s="10"/>
      <c r="B3849" s="10"/>
    </row>
    <row r="3850" spans="1:2" ht="12.75">
      <c r="A3850" s="10"/>
      <c r="B3850" s="10"/>
    </row>
    <row r="3851" spans="1:2" ht="12.75">
      <c r="A3851" s="10"/>
      <c r="B3851" s="10"/>
    </row>
    <row r="3852" spans="1:2" ht="12.75">
      <c r="A3852" s="10"/>
      <c r="B3852" s="10"/>
    </row>
    <row r="3853" spans="1:2" ht="12.75">
      <c r="A3853" s="10"/>
      <c r="B3853" s="10"/>
    </row>
    <row r="3854" spans="1:2" ht="12.75">
      <c r="A3854" s="10"/>
      <c r="B3854" s="10"/>
    </row>
    <row r="3855" spans="1:2" ht="12.75">
      <c r="A3855" s="10"/>
      <c r="B3855" s="10"/>
    </row>
    <row r="3856" spans="1:2" ht="12.75">
      <c r="A3856" s="10"/>
      <c r="B3856" s="10"/>
    </row>
    <row r="3857" spans="1:2" ht="12.75">
      <c r="A3857" s="10"/>
      <c r="B3857" s="10"/>
    </row>
    <row r="3858" spans="1:2" ht="12.75">
      <c r="A3858" s="10"/>
      <c r="B3858" s="10"/>
    </row>
    <row r="3859" spans="1:2" ht="12.75">
      <c r="A3859" s="10"/>
      <c r="B3859" s="10"/>
    </row>
    <row r="3860" spans="1:2" ht="12.75">
      <c r="A3860" s="10"/>
      <c r="B3860" s="10"/>
    </row>
    <row r="3861" spans="1:2" ht="12.75">
      <c r="A3861" s="10"/>
      <c r="B3861" s="10"/>
    </row>
    <row r="3862" spans="1:2" ht="12.75">
      <c r="A3862" s="10"/>
      <c r="B3862" s="10"/>
    </row>
    <row r="3863" spans="1:2" ht="12.75">
      <c r="A3863" s="10"/>
      <c r="B3863" s="10"/>
    </row>
    <row r="3864" spans="1:2" ht="12.75">
      <c r="A3864" s="10"/>
      <c r="B3864" s="10"/>
    </row>
    <row r="3865" spans="1:2" ht="12.75">
      <c r="A3865" s="10"/>
      <c r="B3865" s="10"/>
    </row>
    <row r="3866" spans="1:2" ht="12.75">
      <c r="A3866" s="10"/>
      <c r="B3866" s="10"/>
    </row>
    <row r="3867" spans="1:2" ht="12.75">
      <c r="A3867" s="10"/>
      <c r="B3867" s="10"/>
    </row>
    <row r="3868" spans="1:2" ht="12.75">
      <c r="A3868" s="10"/>
      <c r="B3868" s="10"/>
    </row>
    <row r="3869" spans="1:2" ht="12.75">
      <c r="A3869" s="10"/>
      <c r="B3869" s="10"/>
    </row>
    <row r="3870" spans="1:2" ht="12.75">
      <c r="A3870" s="10"/>
      <c r="B3870" s="10"/>
    </row>
    <row r="3871" spans="1:2" ht="12.75">
      <c r="A3871" s="10"/>
      <c r="B3871" s="10"/>
    </row>
    <row r="3872" spans="1:2" ht="12.75">
      <c r="A3872" s="10"/>
      <c r="B3872" s="10"/>
    </row>
    <row r="3873" spans="1:2" ht="12.75">
      <c r="A3873" s="10"/>
      <c r="B3873" s="10"/>
    </row>
    <row r="3874" spans="1:2" ht="12.75">
      <c r="A3874" s="10"/>
      <c r="B3874" s="10"/>
    </row>
    <row r="3875" spans="1:2" ht="12.75">
      <c r="A3875" s="10"/>
      <c r="B3875" s="10"/>
    </row>
    <row r="3876" spans="1:2" ht="12.75">
      <c r="A3876" s="10"/>
      <c r="B3876" s="10"/>
    </row>
    <row r="3877" spans="1:2" ht="12.75">
      <c r="A3877" s="10"/>
      <c r="B3877" s="10"/>
    </row>
    <row r="3878" spans="1:2" ht="12.75">
      <c r="A3878" s="10"/>
      <c r="B3878" s="10"/>
    </row>
    <row r="3879" spans="1:2" ht="12.75">
      <c r="A3879" s="10"/>
      <c r="B3879" s="10"/>
    </row>
    <row r="3880" spans="1:2" ht="12.75">
      <c r="A3880" s="10"/>
      <c r="B3880" s="10"/>
    </row>
    <row r="3881" spans="1:2" ht="12.75">
      <c r="A3881" s="10"/>
      <c r="B3881" s="10"/>
    </row>
    <row r="3882" spans="1:2" ht="12.75">
      <c r="A3882" s="10"/>
      <c r="B3882" s="10"/>
    </row>
    <row r="3883" spans="1:2" ht="12.75">
      <c r="A3883" s="10"/>
      <c r="B3883" s="10"/>
    </row>
    <row r="3884" spans="1:2" ht="12.75">
      <c r="A3884" s="10"/>
      <c r="B3884" s="10"/>
    </row>
    <row r="3885" spans="1:2" ht="12.75">
      <c r="A3885" s="10"/>
      <c r="B3885" s="10"/>
    </row>
    <row r="3886" spans="1:2" ht="12.75">
      <c r="A3886" s="10"/>
      <c r="B3886" s="10"/>
    </row>
    <row r="3887" spans="1:2" ht="12.75">
      <c r="A3887" s="10"/>
      <c r="B3887" s="10"/>
    </row>
    <row r="3888" spans="1:2" ht="12.75">
      <c r="A3888" s="10"/>
      <c r="B3888" s="10"/>
    </row>
    <row r="3889" spans="1:2" ht="12.75">
      <c r="A3889" s="10"/>
      <c r="B3889" s="10"/>
    </row>
    <row r="3890" spans="1:2" ht="12.75">
      <c r="A3890" s="10"/>
      <c r="B3890" s="10"/>
    </row>
    <row r="3891" spans="1:2" ht="12.75">
      <c r="A3891" s="10"/>
      <c r="B3891" s="10"/>
    </row>
    <row r="3892" spans="1:2" ht="12.75">
      <c r="A3892" s="10"/>
      <c r="B3892" s="10"/>
    </row>
    <row r="3893" spans="1:2" ht="12.75">
      <c r="A3893" s="10"/>
      <c r="B3893" s="10"/>
    </row>
    <row r="3894" spans="1:2" ht="12.75">
      <c r="A3894" s="10"/>
      <c r="B3894" s="10"/>
    </row>
    <row r="3895" spans="1:2" ht="12.75">
      <c r="A3895" s="10"/>
      <c r="B3895" s="10"/>
    </row>
    <row r="3896" spans="1:2" ht="12.75">
      <c r="A3896" s="10"/>
      <c r="B3896" s="10"/>
    </row>
    <row r="3897" spans="1:2" ht="12.75">
      <c r="A3897" s="10"/>
      <c r="B3897" s="10"/>
    </row>
    <row r="3898" spans="1:2" ht="12.75">
      <c r="A3898" s="10"/>
      <c r="B3898" s="10"/>
    </row>
    <row r="3899" spans="1:2" ht="12.75">
      <c r="A3899" s="10"/>
      <c r="B3899" s="10"/>
    </row>
    <row r="3900" spans="1:2" ht="12.75">
      <c r="A3900" s="10"/>
      <c r="B3900" s="10"/>
    </row>
    <row r="3901" spans="1:2" ht="12.75">
      <c r="A3901" s="10"/>
      <c r="B3901" s="10"/>
    </row>
    <row r="3902" spans="1:2" ht="12.75">
      <c r="A3902" s="10"/>
      <c r="B3902" s="10"/>
    </row>
    <row r="3903" spans="1:2" ht="12.75">
      <c r="A3903" s="10"/>
      <c r="B3903" s="10"/>
    </row>
    <row r="3904" spans="1:2" ht="12.75">
      <c r="A3904" s="10"/>
      <c r="B3904" s="10"/>
    </row>
    <row r="3905" spans="1:2" ht="12.75">
      <c r="A3905" s="10"/>
      <c r="B3905" s="10"/>
    </row>
    <row r="3906" spans="1:2" ht="12.75">
      <c r="A3906" s="10"/>
      <c r="B3906" s="10"/>
    </row>
    <row r="3907" spans="1:2" ht="12.75">
      <c r="A3907" s="10"/>
      <c r="B3907" s="10"/>
    </row>
    <row r="3908" spans="1:2" ht="12.75">
      <c r="A3908" s="10"/>
      <c r="B3908" s="10"/>
    </row>
    <row r="3909" spans="1:2" ht="12.75">
      <c r="A3909" s="10"/>
      <c r="B3909" s="10"/>
    </row>
    <row r="3910" spans="1:2" ht="12.75">
      <c r="A3910" s="10"/>
      <c r="B3910" s="10"/>
    </row>
    <row r="3911" spans="1:2" ht="12.75">
      <c r="A3911" s="10"/>
      <c r="B3911" s="10"/>
    </row>
    <row r="3912" spans="1:2" ht="12.75">
      <c r="A3912" s="10"/>
      <c r="B3912" s="10"/>
    </row>
    <row r="3913" spans="1:2" ht="12.75">
      <c r="A3913" s="10"/>
      <c r="B3913" s="10"/>
    </row>
    <row r="3914" spans="1:2" ht="12.75">
      <c r="A3914" s="10"/>
      <c r="B3914" s="10"/>
    </row>
    <row r="3915" spans="1:2" ht="12.75">
      <c r="A3915" s="10"/>
      <c r="B3915" s="10"/>
    </row>
    <row r="3916" spans="1:2" ht="12.75">
      <c r="A3916" s="10"/>
      <c r="B3916" s="10"/>
    </row>
    <row r="3917" spans="1:2" ht="12.75">
      <c r="A3917" s="10"/>
      <c r="B3917" s="10"/>
    </row>
    <row r="3918" spans="1:2" ht="12.75">
      <c r="A3918" s="10"/>
      <c r="B3918" s="10"/>
    </row>
    <row r="3919" spans="1:2" ht="12.75">
      <c r="A3919" s="10"/>
      <c r="B3919" s="10"/>
    </row>
    <row r="3920" spans="1:2" ht="12.75">
      <c r="A3920" s="10"/>
      <c r="B3920" s="10"/>
    </row>
    <row r="3921" spans="1:2" ht="12.75">
      <c r="A3921" s="10"/>
      <c r="B3921" s="10"/>
    </row>
    <row r="3922" spans="1:2" ht="12.75">
      <c r="A3922" s="10"/>
      <c r="B3922" s="10"/>
    </row>
    <row r="3923" spans="1:2" ht="12.75">
      <c r="A3923" s="10"/>
      <c r="B3923" s="10"/>
    </row>
    <row r="3924" spans="1:2" ht="12.75">
      <c r="A3924" s="10"/>
      <c r="B3924" s="10"/>
    </row>
    <row r="3925" spans="1:2" ht="12.75">
      <c r="A3925" s="10"/>
      <c r="B3925" s="10"/>
    </row>
    <row r="3926" spans="1:2" ht="12.75">
      <c r="A3926" s="10"/>
      <c r="B3926" s="10"/>
    </row>
    <row r="3927" spans="1:2" ht="12.75">
      <c r="A3927" s="10"/>
      <c r="B3927" s="10"/>
    </row>
    <row r="3928" spans="1:2" ht="12.75">
      <c r="A3928" s="10"/>
      <c r="B3928" s="10"/>
    </row>
    <row r="3929" spans="1:2" ht="12.75">
      <c r="A3929" s="10"/>
      <c r="B3929" s="10"/>
    </row>
    <row r="3930" spans="1:2" ht="12.75">
      <c r="A3930" s="10"/>
      <c r="B3930" s="10"/>
    </row>
    <row r="3931" spans="1:2" ht="12.75">
      <c r="A3931" s="10"/>
      <c r="B3931" s="10"/>
    </row>
    <row r="3932" spans="1:2" ht="12.75">
      <c r="A3932" s="10"/>
      <c r="B3932" s="10"/>
    </row>
    <row r="3933" spans="1:2" ht="12.75">
      <c r="A3933" s="10"/>
      <c r="B3933" s="10"/>
    </row>
    <row r="3934" spans="1:2" ht="12.75">
      <c r="A3934" s="10"/>
      <c r="B3934" s="10"/>
    </row>
    <row r="3935" spans="1:2" ht="12.75">
      <c r="A3935" s="10"/>
      <c r="B3935" s="10"/>
    </row>
    <row r="3936" spans="1:2" ht="12.75">
      <c r="A3936" s="10"/>
      <c r="B3936" s="10"/>
    </row>
    <row r="3937" spans="1:2" ht="12.75">
      <c r="A3937" s="10"/>
      <c r="B3937" s="10"/>
    </row>
    <row r="3938" spans="1:2" ht="12.75">
      <c r="A3938" s="10"/>
      <c r="B3938" s="10"/>
    </row>
    <row r="3939" spans="1:2" ht="12.75">
      <c r="A3939" s="10"/>
      <c r="B3939" s="10"/>
    </row>
    <row r="3940" spans="1:2" ht="12.75">
      <c r="A3940" s="10"/>
      <c r="B3940" s="10"/>
    </row>
    <row r="3941" spans="1:2" ht="12.75">
      <c r="A3941" s="10"/>
      <c r="B3941" s="10"/>
    </row>
    <row r="3942" spans="1:2" ht="12.75">
      <c r="A3942" s="10"/>
      <c r="B3942" s="10"/>
    </row>
    <row r="3943" spans="1:2" ht="12.75">
      <c r="A3943" s="10"/>
      <c r="B3943" s="10"/>
    </row>
    <row r="3944" spans="1:2" ht="12.75">
      <c r="A3944" s="10"/>
      <c r="B3944" s="10"/>
    </row>
    <row r="3945" spans="1:2" ht="12.75">
      <c r="A3945" s="10"/>
      <c r="B3945" s="10"/>
    </row>
    <row r="3946" spans="1:2" ht="12.75">
      <c r="A3946" s="10"/>
      <c r="B3946" s="10"/>
    </row>
    <row r="3947" spans="1:2" ht="12.75">
      <c r="A3947" s="10"/>
      <c r="B3947" s="10"/>
    </row>
    <row r="3948" spans="1:2" ht="12.75">
      <c r="A3948" s="10"/>
      <c r="B3948" s="10"/>
    </row>
    <row r="3949" spans="1:2" ht="12.75">
      <c r="A3949" s="10"/>
      <c r="B3949" s="10"/>
    </row>
    <row r="3950" spans="1:2" ht="12.75">
      <c r="A3950" s="10"/>
      <c r="B3950" s="10"/>
    </row>
    <row r="3951" spans="1:2" ht="12.75">
      <c r="A3951" s="10"/>
      <c r="B3951" s="10"/>
    </row>
    <row r="3952" spans="1:2" ht="12.75">
      <c r="A3952" s="10"/>
      <c r="B3952" s="10"/>
    </row>
    <row r="3953" spans="1:2" ht="12.75">
      <c r="A3953" s="10"/>
      <c r="B3953" s="10"/>
    </row>
    <row r="3954" spans="1:2" ht="12.75">
      <c r="A3954" s="10"/>
      <c r="B3954" s="10"/>
    </row>
    <row r="3955" spans="1:2" ht="12.75">
      <c r="A3955" s="10"/>
      <c r="B3955" s="10"/>
    </row>
    <row r="3956" spans="1:2" ht="12.75">
      <c r="A3956" s="10"/>
      <c r="B3956" s="10"/>
    </row>
    <row r="3957" spans="1:2" ht="12.75">
      <c r="A3957" s="10"/>
      <c r="B3957" s="10"/>
    </row>
    <row r="3958" spans="1:2" ht="12.75">
      <c r="A3958" s="10"/>
      <c r="B3958" s="10"/>
    </row>
    <row r="3959" spans="1:2" ht="12.75">
      <c r="A3959" s="10"/>
      <c r="B3959" s="10"/>
    </row>
    <row r="3960" spans="1:2" ht="12.75">
      <c r="A3960" s="10"/>
      <c r="B3960" s="10"/>
    </row>
    <row r="3961" spans="1:2" ht="12.75">
      <c r="A3961" s="10"/>
      <c r="B3961" s="10"/>
    </row>
    <row r="3962" spans="1:2" ht="12.75">
      <c r="A3962" s="10"/>
      <c r="B3962" s="10"/>
    </row>
    <row r="3963" spans="1:2" ht="12.75">
      <c r="A3963" s="10"/>
      <c r="B3963" s="10"/>
    </row>
    <row r="3964" spans="1:2" ht="12.75">
      <c r="A3964" s="10"/>
      <c r="B3964" s="10"/>
    </row>
    <row r="3965" spans="1:2" ht="12.75">
      <c r="A3965" s="10"/>
      <c r="B3965" s="10"/>
    </row>
    <row r="3966" spans="1:2" ht="12.75">
      <c r="A3966" s="10"/>
      <c r="B3966" s="10"/>
    </row>
    <row r="3967" spans="1:2" ht="12.75">
      <c r="A3967" s="10"/>
      <c r="B3967" s="10"/>
    </row>
    <row r="3968" spans="1:2" ht="12.75">
      <c r="A3968" s="10"/>
      <c r="B3968" s="10"/>
    </row>
    <row r="3969" spans="1:2" ht="12.75">
      <c r="A3969" s="10"/>
      <c r="B3969" s="10"/>
    </row>
    <row r="3970" spans="1:2" ht="12.75">
      <c r="A3970" s="10"/>
      <c r="B3970" s="10"/>
    </row>
    <row r="3971" spans="1:2" ht="12.75">
      <c r="A3971" s="10"/>
      <c r="B3971" s="10"/>
    </row>
    <row r="3972" spans="1:2" ht="12.75">
      <c r="A3972" s="10"/>
      <c r="B3972" s="10"/>
    </row>
    <row r="3973" spans="1:2" ht="12.75">
      <c r="A3973" s="10"/>
      <c r="B3973" s="10"/>
    </row>
    <row r="3974" spans="1:2" ht="12.75">
      <c r="A3974" s="10"/>
      <c r="B3974" s="10"/>
    </row>
    <row r="3975" spans="1:2" ht="12.75">
      <c r="A3975" s="10"/>
      <c r="B3975" s="10"/>
    </row>
    <row r="3976" spans="1:2" ht="12.75">
      <c r="A3976" s="10"/>
      <c r="B3976" s="10"/>
    </row>
    <row r="3977" spans="1:2" ht="12.75">
      <c r="A3977" s="10"/>
      <c r="B3977" s="10"/>
    </row>
    <row r="3978" spans="1:2" ht="12.75">
      <c r="A3978" s="10"/>
      <c r="B3978" s="10"/>
    </row>
    <row r="3979" spans="1:2" ht="12.75">
      <c r="A3979" s="10"/>
      <c r="B3979" s="10"/>
    </row>
    <row r="3980" spans="1:2" ht="12.75">
      <c r="A3980" s="10"/>
      <c r="B3980" s="10"/>
    </row>
    <row r="3981" spans="1:2" ht="12.75">
      <c r="A3981" s="10"/>
      <c r="B3981" s="10"/>
    </row>
    <row r="3982" spans="1:2" ht="12.75">
      <c r="A3982" s="10"/>
      <c r="B3982" s="10"/>
    </row>
    <row r="3983" spans="1:2" ht="12.75">
      <c r="A3983" s="10"/>
      <c r="B3983" s="10"/>
    </row>
    <row r="3984" spans="1:2" ht="12.75">
      <c r="A3984" s="10"/>
      <c r="B3984" s="10"/>
    </row>
    <row r="3985" spans="1:2" ht="12.75">
      <c r="A3985" s="10"/>
      <c r="B3985" s="10"/>
    </row>
    <row r="3986" spans="1:2" ht="12.75">
      <c r="A3986" s="10"/>
      <c r="B3986" s="10"/>
    </row>
    <row r="3987" spans="1:2" ht="12.75">
      <c r="A3987" s="10"/>
      <c r="B3987" s="10"/>
    </row>
    <row r="3988" spans="1:2" ht="12.75">
      <c r="A3988" s="10"/>
      <c r="B3988" s="10"/>
    </row>
    <row r="3989" spans="1:2" ht="12.75">
      <c r="A3989" s="10"/>
      <c r="B3989" s="10"/>
    </row>
    <row r="3990" spans="1:2" ht="12.75">
      <c r="A3990" s="10"/>
      <c r="B3990" s="10"/>
    </row>
    <row r="3991" spans="1:2" ht="12.75">
      <c r="A3991" s="10"/>
      <c r="B3991" s="10"/>
    </row>
    <row r="3992" spans="1:2" ht="12.75">
      <c r="A3992" s="10"/>
      <c r="B3992" s="10"/>
    </row>
    <row r="3993" spans="1:2" ht="12.75">
      <c r="A3993" s="10"/>
      <c r="B3993" s="10"/>
    </row>
    <row r="3994" spans="1:2" ht="12.75">
      <c r="A3994" s="10"/>
      <c r="B3994" s="10"/>
    </row>
    <row r="3995" spans="1:2" ht="12.75">
      <c r="A3995" s="10"/>
      <c r="B3995" s="10"/>
    </row>
    <row r="3996" spans="1:2" ht="12.75">
      <c r="A3996" s="10"/>
      <c r="B3996" s="10"/>
    </row>
    <row r="3997" spans="1:2" ht="12.75">
      <c r="A3997" s="10"/>
      <c r="B3997" s="10"/>
    </row>
    <row r="3998" spans="1:2" ht="12.75">
      <c r="A3998" s="10"/>
      <c r="B3998" s="10"/>
    </row>
    <row r="3999" spans="1:2" ht="12.75">
      <c r="A3999" s="10"/>
      <c r="B3999" s="10"/>
    </row>
    <row r="4000" spans="1:2" ht="12.75">
      <c r="A4000" s="10"/>
      <c r="B4000" s="10"/>
    </row>
    <row r="4001" spans="1:2" ht="12.75">
      <c r="A4001" s="10"/>
      <c r="B4001" s="10"/>
    </row>
    <row r="4002" spans="1:2" ht="12.75">
      <c r="A4002" s="10"/>
      <c r="B4002" s="10"/>
    </row>
    <row r="4003" spans="1:2" ht="12.75">
      <c r="A4003" s="10"/>
      <c r="B4003" s="10"/>
    </row>
    <row r="4004" spans="1:2" ht="12.75">
      <c r="A4004" s="10"/>
      <c r="B4004" s="10"/>
    </row>
    <row r="4005" spans="1:2" ht="12.75">
      <c r="A4005" s="10"/>
      <c r="B4005" s="10"/>
    </row>
    <row r="4006" spans="1:2" ht="12.75">
      <c r="A4006" s="10"/>
      <c r="B4006" s="10"/>
    </row>
    <row r="4007" spans="1:2" ht="12.75">
      <c r="A4007" s="10"/>
      <c r="B4007" s="10"/>
    </row>
    <row r="4008" spans="1:2" ht="12.75">
      <c r="A4008" s="10"/>
      <c r="B4008" s="10"/>
    </row>
    <row r="4009" spans="1:2" ht="12.75">
      <c r="A4009" s="10"/>
      <c r="B4009" s="10"/>
    </row>
    <row r="4010" spans="1:2" ht="12.75">
      <c r="A4010" s="10"/>
      <c r="B4010" s="10"/>
    </row>
    <row r="4011" spans="1:2" ht="12.75">
      <c r="A4011" s="10"/>
      <c r="B4011" s="10"/>
    </row>
    <row r="4012" spans="1:2" ht="12.75">
      <c r="A4012" s="10"/>
      <c r="B4012" s="10"/>
    </row>
    <row r="4013" spans="1:2" ht="12.75">
      <c r="A4013" s="10"/>
      <c r="B4013" s="10"/>
    </row>
    <row r="4014" spans="1:2" ht="12.75">
      <c r="A4014" s="10"/>
      <c r="B4014" s="10"/>
    </row>
    <row r="4015" spans="1:2" ht="12.75">
      <c r="A4015" s="10"/>
      <c r="B4015" s="10"/>
    </row>
    <row r="4016" spans="1:2" ht="12.75">
      <c r="A4016" s="10"/>
      <c r="B4016" s="10"/>
    </row>
    <row r="4017" spans="1:2" ht="12.75">
      <c r="A4017" s="10"/>
      <c r="B4017" s="10"/>
    </row>
    <row r="4018" spans="1:2" ht="12.75">
      <c r="A4018" s="10"/>
      <c r="B4018" s="10"/>
    </row>
    <row r="4019" spans="1:2" ht="12.75">
      <c r="A4019" s="10"/>
      <c r="B4019" s="10"/>
    </row>
    <row r="4020" spans="1:2" ht="12.75">
      <c r="A4020" s="10"/>
      <c r="B4020" s="10"/>
    </row>
  </sheetData>
  <sheetProtection formatRows="0" insertRows="0"/>
  <protectedRanges>
    <protectedRange password="EDE0" sqref="A14:B328" name="KRA" securityDescriptor="O:WDG:WDD:(A;;CC;;;WD)"/>
    <protectedRange password="EDE0" sqref="A8:B10" name="KEY INFO" securityDescriptor="O:WDG:WDD:(A;;CC;;;WD)"/>
  </protectedRanges>
  <mergeCells count="152">
    <mergeCell ref="E856:G856"/>
    <mergeCell ref="E845:G845"/>
    <mergeCell ref="E1120:G1120"/>
    <mergeCell ref="E1109:G1109"/>
    <mergeCell ref="E1098:G1098"/>
    <mergeCell ref="E1087:G1087"/>
    <mergeCell ref="E1065:G1065"/>
    <mergeCell ref="E1054:G1054"/>
    <mergeCell ref="E1043:G1043"/>
    <mergeCell ref="E1032:G1032"/>
    <mergeCell ref="E1021:G1021"/>
    <mergeCell ref="E1230:G1230"/>
    <mergeCell ref="E1219:G1219"/>
    <mergeCell ref="E1208:G1208"/>
    <mergeCell ref="E1197:G1197"/>
    <mergeCell ref="E1186:G1186"/>
    <mergeCell ref="E1175:G1175"/>
    <mergeCell ref="E1164:G1164"/>
    <mergeCell ref="E1153:G1153"/>
    <mergeCell ref="E1131:G1131"/>
    <mergeCell ref="E1527:G1527"/>
    <mergeCell ref="E1516:G1516"/>
    <mergeCell ref="E1505:G1505"/>
    <mergeCell ref="E1494:G1494"/>
    <mergeCell ref="E1483:G1483"/>
    <mergeCell ref="E1318:G1318"/>
    <mergeCell ref="E1263:G1263"/>
    <mergeCell ref="E1252:G1252"/>
    <mergeCell ref="E1241:G1241"/>
    <mergeCell ref="E1615:G1615"/>
    <mergeCell ref="I1615:J1615"/>
    <mergeCell ref="A8:B8"/>
    <mergeCell ref="E1571:G1571"/>
    <mergeCell ref="I1571:J1571"/>
    <mergeCell ref="E1582:G1582"/>
    <mergeCell ref="I1604:J1604"/>
    <mergeCell ref="I1582:J1582"/>
    <mergeCell ref="E1593:G1593"/>
    <mergeCell ref="I1593:J1593"/>
    <mergeCell ref="E1538:G1538"/>
    <mergeCell ref="E1142:G1142"/>
    <mergeCell ref="E1076:G1076"/>
    <mergeCell ref="E1010:G1010"/>
    <mergeCell ref="E944:G944"/>
    <mergeCell ref="E1604:G1604"/>
    <mergeCell ref="I1538:J1538"/>
    <mergeCell ref="E1549:G1549"/>
    <mergeCell ref="I1549:J1549"/>
    <mergeCell ref="E1560:G1560"/>
    <mergeCell ref="I1560:J1560"/>
    <mergeCell ref="I1505:J1505"/>
    <mergeCell ref="I1516:J1516"/>
    <mergeCell ref="I1527:J1527"/>
    <mergeCell ref="I1472:J1472"/>
    <mergeCell ref="I1483:J1483"/>
    <mergeCell ref="I1494:J1494"/>
    <mergeCell ref="E1439:G1439"/>
    <mergeCell ref="I1439:J1439"/>
    <mergeCell ref="E1450:G1450"/>
    <mergeCell ref="I1450:J1450"/>
    <mergeCell ref="E1461:G1461"/>
    <mergeCell ref="E1472:G1472"/>
    <mergeCell ref="I1395:J1395"/>
    <mergeCell ref="I1461:J1461"/>
    <mergeCell ref="I1406:J1406"/>
    <mergeCell ref="E1417:G1417"/>
    <mergeCell ref="I1417:J1417"/>
    <mergeCell ref="E1428:G1428"/>
    <mergeCell ref="I1428:J1428"/>
    <mergeCell ref="E1406:G1406"/>
    <mergeCell ref="E1340:G1340"/>
    <mergeCell ref="E1373:G1373"/>
    <mergeCell ref="E1395:G1395"/>
    <mergeCell ref="I1329:J1329"/>
    <mergeCell ref="I1274:J1274"/>
    <mergeCell ref="E1285:G1285"/>
    <mergeCell ref="I1285:J1285"/>
    <mergeCell ref="E1296:G1296"/>
    <mergeCell ref="I1296:J1296"/>
    <mergeCell ref="I1373:J1373"/>
    <mergeCell ref="E1384:G1384"/>
    <mergeCell ref="I1384:J1384"/>
    <mergeCell ref="E1274:G1274"/>
    <mergeCell ref="E1307:G1307"/>
    <mergeCell ref="E1329:G1329"/>
    <mergeCell ref="I1340:J1340"/>
    <mergeCell ref="E1351:G1351"/>
    <mergeCell ref="I1351:J1351"/>
    <mergeCell ref="E1362:G1362"/>
    <mergeCell ref="I1362:J1362"/>
    <mergeCell ref="I1263:J1263"/>
    <mergeCell ref="I1208:J1208"/>
    <mergeCell ref="I1219:J1219"/>
    <mergeCell ref="I1230:J1230"/>
    <mergeCell ref="I1307:J1307"/>
    <mergeCell ref="I1318:J1318"/>
    <mergeCell ref="I1175:J1175"/>
    <mergeCell ref="I1186:J1186"/>
    <mergeCell ref="I1197:J1197"/>
    <mergeCell ref="I1241:J1241"/>
    <mergeCell ref="I1252:J1252"/>
    <mergeCell ref="I1142:J1142"/>
    <mergeCell ref="I1153:J1153"/>
    <mergeCell ref="I1164:J1164"/>
    <mergeCell ref="I1109:J1109"/>
    <mergeCell ref="I1120:J1120"/>
    <mergeCell ref="I1065:J1065"/>
    <mergeCell ref="I1010:J1010"/>
    <mergeCell ref="I1021:J1021"/>
    <mergeCell ref="I1032:J1032"/>
    <mergeCell ref="I1131:J1131"/>
    <mergeCell ref="I1076:J1076"/>
    <mergeCell ref="I1087:J1087"/>
    <mergeCell ref="I1098:J1098"/>
    <mergeCell ref="I1043:J1043"/>
    <mergeCell ref="I1054:J1054"/>
    <mergeCell ref="I988:J988"/>
    <mergeCell ref="I823:J823"/>
    <mergeCell ref="I911:J911"/>
    <mergeCell ref="I922:J922"/>
    <mergeCell ref="I834:J834"/>
    <mergeCell ref="I845:J845"/>
    <mergeCell ref="I856:J856"/>
    <mergeCell ref="I867:J867"/>
    <mergeCell ref="I933:J933"/>
    <mergeCell ref="I878:J878"/>
    <mergeCell ref="I889:J889"/>
    <mergeCell ref="I900:J900"/>
    <mergeCell ref="E823:G823"/>
    <mergeCell ref="A1:B3"/>
    <mergeCell ref="A5:B5"/>
    <mergeCell ref="A12:B12"/>
    <mergeCell ref="A7:B7"/>
    <mergeCell ref="I999:J999"/>
    <mergeCell ref="I944:J944"/>
    <mergeCell ref="I955:J955"/>
    <mergeCell ref="I966:J966"/>
    <mergeCell ref="A6:B6"/>
    <mergeCell ref="E999:G999"/>
    <mergeCell ref="E988:G988"/>
    <mergeCell ref="E977:G977"/>
    <mergeCell ref="E966:G966"/>
    <mergeCell ref="E955:G955"/>
    <mergeCell ref="E834:G834"/>
    <mergeCell ref="E933:G933"/>
    <mergeCell ref="E922:G922"/>
    <mergeCell ref="E911:G911"/>
    <mergeCell ref="E900:G900"/>
    <mergeCell ref="E889:G889"/>
    <mergeCell ref="E878:G878"/>
    <mergeCell ref="E867:G867"/>
    <mergeCell ref="I977:J977"/>
  </mergeCells>
  <hyperlinks>
    <hyperlink ref="A4:K4" location="'PACE Form'!A1" display="Click here to go to PACE Form"/>
  </hyperlinks>
  <pageMargins left="0.7" right="0.7" top="0.75" bottom="0.75" header="0.3" footer="0.3"/>
  <pageSetup orientation="portrait" r:id="rId1"/>
  <drawing r:id="rId2"/>
  <legacyDrawing r:id="rId3"/>
  <controls>
    <control shapeId="98306" r:id="rId4" name="btnNextExtKRA"/>
  </controls>
</worksheet>
</file>

<file path=xl/worksheets/sheet4.xml><?xml version="1.0" encoding="utf-8"?>
<worksheet xmlns="http://schemas.openxmlformats.org/spreadsheetml/2006/main" xmlns:r="http://schemas.openxmlformats.org/officeDocument/2006/relationships">
  <sheetPr codeName="Sheet4"/>
  <dimension ref="A1:BW254"/>
  <sheetViews>
    <sheetView tabSelected="1" workbookViewId="0">
      <selection activeCell="L6" sqref="L6"/>
    </sheetView>
  </sheetViews>
  <sheetFormatPr defaultRowHeight="15"/>
  <cols>
    <col min="1" max="1" width="7.5703125" bestFit="1" customWidth="1"/>
    <col min="2" max="2" width="29.7109375" customWidth="1"/>
    <col min="3" max="3" width="14" customWidth="1"/>
    <col min="4" max="4" width="19" customWidth="1"/>
    <col min="5" max="5" width="9.7109375" bestFit="1" customWidth="1"/>
    <col min="6" max="6" width="9.7109375" customWidth="1"/>
    <col min="7" max="7" width="13" customWidth="1"/>
    <col min="8" max="8" width="13.42578125" customWidth="1"/>
    <col min="9" max="9" width="16.42578125" customWidth="1"/>
    <col min="10" max="10" width="17.85546875" customWidth="1"/>
    <col min="11" max="12" width="15.42578125" customWidth="1"/>
    <col min="13" max="13" width="9.85546875" bestFit="1" customWidth="1"/>
    <col min="14" max="14" width="37.140625" customWidth="1"/>
    <col min="15" max="75" width="9.140625" style="1"/>
  </cols>
  <sheetData>
    <row r="1" spans="1:75" s="1" customFormat="1" ht="57" customHeight="1" thickBot="1">
      <c r="A1" s="593" t="s">
        <v>309</v>
      </c>
      <c r="B1" s="594"/>
      <c r="C1" s="594"/>
      <c r="D1" s="594"/>
      <c r="E1" s="594"/>
      <c r="F1" s="594"/>
      <c r="G1" s="594"/>
      <c r="H1" s="594"/>
      <c r="I1" s="594"/>
      <c r="J1" s="594"/>
      <c r="K1" s="594"/>
      <c r="L1" s="594"/>
      <c r="M1" s="594"/>
      <c r="N1" s="595"/>
    </row>
    <row r="2" spans="1:75" s="1" customFormat="1" ht="20.25" customHeight="1" thickBot="1">
      <c r="A2" s="596" t="s">
        <v>91</v>
      </c>
      <c r="B2" s="597"/>
      <c r="C2" s="597"/>
      <c r="D2" s="597"/>
      <c r="E2" s="597"/>
      <c r="F2" s="597"/>
      <c r="G2" s="597"/>
      <c r="H2" s="597"/>
      <c r="I2" s="597"/>
      <c r="J2" s="597"/>
      <c r="K2" s="597"/>
      <c r="L2" s="597"/>
      <c r="M2" s="597"/>
      <c r="N2" s="598"/>
    </row>
    <row r="3" spans="1:75" s="67" customFormat="1" ht="38.25">
      <c r="A3" s="337" t="s">
        <v>75</v>
      </c>
      <c r="B3" s="338" t="s">
        <v>73</v>
      </c>
      <c r="C3" s="338" t="s">
        <v>89</v>
      </c>
      <c r="D3" s="339" t="s">
        <v>70</v>
      </c>
      <c r="E3" s="338" t="s">
        <v>71</v>
      </c>
      <c r="F3" s="338" t="s">
        <v>76</v>
      </c>
      <c r="G3" s="338" t="s">
        <v>81</v>
      </c>
      <c r="H3" s="338" t="s">
        <v>84</v>
      </c>
      <c r="I3" s="338" t="s">
        <v>85</v>
      </c>
      <c r="J3" s="338" t="s">
        <v>86</v>
      </c>
      <c r="K3" s="338" t="s">
        <v>72</v>
      </c>
      <c r="L3" s="338" t="s">
        <v>90</v>
      </c>
      <c r="M3" s="338" t="s">
        <v>74</v>
      </c>
      <c r="N3" s="340" t="s">
        <v>63</v>
      </c>
      <c r="O3" s="66"/>
      <c r="P3" s="66"/>
      <c r="Q3" s="66"/>
      <c r="R3" s="66"/>
      <c r="S3" s="66"/>
      <c r="T3" s="66"/>
      <c r="U3" s="66"/>
      <c r="V3" s="66"/>
      <c r="W3" s="66"/>
      <c r="X3" s="66"/>
      <c r="Y3" s="66"/>
      <c r="Z3" s="66"/>
      <c r="AA3" s="66"/>
      <c r="AB3" s="66"/>
      <c r="AC3" s="66"/>
      <c r="AD3" s="66"/>
      <c r="AE3" s="66"/>
      <c r="AF3" s="66"/>
      <c r="AG3" s="66"/>
      <c r="AH3" s="66"/>
      <c r="AI3" s="66"/>
      <c r="AJ3" s="66"/>
      <c r="AK3" s="66"/>
      <c r="AL3" s="66"/>
      <c r="AM3" s="66"/>
      <c r="AN3" s="66"/>
      <c r="AO3" s="66"/>
      <c r="AP3" s="66"/>
      <c r="AQ3" s="66"/>
      <c r="AR3" s="66"/>
      <c r="AS3" s="66"/>
      <c r="AT3" s="66"/>
      <c r="AU3" s="66"/>
      <c r="AV3" s="66"/>
      <c r="AW3" s="66"/>
      <c r="AX3" s="66"/>
      <c r="AY3" s="66"/>
      <c r="AZ3" s="66"/>
      <c r="BA3" s="66"/>
      <c r="BB3" s="66"/>
      <c r="BC3" s="66"/>
      <c r="BD3" s="66"/>
      <c r="BE3" s="66"/>
      <c r="BF3" s="66"/>
      <c r="BG3" s="66"/>
      <c r="BH3" s="66"/>
      <c r="BI3" s="66"/>
      <c r="BJ3" s="66"/>
      <c r="BK3" s="66"/>
      <c r="BL3" s="66"/>
      <c r="BM3" s="66"/>
      <c r="BN3" s="66"/>
      <c r="BO3" s="66"/>
      <c r="BP3" s="66"/>
      <c r="BQ3" s="66"/>
      <c r="BR3" s="66"/>
      <c r="BS3" s="66"/>
      <c r="BT3" s="66"/>
      <c r="BU3" s="66"/>
      <c r="BV3" s="66"/>
      <c r="BW3" s="66"/>
    </row>
    <row r="4" spans="1:75" ht="60">
      <c r="A4" s="64">
        <v>1</v>
      </c>
      <c r="B4" s="237" t="s">
        <v>77</v>
      </c>
      <c r="C4" s="237"/>
      <c r="D4" s="237" t="s">
        <v>335</v>
      </c>
      <c r="E4" s="237" t="s">
        <v>336</v>
      </c>
      <c r="F4" s="237"/>
      <c r="G4" s="237" t="s">
        <v>83</v>
      </c>
      <c r="H4" s="237" t="s">
        <v>337</v>
      </c>
      <c r="I4" s="237" t="s">
        <v>338</v>
      </c>
      <c r="J4" s="237" t="s">
        <v>341</v>
      </c>
      <c r="K4" s="237" t="s">
        <v>361</v>
      </c>
      <c r="L4" s="237" t="s">
        <v>341</v>
      </c>
      <c r="M4" s="237"/>
      <c r="N4" s="238" t="s">
        <v>363</v>
      </c>
    </row>
    <row r="5" spans="1:75" ht="30">
      <c r="A5" s="64">
        <v>2</v>
      </c>
      <c r="B5" s="237" t="s">
        <v>77</v>
      </c>
      <c r="C5" s="237"/>
      <c r="D5" s="237" t="s">
        <v>339</v>
      </c>
      <c r="E5" s="237" t="s">
        <v>336</v>
      </c>
      <c r="F5" s="237"/>
      <c r="G5" s="237" t="s">
        <v>83</v>
      </c>
      <c r="H5" s="237" t="s">
        <v>337</v>
      </c>
      <c r="I5" s="237" t="s">
        <v>338</v>
      </c>
      <c r="J5" s="237" t="s">
        <v>341</v>
      </c>
      <c r="K5" s="237"/>
      <c r="L5" s="237" t="s">
        <v>341</v>
      </c>
      <c r="M5" s="237"/>
      <c r="N5" s="238" t="s">
        <v>364</v>
      </c>
      <c r="BI5" s="1" t="s">
        <v>77</v>
      </c>
    </row>
    <row r="6" spans="1:75" ht="45">
      <c r="A6" s="64">
        <v>3</v>
      </c>
      <c r="B6" s="237" t="s">
        <v>77</v>
      </c>
      <c r="C6" s="237"/>
      <c r="D6" s="237" t="s">
        <v>340</v>
      </c>
      <c r="E6" s="237" t="s">
        <v>336</v>
      </c>
      <c r="F6" s="237"/>
      <c r="G6" s="237" t="s">
        <v>83</v>
      </c>
      <c r="H6" s="237" t="s">
        <v>337</v>
      </c>
      <c r="I6" s="237" t="s">
        <v>338</v>
      </c>
      <c r="J6" s="237" t="s">
        <v>341</v>
      </c>
      <c r="K6" s="237" t="s">
        <v>362</v>
      </c>
      <c r="L6" s="237" t="s">
        <v>341</v>
      </c>
      <c r="M6" s="237"/>
      <c r="N6" s="238" t="s">
        <v>365</v>
      </c>
      <c r="BI6" s="1" t="s">
        <v>78</v>
      </c>
    </row>
    <row r="7" spans="1:75">
      <c r="A7" s="64">
        <v>4</v>
      </c>
      <c r="B7" s="237"/>
      <c r="C7" s="237"/>
      <c r="D7" s="237"/>
      <c r="E7" s="237"/>
      <c r="F7" s="237"/>
      <c r="G7" s="237"/>
      <c r="H7" s="237"/>
      <c r="I7" s="237"/>
      <c r="J7" s="237"/>
      <c r="K7" s="237"/>
      <c r="L7" s="237"/>
      <c r="M7" s="237"/>
      <c r="N7" s="238"/>
      <c r="BI7" s="1" t="s">
        <v>79</v>
      </c>
    </row>
    <row r="8" spans="1:75">
      <c r="A8" s="64">
        <v>5</v>
      </c>
      <c r="B8" s="237"/>
      <c r="C8" s="237"/>
      <c r="D8" s="237"/>
      <c r="E8" s="237"/>
      <c r="F8" s="237"/>
      <c r="G8" s="237"/>
      <c r="H8" s="237"/>
      <c r="I8" s="237"/>
      <c r="J8" s="237"/>
      <c r="K8" s="237"/>
      <c r="L8" s="237"/>
      <c r="M8" s="237"/>
      <c r="N8" s="238"/>
      <c r="BI8" s="1" t="s">
        <v>80</v>
      </c>
    </row>
    <row r="9" spans="1:75">
      <c r="A9" s="64">
        <v>6</v>
      </c>
      <c r="B9" s="237"/>
      <c r="C9" s="237"/>
      <c r="D9" s="237"/>
      <c r="E9" s="237"/>
      <c r="F9" s="237"/>
      <c r="G9" s="237"/>
      <c r="H9" s="237"/>
      <c r="I9" s="237"/>
      <c r="J9" s="237"/>
      <c r="K9" s="237"/>
      <c r="L9" s="237"/>
      <c r="M9" s="237"/>
      <c r="N9" s="238"/>
      <c r="BI9" s="1" t="s">
        <v>87</v>
      </c>
    </row>
    <row r="10" spans="1:75">
      <c r="A10" s="64">
        <v>7</v>
      </c>
      <c r="B10" s="237"/>
      <c r="C10" s="237"/>
      <c r="D10" s="237"/>
      <c r="E10" s="237"/>
      <c r="F10" s="237"/>
      <c r="G10" s="237"/>
      <c r="H10" s="237"/>
      <c r="I10" s="237"/>
      <c r="J10" s="237"/>
      <c r="K10" s="237"/>
      <c r="L10" s="237"/>
      <c r="M10" s="237"/>
      <c r="N10" s="238"/>
      <c r="BI10" s="1" t="s">
        <v>88</v>
      </c>
    </row>
    <row r="11" spans="1:75">
      <c r="A11" s="64">
        <v>8</v>
      </c>
      <c r="B11" s="237"/>
      <c r="C11" s="237"/>
      <c r="D11" s="237"/>
      <c r="E11" s="237"/>
      <c r="F11" s="237"/>
      <c r="G11" s="237"/>
      <c r="H11" s="237"/>
      <c r="I11" s="237"/>
      <c r="J11" s="237"/>
      <c r="K11" s="237"/>
      <c r="L11" s="237"/>
      <c r="M11" s="237"/>
      <c r="N11" s="238"/>
    </row>
    <row r="12" spans="1:75">
      <c r="A12" s="64">
        <v>9</v>
      </c>
      <c r="B12" s="237"/>
      <c r="C12" s="237"/>
      <c r="D12" s="237"/>
      <c r="E12" s="237"/>
      <c r="F12" s="237"/>
      <c r="G12" s="237"/>
      <c r="H12" s="237"/>
      <c r="I12" s="237"/>
      <c r="J12" s="237"/>
      <c r="K12" s="237"/>
      <c r="L12" s="237"/>
      <c r="M12" s="237"/>
      <c r="N12" s="238"/>
    </row>
    <row r="13" spans="1:75">
      <c r="A13" s="64">
        <v>10</v>
      </c>
      <c r="B13" s="237"/>
      <c r="C13" s="237"/>
      <c r="D13" s="237"/>
      <c r="E13" s="237"/>
      <c r="F13" s="237"/>
      <c r="G13" s="237"/>
      <c r="H13" s="237"/>
      <c r="I13" s="237"/>
      <c r="J13" s="237"/>
      <c r="K13" s="237"/>
      <c r="L13" s="237"/>
      <c r="M13" s="237"/>
      <c r="N13" s="238"/>
      <c r="BI13" s="1" t="s">
        <v>82</v>
      </c>
    </row>
    <row r="14" spans="1:75">
      <c r="A14" s="64">
        <v>11</v>
      </c>
      <c r="B14" s="237"/>
      <c r="C14" s="237"/>
      <c r="D14" s="237"/>
      <c r="E14" s="237"/>
      <c r="F14" s="237"/>
      <c r="G14" s="237"/>
      <c r="H14" s="237"/>
      <c r="I14" s="237"/>
      <c r="J14" s="237"/>
      <c r="K14" s="237"/>
      <c r="L14" s="237"/>
      <c r="M14" s="237"/>
      <c r="N14" s="238"/>
      <c r="BI14" s="1" t="s">
        <v>83</v>
      </c>
    </row>
    <row r="15" spans="1:75">
      <c r="A15" s="64">
        <v>12</v>
      </c>
      <c r="B15" s="237"/>
      <c r="C15" s="237"/>
      <c r="D15" s="237"/>
      <c r="E15" s="237"/>
      <c r="F15" s="237"/>
      <c r="G15" s="237"/>
      <c r="H15" s="237"/>
      <c r="I15" s="237"/>
      <c r="J15" s="237"/>
      <c r="K15" s="237"/>
      <c r="L15" s="237"/>
      <c r="M15" s="237"/>
      <c r="N15" s="238"/>
    </row>
    <row r="16" spans="1:75">
      <c r="A16" s="64">
        <v>13</v>
      </c>
      <c r="B16" s="237"/>
      <c r="C16" s="237"/>
      <c r="D16" s="237"/>
      <c r="E16" s="237"/>
      <c r="F16" s="237"/>
      <c r="G16" s="237"/>
      <c r="H16" s="237"/>
      <c r="I16" s="237"/>
      <c r="J16" s="237"/>
      <c r="K16" s="237"/>
      <c r="L16" s="237"/>
      <c r="M16" s="237"/>
      <c r="N16" s="238"/>
    </row>
    <row r="17" spans="1:14">
      <c r="A17" s="64">
        <v>14</v>
      </c>
      <c r="B17" s="237"/>
      <c r="C17" s="237"/>
      <c r="D17" s="237"/>
      <c r="E17" s="237"/>
      <c r="F17" s="237"/>
      <c r="G17" s="237"/>
      <c r="H17" s="237"/>
      <c r="I17" s="237"/>
      <c r="J17" s="237"/>
      <c r="K17" s="237"/>
      <c r="L17" s="237"/>
      <c r="M17" s="237"/>
      <c r="N17" s="238"/>
    </row>
    <row r="18" spans="1:14" ht="15.75" thickBot="1">
      <c r="A18" s="65">
        <v>15</v>
      </c>
      <c r="B18" s="239"/>
      <c r="C18" s="239"/>
      <c r="D18" s="239"/>
      <c r="E18" s="239"/>
      <c r="F18" s="239"/>
      <c r="G18" s="239"/>
      <c r="H18" s="239"/>
      <c r="I18" s="239"/>
      <c r="J18" s="239"/>
      <c r="K18" s="239"/>
      <c r="L18" s="239"/>
      <c r="M18" s="239"/>
      <c r="N18" s="240"/>
    </row>
    <row r="19" spans="1:14" s="1" customFormat="1"/>
    <row r="20" spans="1:14" s="1" customFormat="1"/>
    <row r="21" spans="1:14" s="1" customFormat="1"/>
    <row r="22" spans="1:14" s="1" customFormat="1"/>
    <row r="23" spans="1:14" s="1" customFormat="1"/>
    <row r="24" spans="1:14" s="1" customFormat="1"/>
    <row r="25" spans="1:14" s="1" customFormat="1"/>
    <row r="26" spans="1:14" s="1" customFormat="1"/>
    <row r="27" spans="1:14" s="1" customFormat="1"/>
    <row r="28" spans="1:14" s="1" customFormat="1"/>
    <row r="29" spans="1:14" s="1" customFormat="1"/>
    <row r="30" spans="1:14" s="1" customFormat="1"/>
    <row r="31" spans="1:14" s="1" customFormat="1"/>
    <row r="32" spans="1:14" s="1" customFormat="1"/>
    <row r="33" s="1" customFormat="1"/>
    <row r="34" s="1" customFormat="1"/>
    <row r="35" s="1" customFormat="1"/>
    <row r="36" s="1" customFormat="1"/>
    <row r="37" s="1" customFormat="1"/>
    <row r="38" s="1" customFormat="1"/>
    <row r="39" s="1" customFormat="1"/>
    <row r="40" s="1" customFormat="1"/>
    <row r="41" s="1" customFormat="1"/>
    <row r="42" s="1" customFormat="1"/>
    <row r="43" s="1" customFormat="1"/>
    <row r="44" s="1" customFormat="1"/>
    <row r="45" s="1" customFormat="1"/>
    <row r="46" s="1" customFormat="1"/>
    <row r="47" s="1" customFormat="1"/>
    <row r="48" s="1" customFormat="1"/>
    <row r="49" s="1" customFormat="1"/>
    <row r="50" s="1" customFormat="1"/>
    <row r="51" s="1" customFormat="1"/>
    <row r="52" s="1" customFormat="1"/>
    <row r="53" s="1" customFormat="1"/>
    <row r="54" s="1" customFormat="1"/>
    <row r="55" s="1" customFormat="1"/>
    <row r="56" s="1" customFormat="1"/>
    <row r="57" s="1" customFormat="1"/>
    <row r="58" s="1" customFormat="1"/>
    <row r="59" s="1" customFormat="1"/>
    <row r="60" s="1" customFormat="1"/>
    <row r="61" s="1" customFormat="1"/>
    <row r="62" s="1" customFormat="1"/>
    <row r="63" s="1" customFormat="1"/>
    <row r="64" s="1" customFormat="1"/>
    <row r="65" s="1" customFormat="1"/>
    <row r="66" s="1" customFormat="1"/>
    <row r="67" s="1" customFormat="1"/>
    <row r="68" s="1" customFormat="1"/>
    <row r="69" s="1" customFormat="1"/>
    <row r="70" s="1" customFormat="1"/>
    <row r="71" s="1" customFormat="1"/>
    <row r="72" s="1" customFormat="1"/>
    <row r="73" s="1" customFormat="1"/>
    <row r="74" s="1" customFormat="1"/>
    <row r="75" s="1" customFormat="1"/>
    <row r="76" s="1" customFormat="1"/>
    <row r="77" s="1" customFormat="1"/>
    <row r="78" s="1" customFormat="1"/>
    <row r="79" s="1" customFormat="1"/>
    <row r="80" s="1" customFormat="1"/>
    <row r="81" s="1" customFormat="1"/>
    <row r="82" s="1" customFormat="1"/>
    <row r="83" s="1" customFormat="1"/>
    <row r="84" s="1" customFormat="1"/>
    <row r="85" s="1" customFormat="1"/>
    <row r="86" s="1" customFormat="1"/>
    <row r="87" s="1" customFormat="1"/>
    <row r="88" s="1" customFormat="1"/>
    <row r="89" s="1" customFormat="1"/>
    <row r="90" s="1" customFormat="1"/>
    <row r="91" s="1" customFormat="1"/>
    <row r="92" s="1" customFormat="1"/>
    <row r="93" s="1" customFormat="1"/>
    <row r="94" s="1" customFormat="1"/>
    <row r="95" s="1" customFormat="1"/>
    <row r="96" s="1" customFormat="1"/>
    <row r="97" s="1" customFormat="1"/>
    <row r="98" s="1" customFormat="1"/>
    <row r="99" s="1" customFormat="1"/>
    <row r="100" s="1" customFormat="1"/>
    <row r="101" s="1" customFormat="1"/>
    <row r="102" s="1" customFormat="1"/>
    <row r="103" s="1" customFormat="1"/>
    <row r="104" s="1" customFormat="1"/>
    <row r="105" s="1" customFormat="1"/>
    <row r="106" s="1" customFormat="1"/>
    <row r="107" s="1" customFormat="1"/>
    <row r="108" s="1" customFormat="1"/>
    <row r="109" s="1" customFormat="1"/>
    <row r="110" s="1" customFormat="1"/>
    <row r="111" s="1" customFormat="1"/>
    <row r="112" s="1" customFormat="1"/>
    <row r="113" s="1" customFormat="1"/>
    <row r="114" s="1" customFormat="1"/>
    <row r="115" s="1" customFormat="1"/>
    <row r="116" s="1" customFormat="1"/>
    <row r="117" s="1" customFormat="1"/>
    <row r="118" s="1" customFormat="1"/>
    <row r="119" s="1" customFormat="1"/>
    <row r="120" s="1" customFormat="1"/>
    <row r="121" s="1" customFormat="1"/>
    <row r="122" s="1" customFormat="1"/>
    <row r="123" s="1" customFormat="1"/>
    <row r="124" s="1" customFormat="1"/>
    <row r="125" s="1" customFormat="1"/>
    <row r="126" s="1" customFormat="1"/>
    <row r="127" s="1" customFormat="1"/>
    <row r="128" s="1" customFormat="1"/>
    <row r="129" s="1" customFormat="1"/>
    <row r="130" s="1" customFormat="1"/>
    <row r="131" s="1" customFormat="1"/>
    <row r="132" s="1" customFormat="1"/>
    <row r="133" s="1" customFormat="1"/>
    <row r="134" s="1" customFormat="1"/>
    <row r="135" s="1" customFormat="1"/>
    <row r="136" s="1" customFormat="1"/>
    <row r="137" s="1" customFormat="1"/>
    <row r="138" s="1" customFormat="1"/>
    <row r="139" s="1" customFormat="1"/>
    <row r="140" s="1" customFormat="1"/>
    <row r="141" s="1" customFormat="1"/>
    <row r="142" s="1" customFormat="1"/>
    <row r="143" s="1" customFormat="1"/>
    <row r="144" s="1" customFormat="1"/>
    <row r="145" s="1" customFormat="1"/>
    <row r="146" s="1" customFormat="1"/>
    <row r="147" s="1" customFormat="1"/>
    <row r="148" s="1" customFormat="1"/>
    <row r="149" s="1" customFormat="1"/>
    <row r="150" s="1" customFormat="1"/>
    <row r="151" s="1" customFormat="1"/>
    <row r="152" s="1" customFormat="1"/>
    <row r="153" s="1" customFormat="1"/>
    <row r="154" s="1" customFormat="1"/>
    <row r="155" s="1" customFormat="1"/>
    <row r="156" s="1" customFormat="1"/>
    <row r="157" s="1" customFormat="1"/>
    <row r="158" s="1" customFormat="1"/>
    <row r="159" s="1" customFormat="1"/>
    <row r="160" s="1" customFormat="1"/>
    <row r="161" s="1" customFormat="1"/>
    <row r="162" s="1" customFormat="1"/>
    <row r="163" s="1" customFormat="1"/>
    <row r="164" s="1" customFormat="1"/>
    <row r="165" s="1" customFormat="1"/>
    <row r="166" s="1" customFormat="1"/>
    <row r="167" s="1" customFormat="1"/>
    <row r="168" s="1" customFormat="1"/>
    <row r="169" s="1" customFormat="1"/>
    <row r="170" s="1" customFormat="1"/>
    <row r="171" s="1" customFormat="1"/>
    <row r="172" s="1" customFormat="1"/>
    <row r="173" s="1" customFormat="1"/>
    <row r="174" s="1" customFormat="1"/>
    <row r="175" s="1" customFormat="1"/>
    <row r="176" s="1" customFormat="1"/>
    <row r="177" s="1" customFormat="1"/>
    <row r="178" s="1" customFormat="1"/>
    <row r="179" s="1" customFormat="1"/>
    <row r="180" s="1" customFormat="1"/>
    <row r="181" s="1" customFormat="1"/>
    <row r="182" s="1" customFormat="1"/>
    <row r="183" s="1" customFormat="1"/>
    <row r="184" s="1" customFormat="1"/>
    <row r="185" s="1" customFormat="1"/>
    <row r="186" s="1" customFormat="1"/>
    <row r="187" s="1" customFormat="1"/>
    <row r="188" s="1" customFormat="1"/>
    <row r="189" s="1" customFormat="1"/>
    <row r="190" s="1" customFormat="1"/>
    <row r="191" s="1" customFormat="1"/>
    <row r="192" s="1" customFormat="1"/>
    <row r="193" s="1" customFormat="1"/>
    <row r="194" s="1" customFormat="1"/>
    <row r="195" s="1" customFormat="1"/>
    <row r="196" s="1" customFormat="1"/>
    <row r="197" s="1" customFormat="1"/>
    <row r="198" s="1" customFormat="1"/>
    <row r="199" s="1" customFormat="1"/>
    <row r="200" s="1" customFormat="1"/>
    <row r="201" s="1" customFormat="1"/>
    <row r="202" s="1" customFormat="1"/>
    <row r="203" s="1" customFormat="1"/>
    <row r="204" s="1" customFormat="1"/>
    <row r="205" s="1" customFormat="1"/>
    <row r="206" s="1" customFormat="1"/>
    <row r="207" s="1" customFormat="1"/>
    <row r="208" s="1" customFormat="1"/>
    <row r="209" s="1" customFormat="1"/>
    <row r="210" s="1" customFormat="1"/>
    <row r="211" s="1" customFormat="1"/>
    <row r="212" s="1" customFormat="1"/>
    <row r="213" s="1" customFormat="1"/>
    <row r="214" s="1" customFormat="1"/>
    <row r="215" s="1" customFormat="1"/>
    <row r="216" s="1" customFormat="1"/>
    <row r="217" s="1" customFormat="1"/>
    <row r="218" s="1" customFormat="1"/>
    <row r="219" s="1" customFormat="1"/>
    <row r="220" s="1" customFormat="1"/>
    <row r="221" s="1" customFormat="1"/>
    <row r="222" s="1" customFormat="1"/>
    <row r="223" s="1" customFormat="1"/>
    <row r="224" s="1" customFormat="1"/>
    <row r="225" s="1" customFormat="1"/>
    <row r="226" s="1" customFormat="1"/>
    <row r="227" s="1" customFormat="1"/>
    <row r="228" s="1" customFormat="1"/>
    <row r="229" s="1" customFormat="1"/>
    <row r="230" s="1" customFormat="1"/>
    <row r="231" s="1" customFormat="1"/>
    <row r="232" s="1" customFormat="1"/>
    <row r="233" s="1" customFormat="1"/>
    <row r="234" s="1" customFormat="1"/>
    <row r="235" s="1" customFormat="1"/>
    <row r="236" s="1" customFormat="1"/>
    <row r="237" s="1" customFormat="1"/>
    <row r="238" s="1" customFormat="1"/>
    <row r="239" s="1" customFormat="1"/>
    <row r="240" s="1" customFormat="1"/>
    <row r="241" s="1" customFormat="1"/>
    <row r="242" s="1" customFormat="1"/>
    <row r="243" s="1" customFormat="1"/>
    <row r="244" s="1" customFormat="1"/>
    <row r="245" s="1" customFormat="1"/>
    <row r="246" s="1" customFormat="1"/>
    <row r="247" s="1" customFormat="1"/>
    <row r="248" s="1" customFormat="1"/>
    <row r="249" s="1" customFormat="1"/>
    <row r="250" s="1" customFormat="1"/>
    <row r="251" s="1" customFormat="1"/>
    <row r="252" s="1" customFormat="1"/>
    <row r="253" s="1" customFormat="1"/>
    <row r="254" s="1" customFormat="1"/>
  </sheetData>
  <mergeCells count="2">
    <mergeCell ref="A1:N1"/>
    <mergeCell ref="A2:N2"/>
  </mergeCells>
  <dataValidations count="3">
    <dataValidation type="list" allowBlank="1" showInputMessage="1" showErrorMessage="1" sqref="B5:B18">
      <formula1>"Billable, Non Billable, Shadow Resource, On Bench, Under Training for Immediate Project Mapping, Under Training for Future project Mapping, Under Training, Others"</formula1>
    </dataValidation>
    <dataValidation type="list" allowBlank="1" showInputMessage="1" showErrorMessage="1" sqref="B4">
      <formula1>"Billable, Non Billable, Shadow Resource, On Bench, Under Training for Immediate Project Mapping, Under Training for Future Project Mapping, Under Training, Others"</formula1>
    </dataValidation>
    <dataValidation type="list" allowBlank="1" showInputMessage="1" showErrorMessage="1" sqref="G4:G18">
      <formula1>"Individual, Team"</formula1>
    </dataValidation>
  </dataValidations>
  <hyperlinks>
    <hyperlink ref="A2:N2" location="'PACE Form'!A1" display="Click here to go to PACE Form"/>
  </hyperlink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sheetPr codeName="Sheet2"/>
  <dimension ref="A3:DK9"/>
  <sheetViews>
    <sheetView workbookViewId="0">
      <selection activeCell="E30" sqref="E30"/>
    </sheetView>
  </sheetViews>
  <sheetFormatPr defaultRowHeight="15"/>
  <cols>
    <col min="1" max="1" width="5.7109375" style="3" customWidth="1"/>
    <col min="2" max="2" width="11.85546875" style="7" customWidth="1"/>
    <col min="3" max="3" width="13" style="6" customWidth="1"/>
    <col min="4" max="5" width="9.140625" style="1"/>
    <col min="6" max="6" width="7.5703125" style="1" customWidth="1"/>
    <col min="7" max="7" width="23.42578125" style="1" customWidth="1"/>
    <col min="8" max="8" width="15.140625" style="1" customWidth="1"/>
    <col min="9" max="9" width="12.42578125" style="1" customWidth="1"/>
    <col min="10" max="13" width="9.140625" style="1"/>
    <col min="14" max="115" width="1.85546875" style="2" customWidth="1"/>
    <col min="116" max="16384" width="9.140625" style="1"/>
  </cols>
  <sheetData>
    <row r="3" spans="2:19">
      <c r="C3" s="5"/>
    </row>
    <row r="4" spans="2:19" ht="26.25" customHeight="1">
      <c r="B4" s="3" t="str">
        <f>'PACE Form'!D26</f>
        <v>NA</v>
      </c>
      <c r="C4" s="5" t="s">
        <v>1</v>
      </c>
      <c r="S4" s="4"/>
    </row>
    <row r="5" spans="2:19">
      <c r="B5" s="3" t="str">
        <f>'PACE Form'!D33</f>
        <v>NA</v>
      </c>
      <c r="C5" s="5" t="s">
        <v>14</v>
      </c>
    </row>
    <row r="6" spans="2:19">
      <c r="B6" s="3" t="str">
        <f>'PACE Form'!D42</f>
        <v>NA</v>
      </c>
      <c r="C6" s="5" t="s">
        <v>43</v>
      </c>
    </row>
    <row r="7" spans="2:19">
      <c r="B7" s="3" t="str">
        <f>'PACE Form'!D51</f>
        <v>NA</v>
      </c>
      <c r="C7" s="5" t="s">
        <v>20</v>
      </c>
    </row>
    <row r="8" spans="2:19">
      <c r="B8" s="3" t="str">
        <f>'PACE Form'!D368</f>
        <v>NA</v>
      </c>
      <c r="C8" s="5" t="s">
        <v>54</v>
      </c>
    </row>
    <row r="9" spans="2:19">
      <c r="B9" s="3">
        <f>'PACE Form'!E376</f>
        <v>0</v>
      </c>
      <c r="C9" s="5" t="s">
        <v>55</v>
      </c>
    </row>
  </sheetData>
  <sheetProtection password="84C1" sheet="1" objects="1" scenarios="1"/>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sheetPr codeName="Sheet7"/>
  <dimension ref="B1:D314"/>
  <sheetViews>
    <sheetView topLeftCell="A4" workbookViewId="0">
      <selection activeCell="D17" sqref="D17"/>
    </sheetView>
  </sheetViews>
  <sheetFormatPr defaultRowHeight="15"/>
  <cols>
    <col min="1" max="1" width="9.140625" style="251"/>
    <col min="2" max="2" width="32.5703125" style="251" customWidth="1"/>
    <col min="3" max="3" width="34" style="251" customWidth="1"/>
    <col min="4" max="4" width="79.5703125" style="251" customWidth="1"/>
    <col min="5" max="16384" width="9.140625" style="251"/>
  </cols>
  <sheetData>
    <row r="1" spans="2:4" ht="19.5" thickBot="1">
      <c r="B1" s="622" t="s">
        <v>301</v>
      </c>
      <c r="C1" s="623"/>
      <c r="D1" s="624"/>
    </row>
    <row r="2" spans="2:4" ht="16.5" thickBot="1">
      <c r="B2" s="252" t="s">
        <v>123</v>
      </c>
      <c r="C2" s="253" t="s">
        <v>124</v>
      </c>
      <c r="D2" s="254" t="s">
        <v>54</v>
      </c>
    </row>
    <row r="3" spans="2:4" s="286" customFormat="1" ht="30">
      <c r="B3" s="618" t="s">
        <v>136</v>
      </c>
      <c r="C3" s="625" t="s">
        <v>137</v>
      </c>
      <c r="D3" s="266" t="s">
        <v>138</v>
      </c>
    </row>
    <row r="4" spans="2:4" s="286" customFormat="1">
      <c r="B4" s="619"/>
      <c r="C4" s="626"/>
      <c r="D4" s="267" t="s">
        <v>139</v>
      </c>
    </row>
    <row r="5" spans="2:4" s="286" customFormat="1" ht="30">
      <c r="B5" s="619"/>
      <c r="C5" s="626"/>
      <c r="D5" s="267" t="s">
        <v>140</v>
      </c>
    </row>
    <row r="6" spans="2:4" s="286" customFormat="1">
      <c r="B6" s="619"/>
      <c r="C6" s="603" t="s">
        <v>141</v>
      </c>
      <c r="D6" s="267" t="s">
        <v>142</v>
      </c>
    </row>
    <row r="7" spans="2:4" s="286" customFormat="1">
      <c r="B7" s="619"/>
      <c r="C7" s="603"/>
      <c r="D7" s="267" t="s">
        <v>143</v>
      </c>
    </row>
    <row r="8" spans="2:4" s="286" customFormat="1">
      <c r="B8" s="619"/>
      <c r="C8" s="287" t="s">
        <v>144</v>
      </c>
      <c r="D8" s="267" t="s">
        <v>145</v>
      </c>
    </row>
    <row r="9" spans="2:4" s="286" customFormat="1">
      <c r="B9" s="619"/>
      <c r="C9" s="616" t="s">
        <v>291</v>
      </c>
      <c r="D9" s="267" t="s">
        <v>146</v>
      </c>
    </row>
    <row r="10" spans="2:4" s="286" customFormat="1">
      <c r="B10" s="619"/>
      <c r="C10" s="603"/>
      <c r="D10" s="267" t="s">
        <v>147</v>
      </c>
    </row>
    <row r="11" spans="2:4" s="286" customFormat="1">
      <c r="B11" s="619"/>
      <c r="C11" s="287" t="s">
        <v>148</v>
      </c>
      <c r="D11" s="267" t="s">
        <v>149</v>
      </c>
    </row>
    <row r="12" spans="2:4" s="286" customFormat="1" ht="15.75" thickBot="1">
      <c r="B12" s="620"/>
      <c r="C12" s="288" t="s">
        <v>150</v>
      </c>
      <c r="D12" s="413" t="s">
        <v>323</v>
      </c>
    </row>
    <row r="13" spans="2:4" s="286" customFormat="1" ht="30">
      <c r="B13" s="618" t="s">
        <v>151</v>
      </c>
      <c r="C13" s="289" t="s">
        <v>152</v>
      </c>
      <c r="D13" s="269" t="s">
        <v>153</v>
      </c>
    </row>
    <row r="14" spans="2:4" s="286" customFormat="1" ht="30">
      <c r="B14" s="619"/>
      <c r="C14" s="285" t="s">
        <v>154</v>
      </c>
      <c r="D14" s="270" t="s">
        <v>155</v>
      </c>
    </row>
    <row r="15" spans="2:4" s="286" customFormat="1" ht="30">
      <c r="B15" s="619"/>
      <c r="C15" s="285" t="s">
        <v>285</v>
      </c>
      <c r="D15" s="271" t="s">
        <v>156</v>
      </c>
    </row>
    <row r="16" spans="2:4" s="286" customFormat="1" ht="30">
      <c r="B16" s="619"/>
      <c r="C16" s="285" t="s">
        <v>286</v>
      </c>
      <c r="D16" s="271" t="s">
        <v>324</v>
      </c>
    </row>
    <row r="17" spans="2:4" s="286" customFormat="1">
      <c r="B17" s="619"/>
      <c r="C17" s="285" t="s">
        <v>157</v>
      </c>
      <c r="D17" s="271" t="s">
        <v>158</v>
      </c>
    </row>
    <row r="18" spans="2:4" s="286" customFormat="1" ht="30">
      <c r="B18" s="619"/>
      <c r="C18" s="285" t="s">
        <v>287</v>
      </c>
      <c r="D18" s="271" t="s">
        <v>159</v>
      </c>
    </row>
    <row r="19" spans="2:4" s="286" customFormat="1" ht="30">
      <c r="B19" s="619"/>
      <c r="C19" s="285" t="s">
        <v>288</v>
      </c>
      <c r="D19" s="271" t="s">
        <v>160</v>
      </c>
    </row>
    <row r="20" spans="2:4" s="286" customFormat="1" ht="30">
      <c r="B20" s="619"/>
      <c r="C20" s="285" t="s">
        <v>289</v>
      </c>
      <c r="D20" s="271" t="s">
        <v>161</v>
      </c>
    </row>
    <row r="21" spans="2:4" s="286" customFormat="1">
      <c r="B21" s="619"/>
      <c r="C21" s="627" t="s">
        <v>150</v>
      </c>
      <c r="D21" s="271" t="s">
        <v>162</v>
      </c>
    </row>
    <row r="22" spans="2:4" s="286" customFormat="1" ht="15.75" thickBot="1">
      <c r="B22" s="620"/>
      <c r="C22" s="628"/>
      <c r="D22" s="272" t="s">
        <v>163</v>
      </c>
    </row>
    <row r="23" spans="2:4" s="286" customFormat="1">
      <c r="B23" s="618" t="s">
        <v>164</v>
      </c>
      <c r="C23" s="290" t="s">
        <v>290</v>
      </c>
      <c r="D23" s="266" t="s">
        <v>165</v>
      </c>
    </row>
    <row r="24" spans="2:4" s="286" customFormat="1" ht="30">
      <c r="B24" s="619"/>
      <c r="C24" s="287" t="s">
        <v>166</v>
      </c>
      <c r="D24" s="267" t="s">
        <v>167</v>
      </c>
    </row>
    <row r="25" spans="2:4" s="286" customFormat="1" ht="30">
      <c r="B25" s="619"/>
      <c r="C25" s="603" t="s">
        <v>137</v>
      </c>
      <c r="D25" s="267" t="s">
        <v>168</v>
      </c>
    </row>
    <row r="26" spans="2:4" s="286" customFormat="1" ht="30">
      <c r="B26" s="619"/>
      <c r="C26" s="603"/>
      <c r="D26" s="267" t="s">
        <v>169</v>
      </c>
    </row>
    <row r="27" spans="2:4" s="286" customFormat="1" ht="30">
      <c r="B27" s="619"/>
      <c r="C27" s="603"/>
      <c r="D27" s="267" t="s">
        <v>170</v>
      </c>
    </row>
    <row r="28" spans="2:4" s="286" customFormat="1">
      <c r="B28" s="619"/>
      <c r="C28" s="603"/>
      <c r="D28" s="267" t="s">
        <v>171</v>
      </c>
    </row>
    <row r="29" spans="2:4" s="286" customFormat="1" ht="30">
      <c r="B29" s="619"/>
      <c r="C29" s="603" t="s">
        <v>141</v>
      </c>
      <c r="D29" s="267" t="s">
        <v>172</v>
      </c>
    </row>
    <row r="30" spans="2:4" s="286" customFormat="1" ht="30">
      <c r="B30" s="619"/>
      <c r="C30" s="603"/>
      <c r="D30" s="267" t="s">
        <v>173</v>
      </c>
    </row>
    <row r="31" spans="2:4" s="286" customFormat="1">
      <c r="B31" s="619"/>
      <c r="C31" s="287" t="s">
        <v>144</v>
      </c>
      <c r="D31" s="267" t="s">
        <v>174</v>
      </c>
    </row>
    <row r="32" spans="2:4" s="286" customFormat="1">
      <c r="B32" s="619"/>
      <c r="C32" s="291" t="s">
        <v>291</v>
      </c>
      <c r="D32" s="267" t="s">
        <v>175</v>
      </c>
    </row>
    <row r="33" spans="2:4" s="286" customFormat="1">
      <c r="B33" s="619"/>
      <c r="C33" s="603" t="s">
        <v>148</v>
      </c>
      <c r="D33" s="267" t="s">
        <v>176</v>
      </c>
    </row>
    <row r="34" spans="2:4" s="286" customFormat="1">
      <c r="B34" s="619"/>
      <c r="C34" s="603"/>
      <c r="D34" s="267" t="s">
        <v>177</v>
      </c>
    </row>
    <row r="35" spans="2:4" s="286" customFormat="1" ht="15.75" thickBot="1">
      <c r="B35" s="620"/>
      <c r="C35" s="288" t="s">
        <v>150</v>
      </c>
      <c r="D35" s="273" t="s">
        <v>178</v>
      </c>
    </row>
    <row r="36" spans="2:4" s="286" customFormat="1">
      <c r="B36" s="618" t="s">
        <v>207</v>
      </c>
      <c r="C36" s="621" t="s">
        <v>290</v>
      </c>
      <c r="D36" s="269" t="s">
        <v>182</v>
      </c>
    </row>
    <row r="37" spans="2:4" s="286" customFormat="1">
      <c r="B37" s="619"/>
      <c r="C37" s="603"/>
      <c r="D37" s="267" t="s">
        <v>208</v>
      </c>
    </row>
    <row r="38" spans="2:4" s="286" customFormat="1">
      <c r="B38" s="619"/>
      <c r="C38" s="603"/>
      <c r="D38" s="267" t="s">
        <v>186</v>
      </c>
    </row>
    <row r="39" spans="2:4" s="286" customFormat="1">
      <c r="B39" s="619"/>
      <c r="C39" s="603"/>
      <c r="D39" s="267" t="s">
        <v>187</v>
      </c>
    </row>
    <row r="40" spans="2:4" s="286" customFormat="1" ht="30">
      <c r="B40" s="619"/>
      <c r="C40" s="287" t="s">
        <v>166</v>
      </c>
      <c r="D40" s="271" t="s">
        <v>188</v>
      </c>
    </row>
    <row r="41" spans="2:4" s="286" customFormat="1" ht="30">
      <c r="B41" s="619"/>
      <c r="C41" s="603" t="s">
        <v>137</v>
      </c>
      <c r="D41" s="267" t="s">
        <v>168</v>
      </c>
    </row>
    <row r="42" spans="2:4" s="286" customFormat="1" ht="30">
      <c r="B42" s="619"/>
      <c r="C42" s="603"/>
      <c r="D42" s="267" t="s">
        <v>169</v>
      </c>
    </row>
    <row r="43" spans="2:4" s="286" customFormat="1" ht="30">
      <c r="B43" s="619"/>
      <c r="C43" s="603"/>
      <c r="D43" s="267" t="s">
        <v>189</v>
      </c>
    </row>
    <row r="44" spans="2:4" s="286" customFormat="1">
      <c r="B44" s="619"/>
      <c r="C44" s="603"/>
      <c r="D44" s="267" t="s">
        <v>171</v>
      </c>
    </row>
    <row r="45" spans="2:4" s="286" customFormat="1" ht="30">
      <c r="B45" s="619"/>
      <c r="C45" s="603" t="s">
        <v>144</v>
      </c>
      <c r="D45" s="271" t="s">
        <v>209</v>
      </c>
    </row>
    <row r="46" spans="2:4" s="286" customFormat="1">
      <c r="B46" s="619"/>
      <c r="C46" s="603"/>
      <c r="D46" s="271" t="s">
        <v>174</v>
      </c>
    </row>
    <row r="47" spans="2:4" s="286" customFormat="1">
      <c r="B47" s="619"/>
      <c r="C47" s="291" t="s">
        <v>291</v>
      </c>
      <c r="D47" s="274" t="s">
        <v>202</v>
      </c>
    </row>
    <row r="48" spans="2:4" s="286" customFormat="1">
      <c r="B48" s="619"/>
      <c r="C48" s="287" t="s">
        <v>148</v>
      </c>
      <c r="D48" s="274" t="s">
        <v>210</v>
      </c>
    </row>
    <row r="49" spans="2:4" s="286" customFormat="1">
      <c r="B49" s="619"/>
      <c r="C49" s="603" t="s">
        <v>150</v>
      </c>
      <c r="D49" s="275" t="s">
        <v>163</v>
      </c>
    </row>
    <row r="50" spans="2:4" s="286" customFormat="1">
      <c r="B50" s="619"/>
      <c r="C50" s="603"/>
      <c r="D50" s="271" t="s">
        <v>178</v>
      </c>
    </row>
    <row r="51" spans="2:4" s="286" customFormat="1" ht="15.75" thickBot="1">
      <c r="B51" s="620"/>
      <c r="C51" s="617"/>
      <c r="D51" s="272" t="s">
        <v>211</v>
      </c>
    </row>
    <row r="52" spans="2:4" s="286" customFormat="1" ht="30">
      <c r="B52" s="618" t="s">
        <v>179</v>
      </c>
      <c r="C52" s="602" t="s">
        <v>225</v>
      </c>
      <c r="D52" s="266" t="s">
        <v>180</v>
      </c>
    </row>
    <row r="53" spans="2:4" s="286" customFormat="1">
      <c r="B53" s="619"/>
      <c r="C53" s="603"/>
      <c r="D53" s="267" t="s">
        <v>181</v>
      </c>
    </row>
    <row r="54" spans="2:4" s="286" customFormat="1">
      <c r="B54" s="619"/>
      <c r="C54" s="603" t="s">
        <v>290</v>
      </c>
      <c r="D54" s="267" t="s">
        <v>182</v>
      </c>
    </row>
    <row r="55" spans="2:4" s="286" customFormat="1">
      <c r="B55" s="619"/>
      <c r="C55" s="603"/>
      <c r="D55" s="267" t="s">
        <v>183</v>
      </c>
    </row>
    <row r="56" spans="2:4" s="286" customFormat="1">
      <c r="B56" s="619"/>
      <c r="C56" s="603"/>
      <c r="D56" s="267" t="s">
        <v>184</v>
      </c>
    </row>
    <row r="57" spans="2:4" s="286" customFormat="1">
      <c r="B57" s="619"/>
      <c r="C57" s="603"/>
      <c r="D57" s="267" t="s">
        <v>185</v>
      </c>
    </row>
    <row r="58" spans="2:4" s="286" customFormat="1">
      <c r="B58" s="619"/>
      <c r="C58" s="603"/>
      <c r="D58" s="267" t="s">
        <v>186</v>
      </c>
    </row>
    <row r="59" spans="2:4" s="286" customFormat="1">
      <c r="B59" s="619"/>
      <c r="C59" s="603"/>
      <c r="D59" s="267" t="s">
        <v>187</v>
      </c>
    </row>
    <row r="60" spans="2:4" s="286" customFormat="1" ht="30">
      <c r="B60" s="619"/>
      <c r="C60" s="287" t="s">
        <v>166</v>
      </c>
      <c r="D60" s="267" t="s">
        <v>188</v>
      </c>
    </row>
    <row r="61" spans="2:4" s="286" customFormat="1" ht="30">
      <c r="B61" s="619"/>
      <c r="C61" s="603" t="s">
        <v>137</v>
      </c>
      <c r="D61" s="267" t="s">
        <v>168</v>
      </c>
    </row>
    <row r="62" spans="2:4" s="286" customFormat="1" ht="30">
      <c r="B62" s="619"/>
      <c r="C62" s="603"/>
      <c r="D62" s="267" t="s">
        <v>169</v>
      </c>
    </row>
    <row r="63" spans="2:4" s="286" customFormat="1" ht="30">
      <c r="B63" s="619"/>
      <c r="C63" s="603"/>
      <c r="D63" s="267" t="s">
        <v>189</v>
      </c>
    </row>
    <row r="64" spans="2:4" s="286" customFormat="1">
      <c r="B64" s="619"/>
      <c r="C64" s="603"/>
      <c r="D64" s="267" t="s">
        <v>171</v>
      </c>
    </row>
    <row r="65" spans="2:4" s="286" customFormat="1">
      <c r="B65" s="619"/>
      <c r="C65" s="603"/>
      <c r="D65" s="267" t="s">
        <v>190</v>
      </c>
    </row>
    <row r="66" spans="2:4" s="286" customFormat="1" ht="30">
      <c r="B66" s="619"/>
      <c r="C66" s="603" t="s">
        <v>191</v>
      </c>
      <c r="D66" s="267" t="s">
        <v>192</v>
      </c>
    </row>
    <row r="67" spans="2:4" s="286" customFormat="1" ht="30">
      <c r="B67" s="619"/>
      <c r="C67" s="603"/>
      <c r="D67" s="412" t="s">
        <v>320</v>
      </c>
    </row>
    <row r="68" spans="2:4" s="286" customFormat="1">
      <c r="B68" s="619"/>
      <c r="C68" s="603"/>
      <c r="D68" s="267" t="s">
        <v>193</v>
      </c>
    </row>
    <row r="69" spans="2:4" s="286" customFormat="1" ht="30">
      <c r="B69" s="619"/>
      <c r="C69" s="603"/>
      <c r="D69" s="267" t="s">
        <v>194</v>
      </c>
    </row>
    <row r="70" spans="2:4" s="286" customFormat="1">
      <c r="B70" s="619"/>
      <c r="C70" s="603"/>
      <c r="D70" s="267" t="s">
        <v>195</v>
      </c>
    </row>
    <row r="71" spans="2:4" s="286" customFormat="1">
      <c r="B71" s="619"/>
      <c r="C71" s="603"/>
      <c r="D71" s="267" t="s">
        <v>196</v>
      </c>
    </row>
    <row r="72" spans="2:4" s="286" customFormat="1">
      <c r="B72" s="619"/>
      <c r="C72" s="603" t="s">
        <v>141</v>
      </c>
      <c r="D72" s="267" t="s">
        <v>197</v>
      </c>
    </row>
    <row r="73" spans="2:4" s="286" customFormat="1">
      <c r="B73" s="619"/>
      <c r="C73" s="603"/>
      <c r="D73" s="267" t="s">
        <v>198</v>
      </c>
    </row>
    <row r="74" spans="2:4" s="286" customFormat="1" ht="30">
      <c r="B74" s="619"/>
      <c r="C74" s="603" t="s">
        <v>144</v>
      </c>
      <c r="D74" s="267" t="s">
        <v>199</v>
      </c>
    </row>
    <row r="75" spans="2:4" s="286" customFormat="1" ht="30">
      <c r="B75" s="619"/>
      <c r="C75" s="603"/>
      <c r="D75" s="267" t="s">
        <v>200</v>
      </c>
    </row>
    <row r="76" spans="2:4" s="286" customFormat="1">
      <c r="B76" s="619"/>
      <c r="C76" s="603"/>
      <c r="D76" s="267" t="s">
        <v>174</v>
      </c>
    </row>
    <row r="77" spans="2:4" s="286" customFormat="1" ht="30">
      <c r="B77" s="619"/>
      <c r="C77" s="603"/>
      <c r="D77" s="267" t="s">
        <v>201</v>
      </c>
    </row>
    <row r="78" spans="2:4" s="286" customFormat="1">
      <c r="B78" s="619"/>
      <c r="C78" s="616" t="s">
        <v>291</v>
      </c>
      <c r="D78" s="267" t="s">
        <v>202</v>
      </c>
    </row>
    <row r="79" spans="2:4" s="286" customFormat="1">
      <c r="B79" s="619"/>
      <c r="C79" s="603"/>
      <c r="D79" s="267" t="s">
        <v>203</v>
      </c>
    </row>
    <row r="80" spans="2:4" s="286" customFormat="1">
      <c r="B80" s="619"/>
      <c r="C80" s="287" t="s">
        <v>148</v>
      </c>
      <c r="D80" s="267" t="s">
        <v>204</v>
      </c>
    </row>
    <row r="81" spans="2:4" s="286" customFormat="1">
      <c r="B81" s="619"/>
      <c r="C81" s="603" t="s">
        <v>150</v>
      </c>
      <c r="D81" s="267" t="s">
        <v>205</v>
      </c>
    </row>
    <row r="82" spans="2:4" s="286" customFormat="1" ht="15.75" thickBot="1">
      <c r="B82" s="620"/>
      <c r="C82" s="617"/>
      <c r="D82" s="268" t="s">
        <v>206</v>
      </c>
    </row>
    <row r="83" spans="2:4" s="286" customFormat="1" ht="30">
      <c r="B83" s="612" t="s">
        <v>212</v>
      </c>
      <c r="C83" s="602" t="s">
        <v>225</v>
      </c>
      <c r="D83" s="266" t="s">
        <v>180</v>
      </c>
    </row>
    <row r="84" spans="2:4" s="286" customFormat="1">
      <c r="B84" s="613"/>
      <c r="C84" s="603"/>
      <c r="D84" s="267" t="s">
        <v>181</v>
      </c>
    </row>
    <row r="85" spans="2:4" s="286" customFormat="1">
      <c r="B85" s="613"/>
      <c r="C85" s="603" t="s">
        <v>290</v>
      </c>
      <c r="D85" s="267" t="s">
        <v>182</v>
      </c>
    </row>
    <row r="86" spans="2:4" s="286" customFormat="1">
      <c r="B86" s="613"/>
      <c r="C86" s="603"/>
      <c r="D86" s="267" t="s">
        <v>183</v>
      </c>
    </row>
    <row r="87" spans="2:4" s="286" customFormat="1">
      <c r="B87" s="613"/>
      <c r="C87" s="603"/>
      <c r="D87" s="267" t="s">
        <v>184</v>
      </c>
    </row>
    <row r="88" spans="2:4" s="286" customFormat="1">
      <c r="B88" s="613"/>
      <c r="C88" s="603"/>
      <c r="D88" s="267" t="s">
        <v>185</v>
      </c>
    </row>
    <row r="89" spans="2:4" s="286" customFormat="1">
      <c r="B89" s="613"/>
      <c r="C89" s="603"/>
      <c r="D89" s="267" t="s">
        <v>186</v>
      </c>
    </row>
    <row r="90" spans="2:4" s="286" customFormat="1">
      <c r="B90" s="613"/>
      <c r="C90" s="603"/>
      <c r="D90" s="267" t="s">
        <v>187</v>
      </c>
    </row>
    <row r="91" spans="2:4" s="286" customFormat="1">
      <c r="B91" s="613"/>
      <c r="C91" s="603"/>
      <c r="D91" s="276" t="s">
        <v>213</v>
      </c>
    </row>
    <row r="92" spans="2:4" s="286" customFormat="1" ht="30">
      <c r="B92" s="613"/>
      <c r="C92" s="287" t="s">
        <v>166</v>
      </c>
      <c r="D92" s="267" t="s">
        <v>188</v>
      </c>
    </row>
    <row r="93" spans="2:4" s="286" customFormat="1" ht="30">
      <c r="B93" s="613"/>
      <c r="C93" s="603" t="s">
        <v>137</v>
      </c>
      <c r="D93" s="267" t="s">
        <v>168</v>
      </c>
    </row>
    <row r="94" spans="2:4" s="286" customFormat="1" ht="30">
      <c r="B94" s="613"/>
      <c r="C94" s="603"/>
      <c r="D94" s="267" t="s">
        <v>169</v>
      </c>
    </row>
    <row r="95" spans="2:4" s="286" customFormat="1" ht="30">
      <c r="B95" s="613"/>
      <c r="C95" s="603"/>
      <c r="D95" s="267" t="s">
        <v>189</v>
      </c>
    </row>
    <row r="96" spans="2:4" s="286" customFormat="1">
      <c r="B96" s="613"/>
      <c r="C96" s="603"/>
      <c r="D96" s="267" t="s">
        <v>171</v>
      </c>
    </row>
    <row r="97" spans="2:4" s="286" customFormat="1" ht="30">
      <c r="B97" s="613"/>
      <c r="C97" s="604" t="s">
        <v>191</v>
      </c>
      <c r="D97" s="276" t="s">
        <v>214</v>
      </c>
    </row>
    <row r="98" spans="2:4" s="286" customFormat="1">
      <c r="B98" s="613"/>
      <c r="C98" s="604"/>
      <c r="D98" s="276" t="s">
        <v>294</v>
      </c>
    </row>
    <row r="99" spans="2:4" s="286" customFormat="1" ht="30">
      <c r="B99" s="613"/>
      <c r="C99" s="604"/>
      <c r="D99" s="276" t="s">
        <v>303</v>
      </c>
    </row>
    <row r="100" spans="2:4" s="286" customFormat="1" ht="30">
      <c r="B100" s="613"/>
      <c r="C100" s="604"/>
      <c r="D100" s="276" t="s">
        <v>215</v>
      </c>
    </row>
    <row r="101" spans="2:4" s="286" customFormat="1" ht="30">
      <c r="B101" s="613"/>
      <c r="C101" s="604"/>
      <c r="D101" s="276" t="s">
        <v>216</v>
      </c>
    </row>
    <row r="102" spans="2:4" s="286" customFormat="1" ht="30">
      <c r="B102" s="613"/>
      <c r="C102" s="604"/>
      <c r="D102" s="276" t="s">
        <v>217</v>
      </c>
    </row>
    <row r="103" spans="2:4" s="286" customFormat="1">
      <c r="B103" s="613"/>
      <c r="C103" s="603" t="s">
        <v>141</v>
      </c>
      <c r="D103" s="267" t="s">
        <v>197</v>
      </c>
    </row>
    <row r="104" spans="2:4" s="286" customFormat="1">
      <c r="B104" s="613"/>
      <c r="C104" s="603"/>
      <c r="D104" s="267" t="s">
        <v>198</v>
      </c>
    </row>
    <row r="105" spans="2:4" s="286" customFormat="1" ht="30">
      <c r="B105" s="613"/>
      <c r="C105" s="603" t="s">
        <v>144</v>
      </c>
      <c r="D105" s="267" t="s">
        <v>199</v>
      </c>
    </row>
    <row r="106" spans="2:4" s="286" customFormat="1" ht="30">
      <c r="B106" s="613"/>
      <c r="C106" s="603"/>
      <c r="D106" s="267" t="s">
        <v>200</v>
      </c>
    </row>
    <row r="107" spans="2:4" s="286" customFormat="1">
      <c r="B107" s="613"/>
      <c r="C107" s="603"/>
      <c r="D107" s="267" t="s">
        <v>174</v>
      </c>
    </row>
    <row r="108" spans="2:4" s="286" customFormat="1" ht="30">
      <c r="B108" s="613"/>
      <c r="C108" s="603"/>
      <c r="D108" s="267" t="s">
        <v>201</v>
      </c>
    </row>
    <row r="109" spans="2:4" s="286" customFormat="1">
      <c r="B109" s="613"/>
      <c r="C109" s="616" t="s">
        <v>291</v>
      </c>
      <c r="D109" s="267" t="s">
        <v>202</v>
      </c>
    </row>
    <row r="110" spans="2:4" s="286" customFormat="1">
      <c r="B110" s="613"/>
      <c r="C110" s="603"/>
      <c r="D110" s="267" t="s">
        <v>203</v>
      </c>
    </row>
    <row r="111" spans="2:4" s="286" customFormat="1">
      <c r="B111" s="613"/>
      <c r="C111" s="287" t="s">
        <v>148</v>
      </c>
      <c r="D111" s="267" t="s">
        <v>204</v>
      </c>
    </row>
    <row r="112" spans="2:4" s="286" customFormat="1">
      <c r="B112" s="613"/>
      <c r="C112" s="603" t="s">
        <v>150</v>
      </c>
      <c r="D112" s="267" t="s">
        <v>205</v>
      </c>
    </row>
    <row r="113" spans="2:4" s="286" customFormat="1" ht="15.75" thickBot="1">
      <c r="B113" s="614"/>
      <c r="C113" s="617"/>
      <c r="D113" s="268" t="s">
        <v>206</v>
      </c>
    </row>
    <row r="114" spans="2:4" s="286" customFormat="1" ht="30">
      <c r="B114" s="612" t="s">
        <v>218</v>
      </c>
      <c r="C114" s="289" t="s">
        <v>152</v>
      </c>
      <c r="D114" s="269" t="s">
        <v>153</v>
      </c>
    </row>
    <row r="115" spans="2:4" s="286" customFormat="1" ht="30">
      <c r="B115" s="613"/>
      <c r="C115" s="285" t="s">
        <v>154</v>
      </c>
      <c r="D115" s="271" t="s">
        <v>155</v>
      </c>
    </row>
    <row r="116" spans="2:4" s="286" customFormat="1" ht="30">
      <c r="B116" s="613"/>
      <c r="C116" s="285" t="s">
        <v>285</v>
      </c>
      <c r="D116" s="271" t="s">
        <v>219</v>
      </c>
    </row>
    <row r="117" spans="2:4" s="286" customFormat="1" ht="30">
      <c r="B117" s="613"/>
      <c r="C117" s="285" t="s">
        <v>286</v>
      </c>
      <c r="D117" s="271" t="s">
        <v>302</v>
      </c>
    </row>
    <row r="118" spans="2:4" s="286" customFormat="1">
      <c r="B118" s="613"/>
      <c r="C118" s="285" t="s">
        <v>157</v>
      </c>
      <c r="D118" s="271" t="s">
        <v>220</v>
      </c>
    </row>
    <row r="119" spans="2:4" s="286" customFormat="1" ht="30">
      <c r="B119" s="613"/>
      <c r="C119" s="285" t="s">
        <v>287</v>
      </c>
      <c r="D119" s="271" t="s">
        <v>221</v>
      </c>
    </row>
    <row r="120" spans="2:4" s="286" customFormat="1" ht="30">
      <c r="B120" s="613"/>
      <c r="C120" s="285" t="s">
        <v>288</v>
      </c>
      <c r="D120" s="271" t="s">
        <v>222</v>
      </c>
    </row>
    <row r="121" spans="2:4" s="286" customFormat="1" ht="30">
      <c r="B121" s="613"/>
      <c r="C121" s="285" t="s">
        <v>289</v>
      </c>
      <c r="D121" s="271" t="s">
        <v>223</v>
      </c>
    </row>
    <row r="122" spans="2:4" s="286" customFormat="1" ht="30.75" thickBot="1">
      <c r="B122" s="614"/>
      <c r="C122" s="292" t="s">
        <v>150</v>
      </c>
      <c r="D122" s="272" t="s">
        <v>322</v>
      </c>
    </row>
    <row r="123" spans="2:4" s="286" customFormat="1" ht="45">
      <c r="B123" s="609" t="s">
        <v>224</v>
      </c>
      <c r="C123" s="615" t="s">
        <v>225</v>
      </c>
      <c r="D123" s="277" t="s">
        <v>226</v>
      </c>
    </row>
    <row r="124" spans="2:4" s="286" customFormat="1" ht="45">
      <c r="B124" s="610"/>
      <c r="C124" s="604"/>
      <c r="D124" s="278" t="s">
        <v>227</v>
      </c>
    </row>
    <row r="125" spans="2:4" s="286" customFormat="1" ht="60">
      <c r="B125" s="610"/>
      <c r="C125" s="604"/>
      <c r="D125" s="381" t="s">
        <v>321</v>
      </c>
    </row>
    <row r="126" spans="2:4" s="286" customFormat="1" ht="30">
      <c r="B126" s="610"/>
      <c r="C126" s="604"/>
      <c r="D126" s="278" t="s">
        <v>228</v>
      </c>
    </row>
    <row r="127" spans="2:4" s="286" customFormat="1" ht="60">
      <c r="B127" s="610"/>
      <c r="C127" s="604" t="s">
        <v>290</v>
      </c>
      <c r="D127" s="278" t="s">
        <v>229</v>
      </c>
    </row>
    <row r="128" spans="2:4" s="286" customFormat="1" ht="30">
      <c r="B128" s="610"/>
      <c r="C128" s="604"/>
      <c r="D128" s="278" t="s">
        <v>230</v>
      </c>
    </row>
    <row r="129" spans="2:4" s="286" customFormat="1" ht="30">
      <c r="B129" s="610"/>
      <c r="C129" s="604"/>
      <c r="D129" s="278" t="s">
        <v>231</v>
      </c>
    </row>
    <row r="130" spans="2:4" s="286" customFormat="1">
      <c r="B130" s="610"/>
      <c r="C130" s="604" t="s">
        <v>191</v>
      </c>
      <c r="D130" s="276" t="s">
        <v>232</v>
      </c>
    </row>
    <row r="131" spans="2:4" s="286" customFormat="1">
      <c r="B131" s="610"/>
      <c r="C131" s="604"/>
      <c r="D131" s="276" t="s">
        <v>233</v>
      </c>
    </row>
    <row r="132" spans="2:4" s="286" customFormat="1">
      <c r="B132" s="610"/>
      <c r="C132" s="604"/>
      <c r="D132" s="276" t="s">
        <v>234</v>
      </c>
    </row>
    <row r="133" spans="2:4" s="286" customFormat="1" ht="30">
      <c r="B133" s="610"/>
      <c r="C133" s="293" t="s">
        <v>141</v>
      </c>
      <c r="D133" s="276" t="s">
        <v>235</v>
      </c>
    </row>
    <row r="134" spans="2:4" s="286" customFormat="1" ht="30">
      <c r="B134" s="610"/>
      <c r="C134" s="604" t="s">
        <v>144</v>
      </c>
      <c r="D134" s="276" t="s">
        <v>295</v>
      </c>
    </row>
    <row r="135" spans="2:4" s="286" customFormat="1" ht="30">
      <c r="B135" s="610"/>
      <c r="C135" s="604"/>
      <c r="D135" s="276" t="s">
        <v>236</v>
      </c>
    </row>
    <row r="136" spans="2:4" s="286" customFormat="1">
      <c r="B136" s="610"/>
      <c r="C136" s="604"/>
      <c r="D136" s="276" t="s">
        <v>237</v>
      </c>
    </row>
    <row r="137" spans="2:4" s="286" customFormat="1">
      <c r="B137" s="610"/>
      <c r="C137" s="604" t="s">
        <v>291</v>
      </c>
      <c r="D137" s="276" t="s">
        <v>238</v>
      </c>
    </row>
    <row r="138" spans="2:4" s="286" customFormat="1">
      <c r="B138" s="610"/>
      <c r="C138" s="604"/>
      <c r="D138" s="276" t="s">
        <v>296</v>
      </c>
    </row>
    <row r="139" spans="2:4" s="286" customFormat="1" ht="30">
      <c r="B139" s="610"/>
      <c r="C139" s="293" t="s">
        <v>148</v>
      </c>
      <c r="D139" s="276" t="s">
        <v>239</v>
      </c>
    </row>
    <row r="140" spans="2:4" s="286" customFormat="1" ht="30.75" thickBot="1">
      <c r="B140" s="611"/>
      <c r="C140" s="294" t="s">
        <v>150</v>
      </c>
      <c r="D140" s="279" t="s">
        <v>240</v>
      </c>
    </row>
    <row r="141" spans="2:4" s="286" customFormat="1" ht="30">
      <c r="B141" s="612" t="s">
        <v>241</v>
      </c>
      <c r="C141" s="615" t="s">
        <v>225</v>
      </c>
      <c r="D141" s="277" t="s">
        <v>242</v>
      </c>
    </row>
    <row r="142" spans="2:4" s="286" customFormat="1" ht="30">
      <c r="B142" s="613"/>
      <c r="C142" s="604"/>
      <c r="D142" s="276" t="s">
        <v>243</v>
      </c>
    </row>
    <row r="143" spans="2:4" s="286" customFormat="1" ht="30">
      <c r="B143" s="613"/>
      <c r="C143" s="604" t="s">
        <v>290</v>
      </c>
      <c r="D143" s="276" t="s">
        <v>244</v>
      </c>
    </row>
    <row r="144" spans="2:4" s="286" customFormat="1">
      <c r="B144" s="613"/>
      <c r="C144" s="604"/>
      <c r="D144" s="280" t="s">
        <v>245</v>
      </c>
    </row>
    <row r="145" spans="2:4" s="286" customFormat="1" ht="30">
      <c r="B145" s="613"/>
      <c r="C145" s="604"/>
      <c r="D145" s="281" t="s">
        <v>246</v>
      </c>
    </row>
    <row r="146" spans="2:4" s="286" customFormat="1" ht="30">
      <c r="B146" s="613"/>
      <c r="C146" s="293" t="s">
        <v>166</v>
      </c>
      <c r="D146" s="276" t="s">
        <v>297</v>
      </c>
    </row>
    <row r="147" spans="2:4" s="286" customFormat="1">
      <c r="B147" s="613"/>
      <c r="C147" s="293" t="s">
        <v>137</v>
      </c>
      <c r="D147" s="276" t="s">
        <v>247</v>
      </c>
    </row>
    <row r="148" spans="2:4" s="286" customFormat="1" ht="30">
      <c r="B148" s="613"/>
      <c r="C148" s="604" t="s">
        <v>191</v>
      </c>
      <c r="D148" s="280" t="s">
        <v>248</v>
      </c>
    </row>
    <row r="149" spans="2:4" s="286" customFormat="1" ht="30">
      <c r="B149" s="613"/>
      <c r="C149" s="604"/>
      <c r="D149" s="278" t="s">
        <v>249</v>
      </c>
    </row>
    <row r="150" spans="2:4" s="286" customFormat="1">
      <c r="B150" s="613"/>
      <c r="C150" s="604"/>
      <c r="D150" s="280" t="s">
        <v>250</v>
      </c>
    </row>
    <row r="151" spans="2:4" s="286" customFormat="1">
      <c r="B151" s="613"/>
      <c r="C151" s="604"/>
      <c r="D151" s="382" t="s">
        <v>294</v>
      </c>
    </row>
    <row r="152" spans="2:4" s="286" customFormat="1" ht="30">
      <c r="B152" s="613"/>
      <c r="C152" s="604"/>
      <c r="D152" s="278" t="s">
        <v>251</v>
      </c>
    </row>
    <row r="153" spans="2:4" s="286" customFormat="1" ht="30">
      <c r="B153" s="613"/>
      <c r="C153" s="604"/>
      <c r="D153" s="381" t="s">
        <v>303</v>
      </c>
    </row>
    <row r="154" spans="2:4" s="286" customFormat="1" ht="30">
      <c r="B154" s="613"/>
      <c r="C154" s="604"/>
      <c r="D154" s="278" t="s">
        <v>252</v>
      </c>
    </row>
    <row r="155" spans="2:4" s="286" customFormat="1" ht="30">
      <c r="B155" s="613"/>
      <c r="C155" s="604"/>
      <c r="D155" s="278" t="s">
        <v>216</v>
      </c>
    </row>
    <row r="156" spans="2:4" s="286" customFormat="1" ht="30">
      <c r="B156" s="613"/>
      <c r="C156" s="604"/>
      <c r="D156" s="278" t="s">
        <v>253</v>
      </c>
    </row>
    <row r="157" spans="2:4" s="286" customFormat="1" ht="30">
      <c r="B157" s="613"/>
      <c r="C157" s="604"/>
      <c r="D157" s="278" t="s">
        <v>254</v>
      </c>
    </row>
    <row r="158" spans="2:4" s="286" customFormat="1" ht="30">
      <c r="B158" s="613"/>
      <c r="C158" s="293" t="s">
        <v>141</v>
      </c>
      <c r="D158" s="276" t="s">
        <v>255</v>
      </c>
    </row>
    <row r="159" spans="2:4" s="286" customFormat="1">
      <c r="B159" s="613"/>
      <c r="C159" s="604" t="s">
        <v>144</v>
      </c>
      <c r="D159" s="278" t="s">
        <v>256</v>
      </c>
    </row>
    <row r="160" spans="2:4" s="286" customFormat="1" ht="30">
      <c r="B160" s="613"/>
      <c r="C160" s="604"/>
      <c r="D160" s="278" t="s">
        <v>257</v>
      </c>
    </row>
    <row r="161" spans="2:4" s="286" customFormat="1" ht="30">
      <c r="B161" s="613"/>
      <c r="C161" s="604"/>
      <c r="D161" s="278" t="s">
        <v>258</v>
      </c>
    </row>
    <row r="162" spans="2:4" s="286" customFormat="1" ht="30">
      <c r="B162" s="613"/>
      <c r="C162" s="604" t="s">
        <v>291</v>
      </c>
      <c r="D162" s="381" t="s">
        <v>298</v>
      </c>
    </row>
    <row r="163" spans="2:4" s="286" customFormat="1">
      <c r="B163" s="613"/>
      <c r="C163" s="604"/>
      <c r="D163" s="278" t="s">
        <v>259</v>
      </c>
    </row>
    <row r="164" spans="2:4" s="286" customFormat="1">
      <c r="B164" s="613"/>
      <c r="C164" s="293" t="s">
        <v>148</v>
      </c>
      <c r="D164" s="276" t="s">
        <v>260</v>
      </c>
    </row>
    <row r="165" spans="2:4" s="286" customFormat="1">
      <c r="B165" s="613"/>
      <c r="C165" s="604" t="s">
        <v>150</v>
      </c>
      <c r="D165" s="276" t="s">
        <v>261</v>
      </c>
    </row>
    <row r="166" spans="2:4" s="286" customFormat="1" ht="15.75" thickBot="1">
      <c r="B166" s="614"/>
      <c r="C166" s="605"/>
      <c r="D166" s="279" t="s">
        <v>162</v>
      </c>
    </row>
    <row r="167" spans="2:4" s="286" customFormat="1" ht="30">
      <c r="B167" s="609" t="s">
        <v>125</v>
      </c>
      <c r="C167" s="295" t="s">
        <v>225</v>
      </c>
      <c r="D167" s="277" t="s">
        <v>262</v>
      </c>
    </row>
    <row r="168" spans="2:4" s="286" customFormat="1" ht="30">
      <c r="B168" s="610"/>
      <c r="C168" s="604" t="s">
        <v>290</v>
      </c>
      <c r="D168" s="281" t="s">
        <v>263</v>
      </c>
    </row>
    <row r="169" spans="2:4" s="286" customFormat="1" ht="30">
      <c r="B169" s="610"/>
      <c r="C169" s="604"/>
      <c r="D169" s="278" t="s">
        <v>264</v>
      </c>
    </row>
    <row r="170" spans="2:4" s="286" customFormat="1" ht="30">
      <c r="B170" s="610"/>
      <c r="C170" s="296" t="s">
        <v>166</v>
      </c>
      <c r="D170" s="278" t="s">
        <v>265</v>
      </c>
    </row>
    <row r="171" spans="2:4" s="286" customFormat="1">
      <c r="B171" s="610"/>
      <c r="C171" s="297" t="s">
        <v>137</v>
      </c>
      <c r="D171" s="278" t="s">
        <v>266</v>
      </c>
    </row>
    <row r="172" spans="2:4" s="286" customFormat="1" ht="30">
      <c r="B172" s="610"/>
      <c r="C172" s="604" t="s">
        <v>191</v>
      </c>
      <c r="D172" s="411" t="s">
        <v>276</v>
      </c>
    </row>
    <row r="173" spans="2:4" s="286" customFormat="1" ht="30">
      <c r="B173" s="610"/>
      <c r="C173" s="604"/>
      <c r="D173" s="411" t="s">
        <v>277</v>
      </c>
    </row>
    <row r="174" spans="2:4" s="286" customFormat="1" ht="30">
      <c r="B174" s="610"/>
      <c r="C174" s="604"/>
      <c r="D174" s="411" t="s">
        <v>278</v>
      </c>
    </row>
    <row r="175" spans="2:4" s="286" customFormat="1" ht="30">
      <c r="B175" s="610"/>
      <c r="C175" s="604"/>
      <c r="D175" s="278" t="s">
        <v>267</v>
      </c>
    </row>
    <row r="176" spans="2:4" s="286" customFormat="1" ht="30">
      <c r="B176" s="610"/>
      <c r="C176" s="604"/>
      <c r="D176" s="411" t="s">
        <v>279</v>
      </c>
    </row>
    <row r="177" spans="2:4" s="286" customFormat="1" ht="30">
      <c r="B177" s="610"/>
      <c r="C177" s="604"/>
      <c r="D177" s="411" t="s">
        <v>280</v>
      </c>
    </row>
    <row r="178" spans="2:4" s="286" customFormat="1">
      <c r="B178" s="610"/>
      <c r="C178" s="604"/>
      <c r="D178" s="282" t="s">
        <v>268</v>
      </c>
    </row>
    <row r="179" spans="2:4" s="286" customFormat="1" ht="30">
      <c r="B179" s="610"/>
      <c r="C179" s="604"/>
      <c r="D179" s="411" t="s">
        <v>281</v>
      </c>
    </row>
    <row r="180" spans="2:4" s="286" customFormat="1">
      <c r="B180" s="610"/>
      <c r="C180" s="604"/>
      <c r="D180" s="280" t="s">
        <v>269</v>
      </c>
    </row>
    <row r="181" spans="2:4" s="286" customFormat="1">
      <c r="B181" s="610"/>
      <c r="C181" s="604"/>
      <c r="D181" s="280" t="s">
        <v>270</v>
      </c>
    </row>
    <row r="182" spans="2:4" s="286" customFormat="1" ht="30">
      <c r="B182" s="610"/>
      <c r="C182" s="604"/>
      <c r="D182" s="278" t="s">
        <v>271</v>
      </c>
    </row>
    <row r="183" spans="2:4" s="286" customFormat="1" ht="30">
      <c r="B183" s="610"/>
      <c r="C183" s="296" t="s">
        <v>141</v>
      </c>
      <c r="D183" s="280" t="s">
        <v>272</v>
      </c>
    </row>
    <row r="184" spans="2:4" s="286" customFormat="1">
      <c r="B184" s="610"/>
      <c r="C184" s="604" t="s">
        <v>144</v>
      </c>
      <c r="D184" s="278" t="s">
        <v>256</v>
      </c>
    </row>
    <row r="185" spans="2:4" s="286" customFormat="1" ht="30">
      <c r="B185" s="610"/>
      <c r="C185" s="604"/>
      <c r="D185" s="278" t="s">
        <v>257</v>
      </c>
    </row>
    <row r="186" spans="2:4" s="286" customFormat="1" ht="30">
      <c r="B186" s="610"/>
      <c r="C186" s="604"/>
      <c r="D186" s="278" t="s">
        <v>258</v>
      </c>
    </row>
    <row r="187" spans="2:4" s="286" customFormat="1" ht="30">
      <c r="B187" s="610"/>
      <c r="C187" s="604"/>
      <c r="D187" s="381" t="s">
        <v>299</v>
      </c>
    </row>
    <row r="188" spans="2:4" s="286" customFormat="1" ht="30">
      <c r="B188" s="610"/>
      <c r="C188" s="604" t="s">
        <v>291</v>
      </c>
      <c r="D188" s="381" t="s">
        <v>300</v>
      </c>
    </row>
    <row r="189" spans="2:4" s="286" customFormat="1">
      <c r="B189" s="610"/>
      <c r="C189" s="604"/>
      <c r="D189" s="278" t="s">
        <v>273</v>
      </c>
    </row>
    <row r="190" spans="2:4" s="286" customFormat="1">
      <c r="B190" s="610"/>
      <c r="C190" s="293" t="s">
        <v>148</v>
      </c>
      <c r="D190" s="276" t="s">
        <v>260</v>
      </c>
    </row>
    <row r="191" spans="2:4" s="286" customFormat="1">
      <c r="B191" s="610"/>
      <c r="C191" s="604" t="s">
        <v>150</v>
      </c>
      <c r="D191" s="278" t="s">
        <v>274</v>
      </c>
    </row>
    <row r="192" spans="2:4" s="286" customFormat="1" ht="15.75" thickBot="1">
      <c r="B192" s="611"/>
      <c r="C192" s="605"/>
      <c r="D192" s="279" t="s">
        <v>162</v>
      </c>
    </row>
    <row r="193" spans="2:4" s="286" customFormat="1" ht="30">
      <c r="B193" s="606" t="s">
        <v>275</v>
      </c>
      <c r="C193" s="602" t="s">
        <v>225</v>
      </c>
      <c r="D193" s="266" t="s">
        <v>180</v>
      </c>
    </row>
    <row r="194" spans="2:4" s="286" customFormat="1">
      <c r="B194" s="607"/>
      <c r="C194" s="603"/>
      <c r="D194" s="267" t="s">
        <v>181</v>
      </c>
    </row>
    <row r="195" spans="2:4" s="286" customFormat="1">
      <c r="B195" s="607"/>
      <c r="C195" s="603" t="s">
        <v>290</v>
      </c>
      <c r="D195" s="267" t="s">
        <v>182</v>
      </c>
    </row>
    <row r="196" spans="2:4" s="286" customFormat="1">
      <c r="B196" s="607"/>
      <c r="C196" s="603"/>
      <c r="D196" s="267" t="s">
        <v>183</v>
      </c>
    </row>
    <row r="197" spans="2:4" s="286" customFormat="1">
      <c r="B197" s="607"/>
      <c r="C197" s="603"/>
      <c r="D197" s="267" t="s">
        <v>184</v>
      </c>
    </row>
    <row r="198" spans="2:4" s="286" customFormat="1">
      <c r="B198" s="607"/>
      <c r="C198" s="603"/>
      <c r="D198" s="267" t="s">
        <v>185</v>
      </c>
    </row>
    <row r="199" spans="2:4" s="286" customFormat="1">
      <c r="B199" s="607"/>
      <c r="C199" s="603"/>
      <c r="D199" s="267" t="s">
        <v>186</v>
      </c>
    </row>
    <row r="200" spans="2:4" s="286" customFormat="1">
      <c r="B200" s="607"/>
      <c r="C200" s="603"/>
      <c r="D200" s="267" t="s">
        <v>187</v>
      </c>
    </row>
    <row r="201" spans="2:4" s="286" customFormat="1">
      <c r="B201" s="607"/>
      <c r="C201" s="603"/>
      <c r="D201" s="276" t="s">
        <v>213</v>
      </c>
    </row>
    <row r="202" spans="2:4" s="286" customFormat="1" ht="30">
      <c r="B202" s="607"/>
      <c r="C202" s="293" t="s">
        <v>166</v>
      </c>
      <c r="D202" s="276" t="s">
        <v>265</v>
      </c>
    </row>
    <row r="203" spans="2:4" s="286" customFormat="1">
      <c r="B203" s="607"/>
      <c r="C203" s="293" t="s">
        <v>137</v>
      </c>
      <c r="D203" s="276" t="s">
        <v>266</v>
      </c>
    </row>
    <row r="204" spans="2:4" s="286" customFormat="1" ht="30">
      <c r="B204" s="607"/>
      <c r="C204" s="604" t="s">
        <v>191</v>
      </c>
      <c r="D204" s="276" t="s">
        <v>267</v>
      </c>
    </row>
    <row r="205" spans="2:4" s="286" customFormat="1" ht="30">
      <c r="B205" s="607"/>
      <c r="C205" s="604"/>
      <c r="D205" s="278" t="s">
        <v>276</v>
      </c>
    </row>
    <row r="206" spans="2:4" s="286" customFormat="1" ht="30">
      <c r="B206" s="607"/>
      <c r="C206" s="604"/>
      <c r="D206" s="278" t="s">
        <v>277</v>
      </c>
    </row>
    <row r="207" spans="2:4" s="286" customFormat="1" ht="30">
      <c r="B207" s="607"/>
      <c r="C207" s="604"/>
      <c r="D207" s="278" t="s">
        <v>278</v>
      </c>
    </row>
    <row r="208" spans="2:4" s="286" customFormat="1" ht="30">
      <c r="B208" s="607"/>
      <c r="C208" s="604"/>
      <c r="D208" s="278" t="s">
        <v>279</v>
      </c>
    </row>
    <row r="209" spans="2:4" s="286" customFormat="1" ht="30">
      <c r="B209" s="607"/>
      <c r="C209" s="604"/>
      <c r="D209" s="278" t="s">
        <v>280</v>
      </c>
    </row>
    <row r="210" spans="2:4" s="286" customFormat="1">
      <c r="B210" s="607"/>
      <c r="C210" s="604"/>
      <c r="D210" s="283" t="s">
        <v>268</v>
      </c>
    </row>
    <row r="211" spans="2:4" s="286" customFormat="1" ht="30">
      <c r="B211" s="607"/>
      <c r="C211" s="604"/>
      <c r="D211" s="278" t="s">
        <v>281</v>
      </c>
    </row>
    <row r="212" spans="2:4" s="286" customFormat="1">
      <c r="B212" s="607"/>
      <c r="C212" s="604"/>
      <c r="D212" s="280" t="s">
        <v>269</v>
      </c>
    </row>
    <row r="213" spans="2:4" s="286" customFormat="1">
      <c r="B213" s="607"/>
      <c r="C213" s="604"/>
      <c r="D213" s="280" t="s">
        <v>270</v>
      </c>
    </row>
    <row r="214" spans="2:4" s="286" customFormat="1" ht="30">
      <c r="B214" s="607"/>
      <c r="C214" s="604"/>
      <c r="D214" s="278" t="s">
        <v>271</v>
      </c>
    </row>
    <row r="215" spans="2:4" s="286" customFormat="1" ht="30">
      <c r="B215" s="607"/>
      <c r="C215" s="293" t="s">
        <v>141</v>
      </c>
      <c r="D215" s="276" t="s">
        <v>272</v>
      </c>
    </row>
    <row r="216" spans="2:4" s="286" customFormat="1">
      <c r="B216" s="607"/>
      <c r="C216" s="604" t="s">
        <v>144</v>
      </c>
      <c r="D216" s="278" t="s">
        <v>256</v>
      </c>
    </row>
    <row r="217" spans="2:4" s="286" customFormat="1" ht="30">
      <c r="B217" s="607"/>
      <c r="C217" s="604"/>
      <c r="D217" s="278" t="s">
        <v>257</v>
      </c>
    </row>
    <row r="218" spans="2:4" s="286" customFormat="1" ht="30">
      <c r="B218" s="607"/>
      <c r="C218" s="604"/>
      <c r="D218" s="278" t="s">
        <v>258</v>
      </c>
    </row>
    <row r="219" spans="2:4" s="286" customFormat="1" ht="30">
      <c r="B219" s="607"/>
      <c r="C219" s="604"/>
      <c r="D219" s="381" t="s">
        <v>299</v>
      </c>
    </row>
    <row r="220" spans="2:4" s="286" customFormat="1" ht="30">
      <c r="B220" s="607"/>
      <c r="C220" s="604" t="s">
        <v>291</v>
      </c>
      <c r="D220" s="381" t="s">
        <v>300</v>
      </c>
    </row>
    <row r="221" spans="2:4" s="286" customFormat="1">
      <c r="B221" s="607"/>
      <c r="C221" s="604"/>
      <c r="D221" s="278" t="s">
        <v>273</v>
      </c>
    </row>
    <row r="222" spans="2:4" s="286" customFormat="1">
      <c r="B222" s="607"/>
      <c r="C222" s="293" t="s">
        <v>148</v>
      </c>
      <c r="D222" s="278" t="s">
        <v>260</v>
      </c>
    </row>
    <row r="223" spans="2:4" s="286" customFormat="1">
      <c r="B223" s="607"/>
      <c r="C223" s="604" t="s">
        <v>150</v>
      </c>
      <c r="D223" s="278" t="s">
        <v>274</v>
      </c>
    </row>
    <row r="224" spans="2:4" s="286" customFormat="1" ht="15.75" thickBot="1">
      <c r="B224" s="608"/>
      <c r="C224" s="605"/>
      <c r="D224" s="279" t="s">
        <v>162</v>
      </c>
    </row>
    <row r="225" spans="2:4" s="286" customFormat="1" ht="30">
      <c r="B225" s="606" t="s">
        <v>282</v>
      </c>
      <c r="C225" s="298" t="s">
        <v>225</v>
      </c>
      <c r="D225" s="277" t="s">
        <v>262</v>
      </c>
    </row>
    <row r="226" spans="2:4" s="286" customFormat="1" ht="30">
      <c r="B226" s="607"/>
      <c r="C226" s="604" t="s">
        <v>290</v>
      </c>
      <c r="D226" s="278" t="s">
        <v>263</v>
      </c>
    </row>
    <row r="227" spans="2:4" s="286" customFormat="1" ht="30">
      <c r="B227" s="607"/>
      <c r="C227" s="604"/>
      <c r="D227" s="278" t="s">
        <v>264</v>
      </c>
    </row>
    <row r="228" spans="2:4" s="286" customFormat="1" ht="30">
      <c r="B228" s="607"/>
      <c r="C228" s="293" t="s">
        <v>166</v>
      </c>
      <c r="D228" s="276" t="s">
        <v>265</v>
      </c>
    </row>
    <row r="229" spans="2:4" s="286" customFormat="1">
      <c r="B229" s="607"/>
      <c r="C229" s="293" t="s">
        <v>137</v>
      </c>
      <c r="D229" s="276" t="s">
        <v>266</v>
      </c>
    </row>
    <row r="230" spans="2:4" s="286" customFormat="1" ht="30">
      <c r="B230" s="607"/>
      <c r="C230" s="604" t="s">
        <v>191</v>
      </c>
      <c r="D230" s="276" t="s">
        <v>276</v>
      </c>
    </row>
    <row r="231" spans="2:4" s="286" customFormat="1" ht="30">
      <c r="B231" s="607"/>
      <c r="C231" s="604"/>
      <c r="D231" s="276" t="s">
        <v>267</v>
      </c>
    </row>
    <row r="232" spans="2:4" s="286" customFormat="1" ht="30">
      <c r="B232" s="607"/>
      <c r="C232" s="604"/>
      <c r="D232" s="276" t="s">
        <v>277</v>
      </c>
    </row>
    <row r="233" spans="2:4" s="286" customFormat="1" ht="30">
      <c r="B233" s="607"/>
      <c r="C233" s="604"/>
      <c r="D233" s="276" t="s">
        <v>278</v>
      </c>
    </row>
    <row r="234" spans="2:4" s="286" customFormat="1" ht="30">
      <c r="B234" s="607"/>
      <c r="C234" s="604"/>
      <c r="D234" s="276" t="s">
        <v>279</v>
      </c>
    </row>
    <row r="235" spans="2:4" s="286" customFormat="1" ht="30">
      <c r="B235" s="607"/>
      <c r="C235" s="604"/>
      <c r="D235" s="278" t="s">
        <v>280</v>
      </c>
    </row>
    <row r="236" spans="2:4" s="286" customFormat="1">
      <c r="B236" s="607"/>
      <c r="C236" s="604"/>
      <c r="D236" s="283" t="s">
        <v>268</v>
      </c>
    </row>
    <row r="237" spans="2:4" s="286" customFormat="1" ht="30">
      <c r="B237" s="607"/>
      <c r="C237" s="604"/>
      <c r="D237" s="278" t="s">
        <v>281</v>
      </c>
    </row>
    <row r="238" spans="2:4" s="286" customFormat="1">
      <c r="B238" s="607"/>
      <c r="C238" s="604"/>
      <c r="D238" s="280" t="s">
        <v>269</v>
      </c>
    </row>
    <row r="239" spans="2:4" s="286" customFormat="1">
      <c r="B239" s="607"/>
      <c r="C239" s="604"/>
      <c r="D239" s="280" t="s">
        <v>270</v>
      </c>
    </row>
    <row r="240" spans="2:4" s="286" customFormat="1" ht="30">
      <c r="B240" s="607"/>
      <c r="C240" s="604"/>
      <c r="D240" s="278" t="s">
        <v>271</v>
      </c>
    </row>
    <row r="241" spans="2:4" s="286" customFormat="1" ht="30">
      <c r="B241" s="607"/>
      <c r="C241" s="293" t="s">
        <v>141</v>
      </c>
      <c r="D241" s="276" t="s">
        <v>272</v>
      </c>
    </row>
    <row r="242" spans="2:4" s="286" customFormat="1">
      <c r="B242" s="607"/>
      <c r="C242" s="604" t="s">
        <v>144</v>
      </c>
      <c r="D242" s="278" t="s">
        <v>256</v>
      </c>
    </row>
    <row r="243" spans="2:4" s="286" customFormat="1" ht="30">
      <c r="B243" s="607"/>
      <c r="C243" s="604"/>
      <c r="D243" s="278" t="s">
        <v>257</v>
      </c>
    </row>
    <row r="244" spans="2:4" s="286" customFormat="1" ht="30">
      <c r="B244" s="607"/>
      <c r="C244" s="604"/>
      <c r="D244" s="278" t="s">
        <v>258</v>
      </c>
    </row>
    <row r="245" spans="2:4" s="286" customFormat="1" ht="30">
      <c r="B245" s="607"/>
      <c r="C245" s="604"/>
      <c r="D245" s="381" t="s">
        <v>299</v>
      </c>
    </row>
    <row r="246" spans="2:4" s="286" customFormat="1" ht="30">
      <c r="B246" s="607"/>
      <c r="C246" s="604" t="s">
        <v>291</v>
      </c>
      <c r="D246" s="381" t="s">
        <v>300</v>
      </c>
    </row>
    <row r="247" spans="2:4" s="286" customFormat="1">
      <c r="B247" s="607"/>
      <c r="C247" s="604"/>
      <c r="D247" s="278" t="s">
        <v>273</v>
      </c>
    </row>
    <row r="248" spans="2:4" s="286" customFormat="1">
      <c r="B248" s="607"/>
      <c r="C248" s="293" t="s">
        <v>148</v>
      </c>
      <c r="D248" s="276" t="s">
        <v>260</v>
      </c>
    </row>
    <row r="249" spans="2:4" s="286" customFormat="1">
      <c r="B249" s="607"/>
      <c r="C249" s="604" t="s">
        <v>150</v>
      </c>
      <c r="D249" s="276" t="s">
        <v>274</v>
      </c>
    </row>
    <row r="250" spans="2:4" s="286" customFormat="1" ht="15.75" thickBot="1">
      <c r="B250" s="608"/>
      <c r="C250" s="605"/>
      <c r="D250" s="279" t="s">
        <v>162</v>
      </c>
    </row>
    <row r="251" spans="2:4" s="286" customFormat="1" ht="30">
      <c r="B251" s="606" t="s">
        <v>283</v>
      </c>
      <c r="C251" s="602" t="s">
        <v>225</v>
      </c>
      <c r="D251" s="266" t="s">
        <v>180</v>
      </c>
    </row>
    <row r="252" spans="2:4" s="286" customFormat="1">
      <c r="B252" s="607"/>
      <c r="C252" s="603"/>
      <c r="D252" s="267" t="s">
        <v>181</v>
      </c>
    </row>
    <row r="253" spans="2:4" s="286" customFormat="1">
      <c r="B253" s="607"/>
      <c r="C253" s="603" t="s">
        <v>290</v>
      </c>
      <c r="D253" s="267" t="s">
        <v>182</v>
      </c>
    </row>
    <row r="254" spans="2:4" s="286" customFormat="1">
      <c r="B254" s="607"/>
      <c r="C254" s="603"/>
      <c r="D254" s="267" t="s">
        <v>183</v>
      </c>
    </row>
    <row r="255" spans="2:4" s="286" customFormat="1">
      <c r="B255" s="607"/>
      <c r="C255" s="603"/>
      <c r="D255" s="267" t="s">
        <v>184</v>
      </c>
    </row>
    <row r="256" spans="2:4" s="286" customFormat="1">
      <c r="B256" s="607"/>
      <c r="C256" s="603"/>
      <c r="D256" s="267" t="s">
        <v>185</v>
      </c>
    </row>
    <row r="257" spans="2:4" s="286" customFormat="1">
      <c r="B257" s="607"/>
      <c r="C257" s="603"/>
      <c r="D257" s="267" t="s">
        <v>186</v>
      </c>
    </row>
    <row r="258" spans="2:4" s="286" customFormat="1">
      <c r="B258" s="607"/>
      <c r="C258" s="603"/>
      <c r="D258" s="267" t="s">
        <v>187</v>
      </c>
    </row>
    <row r="259" spans="2:4" s="286" customFormat="1">
      <c r="B259" s="607"/>
      <c r="C259" s="603"/>
      <c r="D259" s="276" t="s">
        <v>213</v>
      </c>
    </row>
    <row r="260" spans="2:4" s="286" customFormat="1" ht="30">
      <c r="B260" s="607"/>
      <c r="C260" s="293" t="s">
        <v>166</v>
      </c>
      <c r="D260" s="276" t="s">
        <v>265</v>
      </c>
    </row>
    <row r="261" spans="2:4" s="286" customFormat="1">
      <c r="B261" s="607"/>
      <c r="C261" s="293" t="s">
        <v>137</v>
      </c>
      <c r="D261" s="276" t="s">
        <v>266</v>
      </c>
    </row>
    <row r="262" spans="2:4" s="286" customFormat="1" ht="30">
      <c r="B262" s="607"/>
      <c r="C262" s="604" t="s">
        <v>191</v>
      </c>
      <c r="D262" s="276" t="s">
        <v>267</v>
      </c>
    </row>
    <row r="263" spans="2:4" s="286" customFormat="1" ht="30">
      <c r="B263" s="607"/>
      <c r="C263" s="604"/>
      <c r="D263" s="278" t="s">
        <v>276</v>
      </c>
    </row>
    <row r="264" spans="2:4" s="286" customFormat="1" ht="30">
      <c r="B264" s="607"/>
      <c r="C264" s="604"/>
      <c r="D264" s="278" t="s">
        <v>277</v>
      </c>
    </row>
    <row r="265" spans="2:4" s="286" customFormat="1" ht="30">
      <c r="B265" s="607"/>
      <c r="C265" s="604"/>
      <c r="D265" s="278" t="s">
        <v>278</v>
      </c>
    </row>
    <row r="266" spans="2:4" s="286" customFormat="1" ht="30">
      <c r="B266" s="607"/>
      <c r="C266" s="604"/>
      <c r="D266" s="278" t="s">
        <v>279</v>
      </c>
    </row>
    <row r="267" spans="2:4" s="286" customFormat="1" ht="30">
      <c r="B267" s="607"/>
      <c r="C267" s="604"/>
      <c r="D267" s="278" t="s">
        <v>280</v>
      </c>
    </row>
    <row r="268" spans="2:4" s="286" customFormat="1">
      <c r="B268" s="607"/>
      <c r="C268" s="604"/>
      <c r="D268" s="283" t="s">
        <v>268</v>
      </c>
    </row>
    <row r="269" spans="2:4" s="286" customFormat="1" ht="30">
      <c r="B269" s="607"/>
      <c r="C269" s="604"/>
      <c r="D269" s="278" t="s">
        <v>281</v>
      </c>
    </row>
    <row r="270" spans="2:4" s="286" customFormat="1">
      <c r="B270" s="607"/>
      <c r="C270" s="604"/>
      <c r="D270" s="280" t="s">
        <v>269</v>
      </c>
    </row>
    <row r="271" spans="2:4" s="286" customFormat="1">
      <c r="B271" s="607"/>
      <c r="C271" s="604"/>
      <c r="D271" s="280" t="s">
        <v>270</v>
      </c>
    </row>
    <row r="272" spans="2:4" s="286" customFormat="1" ht="30">
      <c r="B272" s="607"/>
      <c r="C272" s="604"/>
      <c r="D272" s="278" t="s">
        <v>271</v>
      </c>
    </row>
    <row r="273" spans="2:4" s="286" customFormat="1" ht="30">
      <c r="B273" s="607"/>
      <c r="C273" s="293" t="s">
        <v>141</v>
      </c>
      <c r="D273" s="276" t="s">
        <v>272</v>
      </c>
    </row>
    <row r="274" spans="2:4" s="286" customFormat="1">
      <c r="B274" s="607"/>
      <c r="C274" s="604" t="s">
        <v>144</v>
      </c>
      <c r="D274" s="278" t="s">
        <v>256</v>
      </c>
    </row>
    <row r="275" spans="2:4" s="286" customFormat="1" ht="30">
      <c r="B275" s="607"/>
      <c r="C275" s="604"/>
      <c r="D275" s="278" t="s">
        <v>257</v>
      </c>
    </row>
    <row r="276" spans="2:4" s="286" customFormat="1" ht="30">
      <c r="B276" s="607"/>
      <c r="C276" s="604"/>
      <c r="D276" s="278" t="s">
        <v>258</v>
      </c>
    </row>
    <row r="277" spans="2:4" s="286" customFormat="1" ht="30">
      <c r="B277" s="607"/>
      <c r="C277" s="604"/>
      <c r="D277" s="381" t="s">
        <v>299</v>
      </c>
    </row>
    <row r="278" spans="2:4" s="286" customFormat="1" ht="30">
      <c r="B278" s="607"/>
      <c r="C278" s="604" t="s">
        <v>291</v>
      </c>
      <c r="D278" s="381" t="s">
        <v>300</v>
      </c>
    </row>
    <row r="279" spans="2:4" s="286" customFormat="1">
      <c r="B279" s="607"/>
      <c r="C279" s="604"/>
      <c r="D279" s="278" t="s">
        <v>273</v>
      </c>
    </row>
    <row r="280" spans="2:4" s="286" customFormat="1">
      <c r="B280" s="607"/>
      <c r="C280" s="293" t="s">
        <v>148</v>
      </c>
      <c r="D280" s="278" t="s">
        <v>260</v>
      </c>
    </row>
    <row r="281" spans="2:4" s="286" customFormat="1">
      <c r="B281" s="607"/>
      <c r="C281" s="604" t="s">
        <v>150</v>
      </c>
      <c r="D281" s="278" t="s">
        <v>274</v>
      </c>
    </row>
    <row r="282" spans="2:4" s="286" customFormat="1" ht="15.75" thickBot="1">
      <c r="B282" s="608"/>
      <c r="C282" s="605"/>
      <c r="D282" s="279" t="s">
        <v>162</v>
      </c>
    </row>
    <row r="283" spans="2:4" s="286" customFormat="1" ht="30">
      <c r="B283" s="599" t="s">
        <v>284</v>
      </c>
      <c r="C283" s="602" t="s">
        <v>225</v>
      </c>
      <c r="D283" s="266" t="s">
        <v>180</v>
      </c>
    </row>
    <row r="284" spans="2:4" s="286" customFormat="1">
      <c r="B284" s="600"/>
      <c r="C284" s="603"/>
      <c r="D284" s="267" t="s">
        <v>181</v>
      </c>
    </row>
    <row r="285" spans="2:4" s="286" customFormat="1">
      <c r="B285" s="600"/>
      <c r="C285" s="603" t="s">
        <v>290</v>
      </c>
      <c r="D285" s="267" t="s">
        <v>182</v>
      </c>
    </row>
    <row r="286" spans="2:4" s="286" customFormat="1">
      <c r="B286" s="600"/>
      <c r="C286" s="603"/>
      <c r="D286" s="267" t="s">
        <v>183</v>
      </c>
    </row>
    <row r="287" spans="2:4" s="286" customFormat="1">
      <c r="B287" s="600"/>
      <c r="C287" s="603"/>
      <c r="D287" s="267" t="s">
        <v>184</v>
      </c>
    </row>
    <row r="288" spans="2:4" s="286" customFormat="1">
      <c r="B288" s="600"/>
      <c r="C288" s="603"/>
      <c r="D288" s="267" t="s">
        <v>185</v>
      </c>
    </row>
    <row r="289" spans="2:4" s="286" customFormat="1">
      <c r="B289" s="600"/>
      <c r="C289" s="603"/>
      <c r="D289" s="267" t="s">
        <v>186</v>
      </c>
    </row>
    <row r="290" spans="2:4" s="286" customFormat="1">
      <c r="B290" s="600"/>
      <c r="C290" s="603"/>
      <c r="D290" s="267" t="s">
        <v>187</v>
      </c>
    </row>
    <row r="291" spans="2:4" s="286" customFormat="1">
      <c r="B291" s="600"/>
      <c r="C291" s="603"/>
      <c r="D291" s="276" t="s">
        <v>213</v>
      </c>
    </row>
    <row r="292" spans="2:4" s="286" customFormat="1" ht="30">
      <c r="B292" s="600"/>
      <c r="C292" s="293" t="s">
        <v>166</v>
      </c>
      <c r="D292" s="276" t="s">
        <v>265</v>
      </c>
    </row>
    <row r="293" spans="2:4" s="286" customFormat="1">
      <c r="B293" s="600"/>
      <c r="C293" s="293" t="s">
        <v>137</v>
      </c>
      <c r="D293" s="276" t="s">
        <v>266</v>
      </c>
    </row>
    <row r="294" spans="2:4" s="286" customFormat="1" ht="30">
      <c r="B294" s="600"/>
      <c r="C294" s="604" t="s">
        <v>191</v>
      </c>
      <c r="D294" s="276" t="s">
        <v>267</v>
      </c>
    </row>
    <row r="295" spans="2:4" s="286" customFormat="1" ht="30">
      <c r="B295" s="600"/>
      <c r="C295" s="604"/>
      <c r="D295" s="278" t="s">
        <v>276</v>
      </c>
    </row>
    <row r="296" spans="2:4" s="286" customFormat="1" ht="30">
      <c r="B296" s="600"/>
      <c r="C296" s="604"/>
      <c r="D296" s="278" t="s">
        <v>277</v>
      </c>
    </row>
    <row r="297" spans="2:4" s="286" customFormat="1" ht="30">
      <c r="B297" s="600"/>
      <c r="C297" s="604"/>
      <c r="D297" s="278" t="s">
        <v>278</v>
      </c>
    </row>
    <row r="298" spans="2:4" s="286" customFormat="1" ht="30">
      <c r="B298" s="600"/>
      <c r="C298" s="604"/>
      <c r="D298" s="278" t="s">
        <v>279</v>
      </c>
    </row>
    <row r="299" spans="2:4" s="286" customFormat="1" ht="30">
      <c r="B299" s="600"/>
      <c r="C299" s="604"/>
      <c r="D299" s="278" t="s">
        <v>280</v>
      </c>
    </row>
    <row r="300" spans="2:4" s="286" customFormat="1">
      <c r="B300" s="600"/>
      <c r="C300" s="604"/>
      <c r="D300" s="283" t="s">
        <v>268</v>
      </c>
    </row>
    <row r="301" spans="2:4" s="286" customFormat="1" ht="30">
      <c r="B301" s="600"/>
      <c r="C301" s="604"/>
      <c r="D301" s="278" t="s">
        <v>281</v>
      </c>
    </row>
    <row r="302" spans="2:4" s="286" customFormat="1">
      <c r="B302" s="600"/>
      <c r="C302" s="604"/>
      <c r="D302" s="280" t="s">
        <v>269</v>
      </c>
    </row>
    <row r="303" spans="2:4" s="286" customFormat="1">
      <c r="B303" s="600"/>
      <c r="C303" s="604"/>
      <c r="D303" s="280" t="s">
        <v>270</v>
      </c>
    </row>
    <row r="304" spans="2:4" s="286" customFormat="1" ht="30">
      <c r="B304" s="600"/>
      <c r="C304" s="604"/>
      <c r="D304" s="278" t="s">
        <v>271</v>
      </c>
    </row>
    <row r="305" spans="2:4" s="286" customFormat="1" ht="30">
      <c r="B305" s="600"/>
      <c r="C305" s="293" t="s">
        <v>141</v>
      </c>
      <c r="D305" s="276" t="s">
        <v>272</v>
      </c>
    </row>
    <row r="306" spans="2:4" s="286" customFormat="1">
      <c r="B306" s="600"/>
      <c r="C306" s="604" t="s">
        <v>144</v>
      </c>
      <c r="D306" s="278" t="s">
        <v>256</v>
      </c>
    </row>
    <row r="307" spans="2:4" s="286" customFormat="1" ht="30">
      <c r="B307" s="600"/>
      <c r="C307" s="604"/>
      <c r="D307" s="278" t="s">
        <v>257</v>
      </c>
    </row>
    <row r="308" spans="2:4" s="286" customFormat="1" ht="30">
      <c r="B308" s="600"/>
      <c r="C308" s="604"/>
      <c r="D308" s="278" t="s">
        <v>258</v>
      </c>
    </row>
    <row r="309" spans="2:4" s="286" customFormat="1" ht="30">
      <c r="B309" s="600"/>
      <c r="C309" s="604"/>
      <c r="D309" s="381" t="s">
        <v>299</v>
      </c>
    </row>
    <row r="310" spans="2:4" s="286" customFormat="1" ht="30">
      <c r="B310" s="600"/>
      <c r="C310" s="604" t="s">
        <v>291</v>
      </c>
      <c r="D310" s="381" t="s">
        <v>300</v>
      </c>
    </row>
    <row r="311" spans="2:4" s="286" customFormat="1">
      <c r="B311" s="600"/>
      <c r="C311" s="604"/>
      <c r="D311" s="278" t="s">
        <v>273</v>
      </c>
    </row>
    <row r="312" spans="2:4" s="286" customFormat="1">
      <c r="B312" s="600"/>
      <c r="C312" s="293" t="s">
        <v>148</v>
      </c>
      <c r="D312" s="278" t="s">
        <v>260</v>
      </c>
    </row>
    <row r="313" spans="2:4" s="286" customFormat="1">
      <c r="B313" s="600"/>
      <c r="C313" s="604" t="s">
        <v>150</v>
      </c>
      <c r="D313" s="278" t="s">
        <v>274</v>
      </c>
    </row>
    <row r="314" spans="2:4" s="286" customFormat="1" ht="15.75" thickBot="1">
      <c r="B314" s="601"/>
      <c r="C314" s="605"/>
      <c r="D314" s="279" t="s">
        <v>162</v>
      </c>
    </row>
  </sheetData>
  <autoFilter ref="B2:D314"/>
  <mergeCells count="81">
    <mergeCell ref="B13:B22"/>
    <mergeCell ref="C21:C22"/>
    <mergeCell ref="B23:B35"/>
    <mergeCell ref="C25:C28"/>
    <mergeCell ref="C29:C30"/>
    <mergeCell ref="C33:C34"/>
    <mergeCell ref="B1:D1"/>
    <mergeCell ref="B3:B12"/>
    <mergeCell ref="C3:C5"/>
    <mergeCell ref="C6:C7"/>
    <mergeCell ref="C9:C10"/>
    <mergeCell ref="B52:B82"/>
    <mergeCell ref="C52:C53"/>
    <mergeCell ref="C54:C59"/>
    <mergeCell ref="C61:C65"/>
    <mergeCell ref="C66:C71"/>
    <mergeCell ref="C72:C73"/>
    <mergeCell ref="C74:C77"/>
    <mergeCell ref="C78:C79"/>
    <mergeCell ref="C81:C82"/>
    <mergeCell ref="B36:B51"/>
    <mergeCell ref="C36:C39"/>
    <mergeCell ref="C41:C44"/>
    <mergeCell ref="C45:C46"/>
    <mergeCell ref="C49:C51"/>
    <mergeCell ref="B83:B113"/>
    <mergeCell ref="C83:C84"/>
    <mergeCell ref="C85:C91"/>
    <mergeCell ref="C93:C96"/>
    <mergeCell ref="C97:C102"/>
    <mergeCell ref="C103:C104"/>
    <mergeCell ref="C105:C108"/>
    <mergeCell ref="C109:C110"/>
    <mergeCell ref="C112:C113"/>
    <mergeCell ref="B114:B122"/>
    <mergeCell ref="B123:B140"/>
    <mergeCell ref="C123:C126"/>
    <mergeCell ref="C127:C129"/>
    <mergeCell ref="C130:C132"/>
    <mergeCell ref="C134:C136"/>
    <mergeCell ref="C137:C138"/>
    <mergeCell ref="B141:B166"/>
    <mergeCell ref="C141:C142"/>
    <mergeCell ref="C143:C145"/>
    <mergeCell ref="C148:C157"/>
    <mergeCell ref="C159:C161"/>
    <mergeCell ref="C162:C163"/>
    <mergeCell ref="C165:C166"/>
    <mergeCell ref="B167:B192"/>
    <mergeCell ref="C168:C169"/>
    <mergeCell ref="C172:C182"/>
    <mergeCell ref="C184:C187"/>
    <mergeCell ref="C188:C189"/>
    <mergeCell ref="C191:C192"/>
    <mergeCell ref="B193:B224"/>
    <mergeCell ref="C193:C194"/>
    <mergeCell ref="C195:C201"/>
    <mergeCell ref="C204:C214"/>
    <mergeCell ref="C216:C219"/>
    <mergeCell ref="C220:C221"/>
    <mergeCell ref="C223:C224"/>
    <mergeCell ref="B225:B250"/>
    <mergeCell ref="C226:C227"/>
    <mergeCell ref="C230:C240"/>
    <mergeCell ref="C242:C245"/>
    <mergeCell ref="C246:C247"/>
    <mergeCell ref="C249:C250"/>
    <mergeCell ref="B251:B282"/>
    <mergeCell ref="C251:C252"/>
    <mergeCell ref="C253:C259"/>
    <mergeCell ref="C262:C272"/>
    <mergeCell ref="C274:C277"/>
    <mergeCell ref="C278:C279"/>
    <mergeCell ref="C281:C282"/>
    <mergeCell ref="B283:B314"/>
    <mergeCell ref="C283:C284"/>
    <mergeCell ref="C285:C291"/>
    <mergeCell ref="C294:C304"/>
    <mergeCell ref="C306:C309"/>
    <mergeCell ref="C310:C311"/>
    <mergeCell ref="C313:C314"/>
  </mergeCells>
  <pageMargins left="0.7" right="0.7" top="0.75" bottom="0.75" header="0.3" footer="0.3"/>
  <pageSetup orientation="portrait" horizontalDpi="300" verticalDpi="0" r:id="rId1"/>
</worksheet>
</file>

<file path=xl/worksheets/sheet7.xml><?xml version="1.0" encoding="utf-8"?>
<worksheet xmlns="http://schemas.openxmlformats.org/spreadsheetml/2006/main" xmlns:r="http://schemas.openxmlformats.org/officeDocument/2006/relationships">
  <sheetPr codeName="Sheet6"/>
  <dimension ref="A1:D1"/>
  <sheetViews>
    <sheetView workbookViewId="0">
      <selection sqref="A1:D315"/>
    </sheetView>
  </sheetViews>
  <sheetFormatPr defaultRowHeight="15"/>
  <cols>
    <col min="1" max="2" width="23.85546875" style="250" bestFit="1" customWidth="1"/>
    <col min="3" max="3" width="20.7109375" style="243" bestFit="1" customWidth="1"/>
    <col min="4" max="4" width="80" style="216" bestFit="1" customWidth="1"/>
    <col min="5" max="16384" width="9.140625" style="250"/>
  </cols>
  <sheetData>
    <row r="1" spans="1:3">
      <c r="A1" s="250" t="s">
        <v>164</v>
      </c>
      <c r="B1" s="250" t="s">
        <v>126</v>
      </c>
      <c r="C1" s="243" t="s">
        <v>132</v>
      </c>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sheetPr codeName="Sheet5"/>
  <dimension ref="A1:D315"/>
  <sheetViews>
    <sheetView workbookViewId="0">
      <selection sqref="A1:D315"/>
    </sheetView>
  </sheetViews>
  <sheetFormatPr defaultRowHeight="15"/>
  <cols>
    <col min="1" max="1" width="31.28515625" style="250" bestFit="1" customWidth="1"/>
    <col min="2" max="2" width="73.42578125" style="250" bestFit="1" customWidth="1"/>
    <col min="3" max="4" width="2.42578125" style="250" bestFit="1" customWidth="1"/>
    <col min="5" max="16384" width="9.140625" style="250"/>
  </cols>
  <sheetData>
    <row r="1" spans="1:4" ht="75" customHeight="1">
      <c r="A1" s="341"/>
      <c r="B1" s="342"/>
      <c r="C1" s="343" t="s">
        <v>8</v>
      </c>
      <c r="D1" s="343" t="s">
        <v>8</v>
      </c>
    </row>
    <row r="2" spans="1:4" ht="90" customHeight="1">
      <c r="A2" s="341"/>
      <c r="B2" s="342"/>
      <c r="C2" s="343" t="s">
        <v>8</v>
      </c>
      <c r="D2" s="343" t="s">
        <v>8</v>
      </c>
    </row>
    <row r="3" spans="1:4" ht="45" customHeight="1">
      <c r="A3" s="341"/>
      <c r="B3" s="342"/>
      <c r="C3" s="343" t="s">
        <v>8</v>
      </c>
      <c r="D3" s="343" t="s">
        <v>8</v>
      </c>
    </row>
    <row r="4" spans="1:4" ht="45" customHeight="1">
      <c r="A4" s="341"/>
      <c r="B4" s="342"/>
      <c r="C4" s="343" t="s">
        <v>8</v>
      </c>
      <c r="D4" s="343" t="s">
        <v>8</v>
      </c>
    </row>
    <row r="5" spans="1:4" ht="60" customHeight="1">
      <c r="A5" s="341"/>
      <c r="B5" s="342"/>
      <c r="C5" s="343" t="s">
        <v>8</v>
      </c>
      <c r="D5" s="343" t="s">
        <v>8</v>
      </c>
    </row>
    <row r="6" spans="1:4" ht="90" customHeight="1">
      <c r="A6" s="341"/>
      <c r="B6" s="342"/>
      <c r="C6" s="343" t="s">
        <v>8</v>
      </c>
      <c r="D6" s="343" t="s">
        <v>8</v>
      </c>
    </row>
    <row r="7" spans="1:4" ht="30" customHeight="1">
      <c r="A7" s="341"/>
      <c r="B7" s="342"/>
      <c r="C7" s="343" t="s">
        <v>8</v>
      </c>
      <c r="D7" s="343" t="s">
        <v>8</v>
      </c>
    </row>
    <row r="8" spans="1:4" ht="30" customHeight="1">
      <c r="A8" s="341"/>
      <c r="B8" s="342"/>
      <c r="C8" s="343" t="s">
        <v>8</v>
      </c>
      <c r="D8" s="343" t="s">
        <v>8</v>
      </c>
    </row>
    <row r="9" spans="1:4" ht="30" customHeight="1">
      <c r="A9" s="341"/>
      <c r="B9" s="342"/>
      <c r="C9" s="343" t="s">
        <v>8</v>
      </c>
      <c r="D9" s="343" t="s">
        <v>8</v>
      </c>
    </row>
    <row r="10" spans="1:4" ht="30" customHeight="1">
      <c r="A10" s="341"/>
      <c r="B10" s="342"/>
      <c r="C10" s="343" t="s">
        <v>8</v>
      </c>
      <c r="D10" s="343" t="s">
        <v>8</v>
      </c>
    </row>
    <row r="11" spans="1:4" ht="30" customHeight="1">
      <c r="A11" s="341"/>
      <c r="B11" s="342"/>
      <c r="C11" s="343" t="s">
        <v>8</v>
      </c>
      <c r="D11" s="343" t="s">
        <v>8</v>
      </c>
    </row>
    <row r="12" spans="1:4" ht="30" customHeight="1">
      <c r="A12" s="341"/>
      <c r="B12" s="342"/>
      <c r="C12" s="343" t="s">
        <v>8</v>
      </c>
      <c r="D12" s="343" t="s">
        <v>8</v>
      </c>
    </row>
    <row r="13" spans="1:4">
      <c r="A13" s="341"/>
      <c r="B13" s="342"/>
      <c r="C13" s="343" t="s">
        <v>8</v>
      </c>
      <c r="D13" s="343" t="s">
        <v>8</v>
      </c>
    </row>
    <row r="14" spans="1:4" ht="30" customHeight="1">
      <c r="A14" s="341"/>
      <c r="B14" s="342"/>
      <c r="C14" s="343" t="s">
        <v>8</v>
      </c>
      <c r="D14" s="343" t="s">
        <v>8</v>
      </c>
    </row>
    <row r="15" spans="1:4" ht="30" customHeight="1">
      <c r="A15" s="341"/>
      <c r="B15" s="342"/>
      <c r="C15" s="343" t="s">
        <v>8</v>
      </c>
      <c r="D15" s="343" t="s">
        <v>8</v>
      </c>
    </row>
    <row r="16" spans="1:4">
      <c r="A16" s="341"/>
      <c r="B16" s="342"/>
      <c r="C16" s="343" t="s">
        <v>8</v>
      </c>
      <c r="D16" s="343" t="s">
        <v>8</v>
      </c>
    </row>
    <row r="17" spans="1:4">
      <c r="A17" s="341"/>
      <c r="B17" s="342"/>
      <c r="C17" s="343" t="s">
        <v>8</v>
      </c>
      <c r="D17" s="343" t="s">
        <v>8</v>
      </c>
    </row>
    <row r="18" spans="1:4">
      <c r="A18" s="341"/>
      <c r="B18" s="342"/>
      <c r="C18" s="343" t="s">
        <v>8</v>
      </c>
      <c r="D18" s="343" t="s">
        <v>8</v>
      </c>
    </row>
    <row r="19" spans="1:4">
      <c r="A19" s="341"/>
      <c r="B19" s="342"/>
      <c r="C19" s="343" t="s">
        <v>8</v>
      </c>
      <c r="D19" s="343" t="s">
        <v>8</v>
      </c>
    </row>
    <row r="20" spans="1:4" ht="30" customHeight="1">
      <c r="A20" s="341"/>
      <c r="B20" s="342"/>
      <c r="C20" s="343" t="s">
        <v>8</v>
      </c>
      <c r="D20" s="343" t="s">
        <v>8</v>
      </c>
    </row>
    <row r="21" spans="1:4" ht="30" customHeight="1">
      <c r="A21" s="341"/>
      <c r="B21" s="342"/>
      <c r="C21" s="343" t="s">
        <v>8</v>
      </c>
      <c r="D21" s="343" t="s">
        <v>8</v>
      </c>
    </row>
    <row r="22" spans="1:4" ht="30" customHeight="1">
      <c r="A22" s="341"/>
      <c r="B22" s="342"/>
      <c r="C22" s="343" t="s">
        <v>8</v>
      </c>
      <c r="D22" s="343" t="s">
        <v>8</v>
      </c>
    </row>
    <row r="23" spans="1:4" ht="30" customHeight="1">
      <c r="A23" s="341"/>
      <c r="B23" s="342"/>
      <c r="C23" s="343" t="s">
        <v>8</v>
      </c>
      <c r="D23" s="343" t="s">
        <v>8</v>
      </c>
    </row>
    <row r="24" spans="1:4">
      <c r="A24" s="341"/>
      <c r="B24" s="342"/>
      <c r="C24" s="343" t="s">
        <v>8</v>
      </c>
      <c r="D24" s="343" t="s">
        <v>8</v>
      </c>
    </row>
    <row r="25" spans="1:4">
      <c r="A25" s="341"/>
      <c r="B25" s="342"/>
      <c r="C25" s="343" t="s">
        <v>8</v>
      </c>
      <c r="D25" s="343" t="s">
        <v>8</v>
      </c>
    </row>
    <row r="26" spans="1:4" ht="30" customHeight="1">
      <c r="A26" s="341"/>
      <c r="B26" s="342"/>
      <c r="C26" s="343" t="s">
        <v>8</v>
      </c>
      <c r="D26" s="343" t="s">
        <v>8</v>
      </c>
    </row>
    <row r="27" spans="1:4" ht="30" customHeight="1">
      <c r="A27" s="341"/>
      <c r="B27" s="342"/>
      <c r="C27" s="343" t="s">
        <v>8</v>
      </c>
      <c r="D27" s="343" t="s">
        <v>8</v>
      </c>
    </row>
    <row r="28" spans="1:4">
      <c r="A28" s="341"/>
      <c r="B28" s="342"/>
      <c r="C28" s="343" t="s">
        <v>8</v>
      </c>
      <c r="D28" s="343" t="s">
        <v>8</v>
      </c>
    </row>
    <row r="29" spans="1:4">
      <c r="A29" s="341"/>
      <c r="B29" s="342"/>
      <c r="C29" s="343" t="s">
        <v>8</v>
      </c>
      <c r="D29" s="343" t="s">
        <v>8</v>
      </c>
    </row>
    <row r="30" spans="1:4" ht="15" customHeight="1">
      <c r="A30" s="341"/>
      <c r="B30" s="342"/>
      <c r="C30" s="343" t="s">
        <v>8</v>
      </c>
      <c r="D30" s="343" t="s">
        <v>8</v>
      </c>
    </row>
    <row r="31" spans="1:4" ht="30" customHeight="1">
      <c r="A31" s="341"/>
      <c r="B31" s="342"/>
      <c r="C31" s="343" t="s">
        <v>8</v>
      </c>
      <c r="D31" s="343" t="s">
        <v>8</v>
      </c>
    </row>
    <row r="32" spans="1:4">
      <c r="A32" s="344"/>
      <c r="B32" s="345"/>
      <c r="C32" s="343" t="s">
        <v>8</v>
      </c>
      <c r="D32" s="343" t="s">
        <v>8</v>
      </c>
    </row>
    <row r="33" spans="1:4">
      <c r="A33" s="303"/>
      <c r="B33" s="236"/>
      <c r="C33" s="343" t="s">
        <v>8</v>
      </c>
      <c r="D33" s="343" t="s">
        <v>8</v>
      </c>
    </row>
    <row r="34" spans="1:4" ht="15" customHeight="1">
      <c r="A34" s="303"/>
      <c r="B34" s="236"/>
      <c r="C34" s="343" t="s">
        <v>8</v>
      </c>
      <c r="D34" s="343" t="s">
        <v>8</v>
      </c>
    </row>
    <row r="35" spans="1:4">
      <c r="A35" s="303"/>
      <c r="B35" s="236"/>
      <c r="C35" s="343" t="s">
        <v>8</v>
      </c>
      <c r="D35" s="343" t="s">
        <v>8</v>
      </c>
    </row>
    <row r="36" spans="1:4" ht="30" customHeight="1">
      <c r="A36" s="303"/>
      <c r="B36" s="236"/>
      <c r="C36" s="343" t="s">
        <v>8</v>
      </c>
      <c r="D36" s="343" t="s">
        <v>8</v>
      </c>
    </row>
    <row r="37" spans="1:4">
      <c r="A37" s="303"/>
      <c r="B37" s="236"/>
      <c r="C37" s="343" t="s">
        <v>8</v>
      </c>
      <c r="D37" s="343" t="s">
        <v>8</v>
      </c>
    </row>
    <row r="38" spans="1:4" ht="15" customHeight="1">
      <c r="A38" s="303"/>
      <c r="B38" s="236"/>
      <c r="C38" s="343" t="s">
        <v>8</v>
      </c>
      <c r="D38" s="343" t="s">
        <v>8</v>
      </c>
    </row>
    <row r="39" spans="1:4" ht="15" customHeight="1">
      <c r="A39" s="303"/>
      <c r="B39" s="236"/>
      <c r="C39" s="343" t="s">
        <v>8</v>
      </c>
      <c r="D39" s="343" t="s">
        <v>8</v>
      </c>
    </row>
    <row r="40" spans="1:4">
      <c r="A40" s="303"/>
      <c r="B40" s="236"/>
      <c r="C40" s="343" t="s">
        <v>8</v>
      </c>
      <c r="D40" s="343" t="s">
        <v>8</v>
      </c>
    </row>
    <row r="41" spans="1:4">
      <c r="A41" s="303"/>
      <c r="B41" s="236"/>
      <c r="C41" s="343" t="s">
        <v>8</v>
      </c>
      <c r="D41" s="343" t="s">
        <v>8</v>
      </c>
    </row>
    <row r="42" spans="1:4">
      <c r="A42" s="303"/>
      <c r="B42" s="236"/>
      <c r="C42" s="343" t="s">
        <v>8</v>
      </c>
      <c r="D42" s="343" t="s">
        <v>8</v>
      </c>
    </row>
    <row r="43" spans="1:4">
      <c r="A43" s="303"/>
      <c r="B43" s="236"/>
      <c r="C43" s="343" t="s">
        <v>8</v>
      </c>
      <c r="D43" s="343" t="s">
        <v>8</v>
      </c>
    </row>
    <row r="44" spans="1:4" ht="30" customHeight="1">
      <c r="A44" s="303"/>
      <c r="B44" s="236"/>
      <c r="C44" s="343" t="s">
        <v>8</v>
      </c>
      <c r="D44" s="343" t="s">
        <v>8</v>
      </c>
    </row>
    <row r="45" spans="1:4" ht="30" customHeight="1">
      <c r="A45" s="303"/>
      <c r="B45" s="236"/>
      <c r="C45" s="343" t="s">
        <v>8</v>
      </c>
      <c r="D45" s="343" t="s">
        <v>8</v>
      </c>
    </row>
    <row r="46" spans="1:4">
      <c r="A46" s="303"/>
      <c r="B46" s="236"/>
      <c r="C46" s="343" t="s">
        <v>8</v>
      </c>
      <c r="D46" s="343" t="s">
        <v>8</v>
      </c>
    </row>
    <row r="47" spans="1:4">
      <c r="A47" s="341"/>
      <c r="B47" s="346"/>
      <c r="C47" s="343" t="s">
        <v>8</v>
      </c>
      <c r="D47" s="343" t="s">
        <v>8</v>
      </c>
    </row>
    <row r="48" spans="1:4">
      <c r="A48" s="341"/>
      <c r="B48" s="346"/>
      <c r="C48" s="343" t="s">
        <v>8</v>
      </c>
      <c r="D48" s="343" t="s">
        <v>8</v>
      </c>
    </row>
    <row r="49" spans="1:4">
      <c r="A49" s="341"/>
      <c r="B49" s="346"/>
      <c r="C49" s="343" t="s">
        <v>8</v>
      </c>
      <c r="D49" s="343" t="s">
        <v>8</v>
      </c>
    </row>
    <row r="50" spans="1:4">
      <c r="A50" s="258"/>
      <c r="B50" s="236"/>
      <c r="C50" s="343" t="s">
        <v>8</v>
      </c>
      <c r="D50" s="343" t="s">
        <v>8</v>
      </c>
    </row>
    <row r="51" spans="1:4">
      <c r="A51" s="258"/>
      <c r="B51" s="236"/>
      <c r="C51" s="343" t="s">
        <v>8</v>
      </c>
      <c r="D51" s="343" t="s">
        <v>8</v>
      </c>
    </row>
    <row r="52" spans="1:4">
      <c r="A52" s="258"/>
      <c r="B52" s="236"/>
      <c r="C52" s="343" t="s">
        <v>8</v>
      </c>
      <c r="D52" s="343" t="s">
        <v>8</v>
      </c>
    </row>
    <row r="53" spans="1:4">
      <c r="A53" s="258"/>
      <c r="B53" s="236"/>
      <c r="C53" s="343" t="s">
        <v>8</v>
      </c>
      <c r="D53" s="343" t="s">
        <v>8</v>
      </c>
    </row>
    <row r="54" spans="1:4">
      <c r="A54" s="258"/>
      <c r="B54" s="236"/>
      <c r="C54" s="343" t="s">
        <v>8</v>
      </c>
      <c r="D54" s="343" t="s">
        <v>8</v>
      </c>
    </row>
    <row r="55" spans="1:4">
      <c r="A55" s="258"/>
      <c r="B55" s="236"/>
      <c r="C55" s="343" t="s">
        <v>8</v>
      </c>
      <c r="D55" s="343" t="s">
        <v>8</v>
      </c>
    </row>
    <row r="56" spans="1:4">
      <c r="A56" s="258"/>
      <c r="B56" s="236"/>
      <c r="C56" s="343" t="s">
        <v>8</v>
      </c>
      <c r="D56" s="343" t="s">
        <v>8</v>
      </c>
    </row>
    <row r="57" spans="1:4">
      <c r="A57" s="258"/>
      <c r="B57" s="236"/>
      <c r="C57" s="343" t="s">
        <v>8</v>
      </c>
      <c r="D57" s="343" t="s">
        <v>8</v>
      </c>
    </row>
    <row r="58" spans="1:4">
      <c r="A58" s="258"/>
      <c r="B58" s="236"/>
      <c r="C58" s="343" t="s">
        <v>8</v>
      </c>
      <c r="D58" s="343" t="s">
        <v>8</v>
      </c>
    </row>
    <row r="59" spans="1:4">
      <c r="A59" s="258"/>
      <c r="B59" s="236"/>
      <c r="C59" s="343" t="s">
        <v>8</v>
      </c>
      <c r="D59" s="343" t="s">
        <v>8</v>
      </c>
    </row>
    <row r="60" spans="1:4">
      <c r="A60" s="258"/>
      <c r="B60" s="236"/>
      <c r="C60" s="343" t="s">
        <v>8</v>
      </c>
      <c r="D60" s="343" t="s">
        <v>8</v>
      </c>
    </row>
    <row r="61" spans="1:4">
      <c r="A61" s="258"/>
      <c r="B61" s="236"/>
      <c r="C61" s="343" t="s">
        <v>8</v>
      </c>
      <c r="D61" s="343" t="s">
        <v>8</v>
      </c>
    </row>
    <row r="62" spans="1:4">
      <c r="A62" s="258"/>
      <c r="B62" s="236"/>
      <c r="C62" s="343" t="s">
        <v>8</v>
      </c>
      <c r="D62" s="343" t="s">
        <v>8</v>
      </c>
    </row>
    <row r="63" spans="1:4">
      <c r="A63" s="258"/>
      <c r="B63" s="236"/>
      <c r="C63" s="343" t="s">
        <v>8</v>
      </c>
      <c r="D63" s="343" t="s">
        <v>8</v>
      </c>
    </row>
    <row r="64" spans="1:4">
      <c r="A64" s="258"/>
      <c r="B64" s="236"/>
      <c r="C64" s="343" t="s">
        <v>8</v>
      </c>
      <c r="D64" s="343" t="s">
        <v>8</v>
      </c>
    </row>
    <row r="65" spans="1:4">
      <c r="A65" s="258"/>
      <c r="B65" s="236"/>
      <c r="C65" s="343" t="s">
        <v>8</v>
      </c>
      <c r="D65" s="343" t="s">
        <v>8</v>
      </c>
    </row>
    <row r="66" spans="1:4">
      <c r="A66" s="258"/>
      <c r="B66" s="236"/>
      <c r="C66" s="343" t="s">
        <v>8</v>
      </c>
      <c r="D66" s="343" t="s">
        <v>8</v>
      </c>
    </row>
    <row r="67" spans="1:4">
      <c r="A67" s="258"/>
      <c r="B67" s="236"/>
      <c r="C67" s="343" t="s">
        <v>8</v>
      </c>
      <c r="D67" s="343" t="s">
        <v>8</v>
      </c>
    </row>
    <row r="68" spans="1:4">
      <c r="A68" s="258"/>
      <c r="B68" s="236"/>
      <c r="C68" s="343" t="s">
        <v>8</v>
      </c>
      <c r="D68" s="343" t="s">
        <v>8</v>
      </c>
    </row>
    <row r="69" spans="1:4">
      <c r="A69" s="258"/>
      <c r="B69" s="236"/>
      <c r="C69" s="343" t="s">
        <v>8</v>
      </c>
      <c r="D69" s="343" t="s">
        <v>8</v>
      </c>
    </row>
    <row r="70" spans="1:4">
      <c r="A70" s="258"/>
      <c r="B70" s="236"/>
      <c r="C70" s="343" t="s">
        <v>8</v>
      </c>
      <c r="D70" s="343" t="s">
        <v>8</v>
      </c>
    </row>
    <row r="71" spans="1:4">
      <c r="A71" s="258"/>
      <c r="B71" s="236"/>
      <c r="C71" s="343" t="s">
        <v>8</v>
      </c>
      <c r="D71" s="343" t="s">
        <v>8</v>
      </c>
    </row>
    <row r="72" spans="1:4">
      <c r="A72" s="258"/>
      <c r="B72" s="236"/>
      <c r="C72" s="343" t="s">
        <v>8</v>
      </c>
      <c r="D72" s="343" t="s">
        <v>8</v>
      </c>
    </row>
    <row r="73" spans="1:4">
      <c r="A73" s="258"/>
      <c r="B73" s="236"/>
      <c r="C73" s="343" t="s">
        <v>8</v>
      </c>
      <c r="D73" s="343" t="s">
        <v>8</v>
      </c>
    </row>
    <row r="74" spans="1:4">
      <c r="A74" s="258"/>
      <c r="B74" s="236"/>
      <c r="C74" s="343" t="s">
        <v>8</v>
      </c>
      <c r="D74" s="343" t="s">
        <v>8</v>
      </c>
    </row>
    <row r="75" spans="1:4">
      <c r="A75" s="258"/>
      <c r="B75" s="236"/>
      <c r="C75" s="343" t="s">
        <v>8</v>
      </c>
      <c r="D75" s="343" t="s">
        <v>8</v>
      </c>
    </row>
    <row r="76" spans="1:4">
      <c r="A76" s="258"/>
      <c r="B76" s="236"/>
      <c r="C76" s="343" t="s">
        <v>8</v>
      </c>
      <c r="D76" s="343" t="s">
        <v>8</v>
      </c>
    </row>
    <row r="77" spans="1:4">
      <c r="A77" s="258"/>
      <c r="B77" s="236"/>
      <c r="C77" s="343" t="s">
        <v>8</v>
      </c>
      <c r="D77" s="343" t="s">
        <v>8</v>
      </c>
    </row>
    <row r="78" spans="1:4" ht="30" customHeight="1">
      <c r="A78" s="258"/>
      <c r="B78" s="236"/>
      <c r="C78" s="343" t="s">
        <v>8</v>
      </c>
      <c r="D78" s="343" t="s">
        <v>8</v>
      </c>
    </row>
    <row r="79" spans="1:4">
      <c r="A79" s="258"/>
      <c r="B79" s="236"/>
      <c r="C79" s="343" t="s">
        <v>8</v>
      </c>
      <c r="D79" s="343" t="s">
        <v>8</v>
      </c>
    </row>
    <row r="80" spans="1:4">
      <c r="A80" s="258"/>
      <c r="B80" s="236"/>
      <c r="C80" s="343" t="s">
        <v>8</v>
      </c>
      <c r="D80" s="343" t="s">
        <v>8</v>
      </c>
    </row>
    <row r="81" spans="1:4">
      <c r="A81" s="258"/>
      <c r="B81" s="236"/>
      <c r="C81" s="343" t="s">
        <v>8</v>
      </c>
      <c r="D81" s="343" t="s">
        <v>8</v>
      </c>
    </row>
    <row r="82" spans="1:4">
      <c r="A82" s="258"/>
      <c r="B82" s="236"/>
      <c r="C82" s="343" t="s">
        <v>8</v>
      </c>
      <c r="D82" s="343" t="s">
        <v>8</v>
      </c>
    </row>
    <row r="83" spans="1:4">
      <c r="A83" s="258"/>
      <c r="B83" s="236"/>
      <c r="C83" s="343" t="s">
        <v>8</v>
      </c>
      <c r="D83" s="343" t="s">
        <v>8</v>
      </c>
    </row>
    <row r="84" spans="1:4">
      <c r="A84" s="258"/>
      <c r="B84" s="236"/>
      <c r="C84" s="343" t="s">
        <v>8</v>
      </c>
      <c r="D84" s="343" t="s">
        <v>8</v>
      </c>
    </row>
    <row r="85" spans="1:4">
      <c r="A85" s="258"/>
      <c r="B85" s="236"/>
      <c r="C85" s="343" t="s">
        <v>8</v>
      </c>
      <c r="D85" s="343" t="s">
        <v>8</v>
      </c>
    </row>
    <row r="86" spans="1:4">
      <c r="A86" s="258"/>
      <c r="B86" s="236"/>
      <c r="C86" s="343" t="s">
        <v>8</v>
      </c>
      <c r="D86" s="343" t="s">
        <v>8</v>
      </c>
    </row>
    <row r="87" spans="1:4">
      <c r="A87" s="258"/>
      <c r="B87" s="236"/>
      <c r="C87" s="343" t="s">
        <v>8</v>
      </c>
      <c r="D87" s="343" t="s">
        <v>8</v>
      </c>
    </row>
    <row r="88" spans="1:4">
      <c r="A88" s="258"/>
      <c r="B88" s="236"/>
      <c r="C88" s="343" t="s">
        <v>8</v>
      </c>
      <c r="D88" s="343" t="s">
        <v>8</v>
      </c>
    </row>
    <row r="89" spans="1:4">
      <c r="A89" s="258"/>
      <c r="B89" s="236"/>
      <c r="C89" s="343" t="s">
        <v>8</v>
      </c>
      <c r="D89" s="343" t="s">
        <v>8</v>
      </c>
    </row>
    <row r="90" spans="1:4">
      <c r="A90" s="258"/>
      <c r="B90" s="236"/>
      <c r="C90" s="343" t="s">
        <v>8</v>
      </c>
      <c r="D90" s="343" t="s">
        <v>8</v>
      </c>
    </row>
    <row r="91" spans="1:4">
      <c r="A91" s="258"/>
      <c r="B91" s="236"/>
      <c r="C91" s="343" t="s">
        <v>8</v>
      </c>
      <c r="D91" s="343" t="s">
        <v>8</v>
      </c>
    </row>
    <row r="92" spans="1:4">
      <c r="A92" s="258"/>
      <c r="B92" s="236"/>
      <c r="C92" s="343" t="s">
        <v>8</v>
      </c>
      <c r="D92" s="343" t="s">
        <v>8</v>
      </c>
    </row>
    <row r="93" spans="1:4">
      <c r="A93" s="258"/>
      <c r="B93" s="236"/>
      <c r="C93" s="343" t="s">
        <v>8</v>
      </c>
      <c r="D93" s="343" t="s">
        <v>8</v>
      </c>
    </row>
    <row r="94" spans="1:4">
      <c r="A94" s="258"/>
      <c r="B94" s="236"/>
      <c r="C94" s="343" t="s">
        <v>8</v>
      </c>
      <c r="D94" s="343" t="s">
        <v>8</v>
      </c>
    </row>
    <row r="95" spans="1:4">
      <c r="A95" s="258"/>
      <c r="B95" s="236"/>
      <c r="C95" s="343" t="s">
        <v>8</v>
      </c>
      <c r="D95" s="343" t="s">
        <v>8</v>
      </c>
    </row>
    <row r="96" spans="1:4" ht="15" customHeight="1">
      <c r="A96" s="258"/>
      <c r="B96" s="236"/>
      <c r="C96" s="343" t="s">
        <v>8</v>
      </c>
      <c r="D96" s="343" t="s">
        <v>8</v>
      </c>
    </row>
    <row r="97" spans="1:4">
      <c r="A97" s="258"/>
      <c r="B97" s="236"/>
      <c r="C97" s="343" t="s">
        <v>8</v>
      </c>
      <c r="D97" s="343" t="s">
        <v>8</v>
      </c>
    </row>
    <row r="98" spans="1:4">
      <c r="A98" s="258"/>
      <c r="B98" s="236"/>
      <c r="C98" s="343" t="s">
        <v>8</v>
      </c>
      <c r="D98" s="343" t="s">
        <v>8</v>
      </c>
    </row>
    <row r="99" spans="1:4">
      <c r="A99" s="258"/>
      <c r="B99" s="236"/>
      <c r="C99" s="343" t="s">
        <v>8</v>
      </c>
      <c r="D99" s="343" t="s">
        <v>8</v>
      </c>
    </row>
    <row r="100" spans="1:4">
      <c r="A100" s="258"/>
      <c r="B100" s="236"/>
      <c r="C100" s="343" t="s">
        <v>8</v>
      </c>
      <c r="D100" s="343" t="s">
        <v>8</v>
      </c>
    </row>
    <row r="101" spans="1:4">
      <c r="A101" s="258"/>
      <c r="B101" s="236"/>
      <c r="C101" s="343" t="s">
        <v>8</v>
      </c>
      <c r="D101" s="343" t="s">
        <v>8</v>
      </c>
    </row>
    <row r="102" spans="1:4" ht="30" customHeight="1">
      <c r="A102" s="258"/>
      <c r="B102" s="236"/>
      <c r="C102" s="343" t="s">
        <v>8</v>
      </c>
      <c r="D102" s="343" t="s">
        <v>8</v>
      </c>
    </row>
    <row r="103" spans="1:4">
      <c r="A103" s="258"/>
      <c r="B103" s="236"/>
      <c r="C103" s="343" t="s">
        <v>8</v>
      </c>
      <c r="D103" s="343" t="s">
        <v>8</v>
      </c>
    </row>
    <row r="104" spans="1:4">
      <c r="A104" s="258"/>
      <c r="B104" s="236"/>
      <c r="C104" s="343" t="s">
        <v>8</v>
      </c>
      <c r="D104" s="343" t="s">
        <v>8</v>
      </c>
    </row>
    <row r="105" spans="1:4">
      <c r="A105" s="258"/>
      <c r="B105" s="236"/>
      <c r="C105" s="343" t="s">
        <v>8</v>
      </c>
      <c r="D105" s="343" t="s">
        <v>8</v>
      </c>
    </row>
    <row r="106" spans="1:4">
      <c r="A106" s="258"/>
      <c r="B106" s="236"/>
      <c r="C106" s="343" t="s">
        <v>8</v>
      </c>
      <c r="D106" s="343" t="s">
        <v>8</v>
      </c>
    </row>
    <row r="107" spans="1:4">
      <c r="A107" s="258"/>
      <c r="B107" s="236"/>
      <c r="C107" s="343" t="s">
        <v>8</v>
      </c>
      <c r="D107" s="343" t="s">
        <v>8</v>
      </c>
    </row>
    <row r="108" spans="1:4">
      <c r="A108" s="303"/>
      <c r="B108" s="236"/>
      <c r="C108" s="347" t="s">
        <v>8</v>
      </c>
      <c r="D108" s="347" t="s">
        <v>8</v>
      </c>
    </row>
    <row r="109" spans="1:4">
      <c r="A109" s="303"/>
      <c r="B109" s="236"/>
      <c r="C109" s="347" t="s">
        <v>8</v>
      </c>
      <c r="D109" s="347" t="s">
        <v>8</v>
      </c>
    </row>
    <row r="110" spans="1:4">
      <c r="A110" s="303"/>
      <c r="B110" s="236"/>
      <c r="C110" s="347" t="s">
        <v>8</v>
      </c>
      <c r="D110" s="347" t="s">
        <v>8</v>
      </c>
    </row>
    <row r="111" spans="1:4">
      <c r="A111" s="303"/>
      <c r="B111" s="236"/>
      <c r="C111" s="347" t="s">
        <v>8</v>
      </c>
      <c r="D111" s="347" t="s">
        <v>8</v>
      </c>
    </row>
    <row r="112" spans="1:4">
      <c r="A112" s="303"/>
      <c r="B112" s="236"/>
      <c r="C112" s="347" t="s">
        <v>8</v>
      </c>
      <c r="D112" s="347" t="s">
        <v>8</v>
      </c>
    </row>
    <row r="113" spans="1:4">
      <c r="A113" s="303"/>
      <c r="B113" s="236"/>
      <c r="C113" s="347" t="s">
        <v>8</v>
      </c>
      <c r="D113" s="347" t="s">
        <v>8</v>
      </c>
    </row>
    <row r="114" spans="1:4">
      <c r="A114" s="303"/>
      <c r="B114" s="236"/>
      <c r="C114" s="347" t="s">
        <v>8</v>
      </c>
      <c r="D114" s="347" t="s">
        <v>8</v>
      </c>
    </row>
    <row r="115" spans="1:4">
      <c r="A115" s="303"/>
      <c r="B115" s="236"/>
      <c r="C115" s="347" t="s">
        <v>8</v>
      </c>
      <c r="D115" s="347" t="s">
        <v>8</v>
      </c>
    </row>
    <row r="116" spans="1:4">
      <c r="A116" s="303"/>
      <c r="B116" s="236"/>
      <c r="C116" s="347" t="s">
        <v>8</v>
      </c>
      <c r="D116" s="347" t="s">
        <v>8</v>
      </c>
    </row>
    <row r="117" spans="1:4">
      <c r="A117" s="303"/>
      <c r="B117" s="236"/>
      <c r="C117" s="347" t="s">
        <v>8</v>
      </c>
      <c r="D117" s="347" t="s">
        <v>8</v>
      </c>
    </row>
    <row r="118" spans="1:4">
      <c r="A118" s="303"/>
      <c r="B118" s="236"/>
      <c r="C118" s="347" t="s">
        <v>8</v>
      </c>
      <c r="D118" s="347" t="s">
        <v>8</v>
      </c>
    </row>
    <row r="119" spans="1:4">
      <c r="A119" s="303"/>
      <c r="B119" s="236"/>
      <c r="C119" s="347" t="s">
        <v>8</v>
      </c>
      <c r="D119" s="347" t="s">
        <v>8</v>
      </c>
    </row>
    <row r="120" spans="1:4">
      <c r="A120" s="303"/>
      <c r="B120" s="236"/>
      <c r="C120" s="347" t="s">
        <v>8</v>
      </c>
      <c r="D120" s="347" t="s">
        <v>8</v>
      </c>
    </row>
    <row r="121" spans="1:4">
      <c r="A121" s="303"/>
      <c r="B121" s="236"/>
      <c r="C121" s="347" t="s">
        <v>8</v>
      </c>
      <c r="D121" s="347" t="s">
        <v>8</v>
      </c>
    </row>
    <row r="122" spans="1:4">
      <c r="A122" s="303"/>
      <c r="B122" s="236"/>
      <c r="C122" s="347" t="s">
        <v>8</v>
      </c>
      <c r="D122" s="347" t="s">
        <v>8</v>
      </c>
    </row>
    <row r="123" spans="1:4">
      <c r="A123" s="303"/>
      <c r="B123" s="236"/>
      <c r="C123" s="347" t="s">
        <v>8</v>
      </c>
      <c r="D123" s="347" t="s">
        <v>8</v>
      </c>
    </row>
    <row r="124" spans="1:4">
      <c r="A124" s="303"/>
      <c r="B124" s="236"/>
      <c r="C124" s="347" t="s">
        <v>8</v>
      </c>
      <c r="D124" s="347" t="s">
        <v>8</v>
      </c>
    </row>
    <row r="125" spans="1:4">
      <c r="A125" s="303"/>
      <c r="B125" s="236"/>
      <c r="C125" s="347" t="s">
        <v>8</v>
      </c>
      <c r="D125" s="347" t="s">
        <v>8</v>
      </c>
    </row>
    <row r="126" spans="1:4">
      <c r="A126" s="303"/>
      <c r="B126" s="236"/>
      <c r="C126" s="347" t="s">
        <v>8</v>
      </c>
      <c r="D126" s="347" t="s">
        <v>8</v>
      </c>
    </row>
    <row r="127" spans="1:4">
      <c r="A127" s="303"/>
      <c r="B127" s="236"/>
      <c r="C127" s="347" t="s">
        <v>8</v>
      </c>
      <c r="D127" s="347" t="s">
        <v>8</v>
      </c>
    </row>
    <row r="128" spans="1:4">
      <c r="A128" s="303"/>
      <c r="B128" s="236"/>
      <c r="C128" s="347" t="s">
        <v>8</v>
      </c>
      <c r="D128" s="347" t="s">
        <v>8</v>
      </c>
    </row>
    <row r="129" spans="1:4">
      <c r="A129" s="303"/>
      <c r="B129" s="236"/>
      <c r="C129" s="347" t="s">
        <v>8</v>
      </c>
      <c r="D129" s="347" t="s">
        <v>8</v>
      </c>
    </row>
    <row r="130" spans="1:4">
      <c r="A130" s="303"/>
      <c r="B130" s="236"/>
      <c r="C130" s="347" t="s">
        <v>8</v>
      </c>
      <c r="D130" s="347" t="s">
        <v>8</v>
      </c>
    </row>
    <row r="131" spans="1:4">
      <c r="A131" s="303"/>
      <c r="B131" s="236"/>
      <c r="C131" s="347" t="s">
        <v>8</v>
      </c>
      <c r="D131" s="347" t="s">
        <v>8</v>
      </c>
    </row>
    <row r="132" spans="1:4">
      <c r="A132" s="303"/>
      <c r="B132" s="236"/>
      <c r="C132" s="347" t="s">
        <v>8</v>
      </c>
      <c r="D132" s="347" t="s">
        <v>8</v>
      </c>
    </row>
    <row r="133" spans="1:4">
      <c r="A133" s="303"/>
      <c r="B133" s="236"/>
      <c r="C133" s="347" t="s">
        <v>8</v>
      </c>
      <c r="D133" s="347" t="s">
        <v>8</v>
      </c>
    </row>
    <row r="134" spans="1:4">
      <c r="A134" s="303"/>
      <c r="B134" s="236"/>
      <c r="C134" s="347" t="s">
        <v>8</v>
      </c>
      <c r="D134" s="347" t="s">
        <v>8</v>
      </c>
    </row>
    <row r="135" spans="1:4">
      <c r="A135" s="303"/>
      <c r="B135" s="236"/>
      <c r="C135" s="347" t="s">
        <v>8</v>
      </c>
      <c r="D135" s="347" t="s">
        <v>8</v>
      </c>
    </row>
    <row r="136" spans="1:4">
      <c r="A136" s="303"/>
      <c r="B136" s="236"/>
      <c r="C136" s="347" t="s">
        <v>8</v>
      </c>
      <c r="D136" s="347" t="s">
        <v>8</v>
      </c>
    </row>
    <row r="137" spans="1:4">
      <c r="A137" s="303"/>
      <c r="B137" s="236"/>
      <c r="C137" s="347" t="s">
        <v>8</v>
      </c>
      <c r="D137" s="347" t="s">
        <v>8</v>
      </c>
    </row>
    <row r="138" spans="1:4">
      <c r="A138" s="348"/>
      <c r="B138" s="349"/>
      <c r="C138" s="350" t="s">
        <v>8</v>
      </c>
      <c r="D138" s="350" t="s">
        <v>8</v>
      </c>
    </row>
    <row r="139" spans="1:4">
      <c r="A139" s="348"/>
      <c r="B139" s="346"/>
      <c r="C139" s="350" t="s">
        <v>8</v>
      </c>
      <c r="D139" s="350" t="s">
        <v>8</v>
      </c>
    </row>
    <row r="140" spans="1:4">
      <c r="A140" s="348"/>
      <c r="B140" s="349"/>
      <c r="C140" s="350" t="s">
        <v>8</v>
      </c>
      <c r="D140" s="350" t="s">
        <v>8</v>
      </c>
    </row>
    <row r="141" spans="1:4">
      <c r="A141" s="348"/>
      <c r="B141" s="346"/>
      <c r="C141" s="350" t="s">
        <v>8</v>
      </c>
      <c r="D141" s="350" t="s">
        <v>8</v>
      </c>
    </row>
    <row r="142" spans="1:4">
      <c r="A142" s="348"/>
      <c r="B142" s="349"/>
      <c r="C142" s="350" t="s">
        <v>8</v>
      </c>
      <c r="D142" s="350" t="s">
        <v>8</v>
      </c>
    </row>
    <row r="143" spans="1:4">
      <c r="A143" s="348"/>
      <c r="B143" s="349"/>
      <c r="C143" s="350" t="s">
        <v>8</v>
      </c>
      <c r="D143" s="350" t="s">
        <v>8</v>
      </c>
    </row>
    <row r="144" spans="1:4">
      <c r="A144" s="348"/>
      <c r="B144" s="346"/>
      <c r="C144" s="350" t="s">
        <v>8</v>
      </c>
      <c r="D144" s="350" t="s">
        <v>8</v>
      </c>
    </row>
    <row r="145" spans="1:4">
      <c r="A145" s="348"/>
      <c r="B145" s="346"/>
      <c r="C145" s="350" t="s">
        <v>8</v>
      </c>
      <c r="D145" s="350" t="s">
        <v>8</v>
      </c>
    </row>
    <row r="146" spans="1:4">
      <c r="A146" s="348"/>
      <c r="B146" s="346"/>
      <c r="C146" s="350" t="s">
        <v>8</v>
      </c>
      <c r="D146" s="350" t="s">
        <v>8</v>
      </c>
    </row>
    <row r="147" spans="1:4">
      <c r="A147" s="348"/>
      <c r="B147" s="346"/>
      <c r="C147" s="350" t="s">
        <v>8</v>
      </c>
      <c r="D147" s="350" t="s">
        <v>8</v>
      </c>
    </row>
    <row r="148" spans="1:4">
      <c r="A148" s="348"/>
      <c r="B148" s="346"/>
      <c r="C148" s="350" t="s">
        <v>8</v>
      </c>
      <c r="D148" s="350" t="s">
        <v>8</v>
      </c>
    </row>
    <row r="149" spans="1:4">
      <c r="A149" s="348"/>
      <c r="B149" s="346"/>
      <c r="C149" s="350" t="s">
        <v>8</v>
      </c>
      <c r="D149" s="350" t="s">
        <v>8</v>
      </c>
    </row>
    <row r="150" spans="1:4">
      <c r="A150" s="348"/>
      <c r="B150" s="346"/>
      <c r="C150" s="350" t="s">
        <v>8</v>
      </c>
      <c r="D150" s="350" t="s">
        <v>8</v>
      </c>
    </row>
    <row r="151" spans="1:4">
      <c r="A151" s="348"/>
      <c r="B151" s="346"/>
      <c r="C151" s="350" t="s">
        <v>8</v>
      </c>
      <c r="D151" s="350" t="s">
        <v>8</v>
      </c>
    </row>
    <row r="152" spans="1:4">
      <c r="A152" s="348"/>
      <c r="B152" s="346"/>
      <c r="C152" s="350" t="s">
        <v>8</v>
      </c>
      <c r="D152" s="350" t="s">
        <v>8</v>
      </c>
    </row>
    <row r="153" spans="1:4">
      <c r="A153" s="348"/>
      <c r="B153" s="346"/>
      <c r="C153" s="350" t="s">
        <v>8</v>
      </c>
      <c r="D153" s="350" t="s">
        <v>8</v>
      </c>
    </row>
    <row r="154" spans="1:4">
      <c r="A154" s="348"/>
      <c r="B154" s="346"/>
      <c r="C154" s="350" t="s">
        <v>8</v>
      </c>
      <c r="D154" s="350" t="s">
        <v>8</v>
      </c>
    </row>
    <row r="155" spans="1:4">
      <c r="A155" s="348"/>
      <c r="B155" s="346"/>
      <c r="C155" s="350" t="s">
        <v>8</v>
      </c>
      <c r="D155" s="350" t="s">
        <v>8</v>
      </c>
    </row>
    <row r="156" spans="1:4">
      <c r="A156" s="348"/>
      <c r="B156" s="346"/>
      <c r="C156" s="350" t="s">
        <v>8</v>
      </c>
      <c r="D156" s="350" t="s">
        <v>8</v>
      </c>
    </row>
    <row r="157" spans="1:4">
      <c r="A157" s="348"/>
      <c r="B157" s="346"/>
      <c r="C157" s="350" t="s">
        <v>8</v>
      </c>
      <c r="D157" s="350" t="s">
        <v>8</v>
      </c>
    </row>
    <row r="158" spans="1:4">
      <c r="A158" s="348"/>
      <c r="B158" s="346"/>
      <c r="C158" s="350" t="s">
        <v>8</v>
      </c>
      <c r="D158" s="350" t="s">
        <v>8</v>
      </c>
    </row>
    <row r="159" spans="1:4">
      <c r="A159" s="348"/>
      <c r="B159" s="346"/>
      <c r="C159" s="350" t="s">
        <v>8</v>
      </c>
      <c r="D159" s="350" t="s">
        <v>8</v>
      </c>
    </row>
    <row r="160" spans="1:4">
      <c r="A160" s="348"/>
      <c r="B160" s="346"/>
      <c r="C160" s="350" t="s">
        <v>8</v>
      </c>
      <c r="D160" s="350" t="s">
        <v>8</v>
      </c>
    </row>
    <row r="161" spans="1:4">
      <c r="A161" s="348"/>
      <c r="B161" s="346"/>
      <c r="C161" s="350" t="s">
        <v>8</v>
      </c>
      <c r="D161" s="350" t="s">
        <v>8</v>
      </c>
    </row>
    <row r="162" spans="1:4">
      <c r="A162" s="348"/>
      <c r="B162" s="346"/>
      <c r="C162" s="350" t="s">
        <v>8</v>
      </c>
      <c r="D162" s="350" t="s">
        <v>8</v>
      </c>
    </row>
    <row r="163" spans="1:4">
      <c r="A163" s="348"/>
      <c r="B163" s="346"/>
      <c r="C163" s="350" t="s">
        <v>8</v>
      </c>
      <c r="D163" s="350" t="s">
        <v>8</v>
      </c>
    </row>
    <row r="164" spans="1:4">
      <c r="A164" s="348"/>
      <c r="B164" s="346"/>
      <c r="C164" s="350" t="s">
        <v>8</v>
      </c>
      <c r="D164" s="350" t="s">
        <v>8</v>
      </c>
    </row>
    <row r="165" spans="1:4">
      <c r="A165" s="348"/>
      <c r="B165" s="346"/>
      <c r="C165" s="350" t="s">
        <v>8</v>
      </c>
      <c r="D165" s="350" t="s">
        <v>8</v>
      </c>
    </row>
    <row r="166" spans="1:4">
      <c r="A166" s="348"/>
      <c r="B166" s="346"/>
      <c r="C166" s="350" t="s">
        <v>8</v>
      </c>
      <c r="D166" s="350" t="s">
        <v>8</v>
      </c>
    </row>
    <row r="167" spans="1:4">
      <c r="A167" s="351"/>
      <c r="B167" s="346"/>
      <c r="C167" s="350" t="s">
        <v>8</v>
      </c>
      <c r="D167" s="350" t="s">
        <v>8</v>
      </c>
    </row>
    <row r="168" spans="1:4">
      <c r="A168" s="351"/>
      <c r="B168" s="346"/>
      <c r="C168" s="350" t="s">
        <v>8</v>
      </c>
      <c r="D168" s="350" t="s">
        <v>8</v>
      </c>
    </row>
    <row r="169" spans="1:4">
      <c r="A169" s="351"/>
      <c r="B169" s="346"/>
      <c r="C169" s="350" t="s">
        <v>8</v>
      </c>
      <c r="D169" s="350" t="s">
        <v>8</v>
      </c>
    </row>
    <row r="170" spans="1:4">
      <c r="A170" s="351"/>
      <c r="B170" s="349"/>
      <c r="C170" s="350" t="s">
        <v>8</v>
      </c>
      <c r="D170" s="350" t="s">
        <v>8</v>
      </c>
    </row>
    <row r="171" spans="1:4">
      <c r="A171" s="351"/>
      <c r="B171" s="346"/>
      <c r="C171" s="350" t="s">
        <v>8</v>
      </c>
      <c r="D171" s="350" t="s">
        <v>8</v>
      </c>
    </row>
    <row r="172" spans="1:4">
      <c r="A172" s="351"/>
      <c r="B172" s="346"/>
      <c r="C172" s="350" t="s">
        <v>8</v>
      </c>
      <c r="D172" s="350" t="s">
        <v>8</v>
      </c>
    </row>
    <row r="173" spans="1:4">
      <c r="A173" s="351"/>
      <c r="B173" s="346"/>
      <c r="C173" s="350" t="s">
        <v>8</v>
      </c>
      <c r="D173" s="350" t="s">
        <v>8</v>
      </c>
    </row>
    <row r="174" spans="1:4">
      <c r="A174" s="348"/>
      <c r="B174" s="346"/>
      <c r="C174" s="350" t="s">
        <v>8</v>
      </c>
      <c r="D174" s="350" t="s">
        <v>8</v>
      </c>
    </row>
    <row r="175" spans="1:4">
      <c r="A175" s="348"/>
      <c r="B175" s="346"/>
      <c r="C175" s="350" t="s">
        <v>8</v>
      </c>
      <c r="D175" s="350" t="s">
        <v>8</v>
      </c>
    </row>
    <row r="176" spans="1:4">
      <c r="A176" s="348"/>
      <c r="B176" s="346"/>
      <c r="C176" s="350" t="s">
        <v>8</v>
      </c>
      <c r="D176" s="350" t="s">
        <v>8</v>
      </c>
    </row>
    <row r="177" spans="1:4">
      <c r="A177" s="348"/>
      <c r="B177" s="346"/>
      <c r="C177" s="350" t="s">
        <v>8</v>
      </c>
      <c r="D177" s="350" t="s">
        <v>8</v>
      </c>
    </row>
    <row r="178" spans="1:4">
      <c r="A178" s="348"/>
      <c r="B178" s="346"/>
      <c r="C178" s="350" t="s">
        <v>8</v>
      </c>
      <c r="D178" s="350" t="s">
        <v>8</v>
      </c>
    </row>
    <row r="179" spans="1:4">
      <c r="A179" s="348"/>
      <c r="B179" s="346"/>
      <c r="C179" s="350" t="s">
        <v>8</v>
      </c>
      <c r="D179" s="350" t="s">
        <v>8</v>
      </c>
    </row>
    <row r="180" spans="1:4">
      <c r="A180" s="348"/>
      <c r="B180" s="346"/>
      <c r="C180" s="350" t="s">
        <v>8</v>
      </c>
      <c r="D180" s="350" t="s">
        <v>8</v>
      </c>
    </row>
    <row r="181" spans="1:4">
      <c r="A181" s="348"/>
      <c r="B181" s="346"/>
      <c r="C181" s="350" t="s">
        <v>8</v>
      </c>
      <c r="D181" s="350" t="s">
        <v>8</v>
      </c>
    </row>
    <row r="182" spans="1:4">
      <c r="A182" s="348"/>
      <c r="B182" s="346"/>
      <c r="C182" s="350" t="s">
        <v>8</v>
      </c>
      <c r="D182" s="350" t="s">
        <v>8</v>
      </c>
    </row>
    <row r="183" spans="1:4">
      <c r="A183" s="348"/>
      <c r="B183" s="346"/>
      <c r="C183" s="350" t="s">
        <v>8</v>
      </c>
      <c r="D183" s="350" t="s">
        <v>8</v>
      </c>
    </row>
    <row r="184" spans="1:4">
      <c r="A184" s="348"/>
      <c r="B184" s="346"/>
      <c r="C184" s="350" t="s">
        <v>8</v>
      </c>
      <c r="D184" s="350" t="s">
        <v>8</v>
      </c>
    </row>
    <row r="185" spans="1:4">
      <c r="A185" s="348"/>
      <c r="B185" s="346"/>
      <c r="C185" s="350" t="s">
        <v>8</v>
      </c>
      <c r="D185" s="350" t="s">
        <v>8</v>
      </c>
    </row>
    <row r="186" spans="1:4">
      <c r="A186" s="303"/>
      <c r="B186" s="236"/>
      <c r="C186" s="350" t="s">
        <v>8</v>
      </c>
      <c r="D186" s="350" t="s">
        <v>8</v>
      </c>
    </row>
    <row r="187" spans="1:4">
      <c r="A187" s="303"/>
      <c r="B187" s="236"/>
      <c r="C187" s="347" t="s">
        <v>8</v>
      </c>
      <c r="D187" s="347" t="s">
        <v>8</v>
      </c>
    </row>
    <row r="188" spans="1:4">
      <c r="A188" s="303"/>
      <c r="B188" s="236"/>
      <c r="C188" s="347" t="s">
        <v>8</v>
      </c>
      <c r="D188" s="347" t="s">
        <v>8</v>
      </c>
    </row>
    <row r="189" spans="1:4">
      <c r="A189" s="303"/>
      <c r="B189" s="236"/>
      <c r="C189" s="347" t="s">
        <v>8</v>
      </c>
      <c r="D189" s="347" t="s">
        <v>8</v>
      </c>
    </row>
    <row r="190" spans="1:4">
      <c r="A190" s="303"/>
      <c r="B190" s="236"/>
      <c r="C190" s="347" t="s">
        <v>8</v>
      </c>
      <c r="D190" s="347" t="s">
        <v>8</v>
      </c>
    </row>
    <row r="191" spans="1:4">
      <c r="A191" s="303"/>
      <c r="B191" s="236"/>
      <c r="C191" s="347" t="s">
        <v>8</v>
      </c>
      <c r="D191" s="347" t="s">
        <v>8</v>
      </c>
    </row>
    <row r="192" spans="1:4">
      <c r="A192" s="303"/>
      <c r="B192" s="236"/>
      <c r="C192" s="347" t="s">
        <v>8</v>
      </c>
      <c r="D192" s="347" t="s">
        <v>8</v>
      </c>
    </row>
    <row r="193" spans="1:4">
      <c r="A193" s="303"/>
      <c r="B193" s="236"/>
      <c r="C193" s="347" t="s">
        <v>8</v>
      </c>
      <c r="D193" s="347" t="s">
        <v>8</v>
      </c>
    </row>
    <row r="194" spans="1:4">
      <c r="A194" s="303"/>
      <c r="B194" s="236"/>
      <c r="C194" s="347" t="s">
        <v>8</v>
      </c>
      <c r="D194" s="347" t="s">
        <v>8</v>
      </c>
    </row>
    <row r="195" spans="1:4">
      <c r="A195" s="303"/>
      <c r="B195" s="236"/>
      <c r="C195" s="347" t="s">
        <v>8</v>
      </c>
      <c r="D195" s="347" t="s">
        <v>8</v>
      </c>
    </row>
    <row r="196" spans="1:4">
      <c r="A196" s="303"/>
      <c r="B196" s="236"/>
      <c r="C196" s="347" t="s">
        <v>8</v>
      </c>
      <c r="D196" s="347" t="s">
        <v>8</v>
      </c>
    </row>
    <row r="197" spans="1:4">
      <c r="A197" s="303"/>
      <c r="B197" s="236"/>
      <c r="C197" s="347" t="s">
        <v>8</v>
      </c>
      <c r="D197" s="347" t="s">
        <v>8</v>
      </c>
    </row>
    <row r="198" spans="1:4">
      <c r="A198" s="303"/>
      <c r="B198" s="236"/>
      <c r="C198" s="347" t="s">
        <v>8</v>
      </c>
      <c r="D198" s="347" t="s">
        <v>8</v>
      </c>
    </row>
    <row r="199" spans="1:4">
      <c r="A199" s="303"/>
      <c r="B199" s="236"/>
      <c r="C199" s="347" t="s">
        <v>8</v>
      </c>
      <c r="D199" s="347" t="s">
        <v>8</v>
      </c>
    </row>
    <row r="200" spans="1:4">
      <c r="A200" s="303"/>
      <c r="B200" s="236"/>
      <c r="C200" s="347" t="s">
        <v>8</v>
      </c>
      <c r="D200" s="347" t="s">
        <v>8</v>
      </c>
    </row>
    <row r="201" spans="1:4">
      <c r="A201" s="303"/>
      <c r="B201" s="236"/>
      <c r="C201" s="347" t="s">
        <v>8</v>
      </c>
      <c r="D201" s="347" t="s">
        <v>8</v>
      </c>
    </row>
    <row r="202" spans="1:4">
      <c r="A202" s="303"/>
      <c r="B202" s="236"/>
      <c r="C202" s="347" t="s">
        <v>8</v>
      </c>
      <c r="D202" s="347" t="s">
        <v>8</v>
      </c>
    </row>
    <row r="203" spans="1:4">
      <c r="A203" s="303"/>
      <c r="B203" s="236"/>
      <c r="C203" s="347" t="s">
        <v>8</v>
      </c>
      <c r="D203" s="347" t="s">
        <v>8</v>
      </c>
    </row>
    <row r="204" spans="1:4">
      <c r="A204" s="303"/>
      <c r="B204" s="236"/>
      <c r="C204" s="347" t="s">
        <v>8</v>
      </c>
      <c r="D204" s="347" t="s">
        <v>8</v>
      </c>
    </row>
    <row r="205" spans="1:4">
      <c r="A205" s="303"/>
      <c r="B205" s="236"/>
      <c r="C205" s="347" t="s">
        <v>8</v>
      </c>
      <c r="D205" s="347" t="s">
        <v>8</v>
      </c>
    </row>
    <row r="206" spans="1:4">
      <c r="A206" s="303"/>
      <c r="B206" s="236"/>
      <c r="C206" s="347" t="s">
        <v>8</v>
      </c>
      <c r="D206" s="347" t="s">
        <v>8</v>
      </c>
    </row>
    <row r="207" spans="1:4">
      <c r="A207" s="303"/>
      <c r="B207" s="236"/>
      <c r="C207" s="347" t="s">
        <v>8</v>
      </c>
      <c r="D207" s="347" t="s">
        <v>8</v>
      </c>
    </row>
    <row r="208" spans="1:4">
      <c r="A208" s="303"/>
      <c r="B208" s="236"/>
      <c r="C208" s="347" t="s">
        <v>8</v>
      </c>
      <c r="D208" s="347" t="s">
        <v>8</v>
      </c>
    </row>
    <row r="209" spans="1:4">
      <c r="A209" s="303"/>
      <c r="B209" s="236"/>
      <c r="C209" s="347" t="s">
        <v>8</v>
      </c>
      <c r="D209" s="347" t="s">
        <v>8</v>
      </c>
    </row>
    <row r="210" spans="1:4">
      <c r="A210" s="303"/>
      <c r="B210" s="236"/>
      <c r="C210" s="347" t="s">
        <v>8</v>
      </c>
      <c r="D210" s="347" t="s">
        <v>8</v>
      </c>
    </row>
    <row r="211" spans="1:4">
      <c r="A211" s="303"/>
      <c r="B211" s="236"/>
      <c r="C211" s="347" t="s">
        <v>8</v>
      </c>
      <c r="D211" s="347" t="s">
        <v>8</v>
      </c>
    </row>
    <row r="212" spans="1:4">
      <c r="A212" s="303"/>
      <c r="B212" s="236"/>
      <c r="C212" s="347" t="s">
        <v>8</v>
      </c>
      <c r="D212" s="347" t="s">
        <v>8</v>
      </c>
    </row>
    <row r="213" spans="1:4">
      <c r="A213" s="303"/>
      <c r="B213" s="236"/>
      <c r="C213" s="347" t="s">
        <v>8</v>
      </c>
      <c r="D213" s="347" t="s">
        <v>8</v>
      </c>
    </row>
    <row r="214" spans="1:4">
      <c r="A214" s="303"/>
      <c r="B214" s="236"/>
      <c r="C214" s="347" t="s">
        <v>8</v>
      </c>
      <c r="D214" s="347" t="s">
        <v>8</v>
      </c>
    </row>
    <row r="215" spans="1:4">
      <c r="A215" s="303"/>
      <c r="B215" s="236"/>
      <c r="C215" s="347" t="s">
        <v>8</v>
      </c>
      <c r="D215" s="347" t="s">
        <v>8</v>
      </c>
    </row>
    <row r="216" spans="1:4">
      <c r="A216" s="303"/>
      <c r="B216" s="236"/>
      <c r="C216" s="347" t="s">
        <v>8</v>
      </c>
      <c r="D216" s="347" t="s">
        <v>8</v>
      </c>
    </row>
    <row r="217" spans="1:4">
      <c r="A217" s="303"/>
      <c r="B217" s="236"/>
      <c r="C217" s="347" t="s">
        <v>8</v>
      </c>
      <c r="D217" s="347" t="s">
        <v>8</v>
      </c>
    </row>
    <row r="218" spans="1:4">
      <c r="A218" s="303"/>
      <c r="B218" s="236"/>
      <c r="C218" s="347" t="s">
        <v>8</v>
      </c>
      <c r="D218" s="347" t="s">
        <v>8</v>
      </c>
    </row>
    <row r="219" spans="1:4">
      <c r="A219" s="303"/>
      <c r="B219" s="236"/>
      <c r="C219" s="347" t="s">
        <v>8</v>
      </c>
      <c r="D219" s="347" t="s">
        <v>8</v>
      </c>
    </row>
    <row r="220" spans="1:4">
      <c r="A220" s="303"/>
      <c r="B220" s="236"/>
      <c r="C220" s="347" t="s">
        <v>8</v>
      </c>
      <c r="D220" s="347" t="s">
        <v>8</v>
      </c>
    </row>
    <row r="221" spans="1:4">
      <c r="A221" s="303"/>
      <c r="B221" s="236"/>
      <c r="C221" s="347" t="s">
        <v>8</v>
      </c>
      <c r="D221" s="347" t="s">
        <v>8</v>
      </c>
    </row>
    <row r="222" spans="1:4">
      <c r="A222" s="303"/>
      <c r="B222" s="236"/>
      <c r="C222" s="347" t="s">
        <v>8</v>
      </c>
      <c r="D222" s="347" t="s">
        <v>8</v>
      </c>
    </row>
    <row r="223" spans="1:4">
      <c r="A223" s="303"/>
      <c r="B223" s="236"/>
      <c r="C223" s="347" t="s">
        <v>8</v>
      </c>
      <c r="D223" s="347" t="s">
        <v>8</v>
      </c>
    </row>
    <row r="224" spans="1:4">
      <c r="A224" s="303"/>
      <c r="B224" s="236"/>
      <c r="C224" s="347" t="s">
        <v>8</v>
      </c>
      <c r="D224" s="347" t="s">
        <v>8</v>
      </c>
    </row>
    <row r="225" spans="1:4">
      <c r="A225" s="303"/>
      <c r="B225" s="236"/>
      <c r="C225" s="347" t="s">
        <v>8</v>
      </c>
      <c r="D225" s="347" t="s">
        <v>8</v>
      </c>
    </row>
    <row r="226" spans="1:4">
      <c r="A226" s="303"/>
      <c r="B226" s="236"/>
      <c r="C226" s="347" t="s">
        <v>8</v>
      </c>
      <c r="D226" s="347" t="s">
        <v>8</v>
      </c>
    </row>
    <row r="227" spans="1:4">
      <c r="A227" s="303"/>
      <c r="B227" s="236"/>
      <c r="C227" s="347" t="s">
        <v>8</v>
      </c>
      <c r="D227" s="347" t="s">
        <v>8</v>
      </c>
    </row>
    <row r="228" spans="1:4">
      <c r="A228" s="303"/>
      <c r="B228" s="236"/>
      <c r="C228" s="347" t="s">
        <v>8</v>
      </c>
      <c r="D228" s="347" t="s">
        <v>8</v>
      </c>
    </row>
    <row r="229" spans="1:4">
      <c r="A229" s="303"/>
      <c r="B229" s="236"/>
      <c r="C229" s="347" t="s">
        <v>8</v>
      </c>
      <c r="D229" s="347" t="s">
        <v>8</v>
      </c>
    </row>
    <row r="230" spans="1:4">
      <c r="A230" s="303"/>
      <c r="B230" s="236"/>
      <c r="C230" s="347" t="s">
        <v>8</v>
      </c>
      <c r="D230" s="347" t="s">
        <v>8</v>
      </c>
    </row>
    <row r="231" spans="1:4">
      <c r="A231" s="303"/>
      <c r="B231" s="236"/>
      <c r="C231" s="347" t="s">
        <v>8</v>
      </c>
      <c r="D231" s="347" t="s">
        <v>8</v>
      </c>
    </row>
    <row r="232" spans="1:4">
      <c r="A232" s="303"/>
      <c r="B232" s="236"/>
      <c r="C232" s="347" t="s">
        <v>8</v>
      </c>
      <c r="D232" s="347" t="s">
        <v>8</v>
      </c>
    </row>
    <row r="233" spans="1:4">
      <c r="A233" s="303"/>
      <c r="B233" s="236"/>
      <c r="C233" s="347" t="s">
        <v>8</v>
      </c>
      <c r="D233" s="347" t="s">
        <v>8</v>
      </c>
    </row>
    <row r="234" spans="1:4">
      <c r="A234" s="303"/>
      <c r="B234" s="236"/>
      <c r="C234" s="347" t="s">
        <v>8</v>
      </c>
      <c r="D234" s="347" t="s">
        <v>8</v>
      </c>
    </row>
    <row r="235" spans="1:4">
      <c r="A235" s="303"/>
      <c r="B235" s="236"/>
      <c r="C235" s="347" t="s">
        <v>8</v>
      </c>
      <c r="D235" s="347" t="s">
        <v>8</v>
      </c>
    </row>
    <row r="236" spans="1:4">
      <c r="A236" s="303"/>
      <c r="B236" s="236"/>
      <c r="C236" s="347" t="s">
        <v>8</v>
      </c>
      <c r="D236" s="347" t="s">
        <v>8</v>
      </c>
    </row>
    <row r="237" spans="1:4">
      <c r="A237" s="303"/>
      <c r="B237" s="236"/>
      <c r="C237" s="347" t="s">
        <v>8</v>
      </c>
      <c r="D237" s="347" t="s">
        <v>8</v>
      </c>
    </row>
    <row r="238" spans="1:4">
      <c r="A238" s="303"/>
      <c r="B238" s="236"/>
      <c r="C238" s="347" t="s">
        <v>8</v>
      </c>
      <c r="D238" s="347" t="s">
        <v>8</v>
      </c>
    </row>
    <row r="239" spans="1:4">
      <c r="A239" s="303"/>
      <c r="B239" s="236"/>
      <c r="C239" s="347" t="s">
        <v>8</v>
      </c>
      <c r="D239" s="347" t="s">
        <v>8</v>
      </c>
    </row>
    <row r="240" spans="1:4">
      <c r="A240" s="303"/>
      <c r="B240" s="236"/>
      <c r="C240" s="347" t="s">
        <v>8</v>
      </c>
      <c r="D240" s="347" t="s">
        <v>8</v>
      </c>
    </row>
    <row r="241" spans="1:4">
      <c r="A241" s="303"/>
      <c r="B241" s="236"/>
      <c r="C241" s="347" t="s">
        <v>8</v>
      </c>
      <c r="D241" s="347" t="s">
        <v>8</v>
      </c>
    </row>
    <row r="242" spans="1:4">
      <c r="A242" s="303"/>
      <c r="B242" s="236"/>
      <c r="C242" s="347" t="s">
        <v>8</v>
      </c>
      <c r="D242" s="347" t="s">
        <v>8</v>
      </c>
    </row>
    <row r="243" spans="1:4">
      <c r="A243" s="303"/>
      <c r="B243" s="236"/>
      <c r="C243" s="347" t="s">
        <v>8</v>
      </c>
      <c r="D243" s="347" t="s">
        <v>8</v>
      </c>
    </row>
    <row r="244" spans="1:4">
      <c r="A244" s="303"/>
      <c r="B244" s="236"/>
      <c r="C244" s="347" t="s">
        <v>8</v>
      </c>
      <c r="D244" s="347" t="s">
        <v>8</v>
      </c>
    </row>
    <row r="245" spans="1:4">
      <c r="A245" s="303"/>
      <c r="B245" s="236"/>
      <c r="C245" s="347" t="s">
        <v>8</v>
      </c>
      <c r="D245" s="347" t="s">
        <v>8</v>
      </c>
    </row>
    <row r="246" spans="1:4">
      <c r="A246" s="303"/>
      <c r="B246" s="236"/>
      <c r="C246" s="347" t="s">
        <v>8</v>
      </c>
      <c r="D246" s="347" t="s">
        <v>8</v>
      </c>
    </row>
    <row r="247" spans="1:4">
      <c r="A247" s="303"/>
      <c r="B247" s="236"/>
      <c r="C247" s="347" t="s">
        <v>8</v>
      </c>
      <c r="D247" s="347" t="s">
        <v>8</v>
      </c>
    </row>
    <row r="248" spans="1:4">
      <c r="A248" s="303"/>
      <c r="B248" s="236"/>
      <c r="C248" s="347" t="s">
        <v>8</v>
      </c>
      <c r="D248" s="347" t="s">
        <v>8</v>
      </c>
    </row>
    <row r="249" spans="1:4">
      <c r="A249" s="303"/>
      <c r="B249" s="236"/>
      <c r="C249" s="347" t="s">
        <v>8</v>
      </c>
      <c r="D249" s="347" t="s">
        <v>8</v>
      </c>
    </row>
    <row r="250" spans="1:4">
      <c r="A250" s="303"/>
      <c r="B250" s="236"/>
      <c r="C250" s="347" t="s">
        <v>8</v>
      </c>
      <c r="D250" s="347" t="s">
        <v>8</v>
      </c>
    </row>
    <row r="251" spans="1:4">
      <c r="A251" s="303"/>
      <c r="B251" s="236"/>
      <c r="C251" s="347" t="s">
        <v>8</v>
      </c>
      <c r="D251" s="347" t="s">
        <v>8</v>
      </c>
    </row>
    <row r="252" spans="1:4">
      <c r="A252" s="303"/>
      <c r="B252" s="236"/>
      <c r="C252" s="347" t="s">
        <v>8</v>
      </c>
      <c r="D252" s="347" t="s">
        <v>8</v>
      </c>
    </row>
    <row r="253" spans="1:4">
      <c r="A253" s="303"/>
      <c r="B253" s="236"/>
      <c r="C253" s="347" t="s">
        <v>8</v>
      </c>
      <c r="D253" s="347" t="s">
        <v>8</v>
      </c>
    </row>
    <row r="254" spans="1:4">
      <c r="A254" s="303"/>
      <c r="B254" s="236"/>
      <c r="C254" s="347" t="s">
        <v>8</v>
      </c>
      <c r="D254" s="347" t="s">
        <v>8</v>
      </c>
    </row>
    <row r="255" spans="1:4">
      <c r="A255" s="303"/>
      <c r="B255" s="236"/>
      <c r="C255" s="347" t="s">
        <v>8</v>
      </c>
      <c r="D255" s="347" t="s">
        <v>8</v>
      </c>
    </row>
    <row r="256" spans="1:4">
      <c r="A256" s="303"/>
      <c r="B256" s="236"/>
      <c r="C256" s="347" t="s">
        <v>8</v>
      </c>
      <c r="D256" s="347" t="s">
        <v>8</v>
      </c>
    </row>
    <row r="257" spans="1:4">
      <c r="A257" s="303"/>
      <c r="B257" s="236"/>
      <c r="C257" s="347" t="s">
        <v>8</v>
      </c>
      <c r="D257" s="347" t="s">
        <v>8</v>
      </c>
    </row>
    <row r="258" spans="1:4">
      <c r="A258" s="303"/>
      <c r="B258" s="236"/>
      <c r="C258" s="347" t="s">
        <v>8</v>
      </c>
      <c r="D258" s="347" t="s">
        <v>8</v>
      </c>
    </row>
    <row r="259" spans="1:4">
      <c r="A259" s="303"/>
      <c r="B259" s="236"/>
      <c r="C259" s="347" t="s">
        <v>8</v>
      </c>
      <c r="D259" s="347" t="s">
        <v>8</v>
      </c>
    </row>
    <row r="260" spans="1:4">
      <c r="A260" s="303"/>
      <c r="B260" s="236"/>
      <c r="C260" s="347" t="s">
        <v>8</v>
      </c>
      <c r="D260" s="347" t="s">
        <v>8</v>
      </c>
    </row>
    <row r="261" spans="1:4">
      <c r="A261" s="303"/>
      <c r="B261" s="236"/>
      <c r="C261" s="347" t="s">
        <v>8</v>
      </c>
      <c r="D261" s="347" t="s">
        <v>8</v>
      </c>
    </row>
    <row r="262" spans="1:4">
      <c r="A262" s="303"/>
      <c r="B262" s="236"/>
      <c r="C262" s="347" t="s">
        <v>8</v>
      </c>
      <c r="D262" s="347" t="s">
        <v>8</v>
      </c>
    </row>
    <row r="263" spans="1:4">
      <c r="A263" s="303"/>
      <c r="B263" s="236"/>
      <c r="C263" s="347" t="s">
        <v>8</v>
      </c>
      <c r="D263" s="347" t="s">
        <v>8</v>
      </c>
    </row>
    <row r="264" spans="1:4">
      <c r="A264" s="303"/>
      <c r="B264" s="236"/>
      <c r="C264" s="347" t="s">
        <v>8</v>
      </c>
      <c r="D264" s="347" t="s">
        <v>8</v>
      </c>
    </row>
    <row r="265" spans="1:4">
      <c r="A265" s="303"/>
      <c r="B265" s="236"/>
      <c r="C265" s="347" t="s">
        <v>8</v>
      </c>
      <c r="D265" s="347" t="s">
        <v>8</v>
      </c>
    </row>
    <row r="266" spans="1:4">
      <c r="A266" s="303"/>
      <c r="B266" s="236"/>
      <c r="C266" s="347" t="s">
        <v>8</v>
      </c>
      <c r="D266" s="347" t="s">
        <v>8</v>
      </c>
    </row>
    <row r="267" spans="1:4">
      <c r="A267" s="303"/>
      <c r="B267" s="236"/>
      <c r="C267" s="347" t="s">
        <v>8</v>
      </c>
      <c r="D267" s="347" t="s">
        <v>8</v>
      </c>
    </row>
    <row r="268" spans="1:4">
      <c r="A268" s="303"/>
      <c r="B268" s="236"/>
      <c r="C268" s="347" t="s">
        <v>8</v>
      </c>
      <c r="D268" s="347" t="s">
        <v>8</v>
      </c>
    </row>
    <row r="269" spans="1:4">
      <c r="A269" s="303"/>
      <c r="B269" s="236"/>
      <c r="C269" s="347" t="s">
        <v>8</v>
      </c>
      <c r="D269" s="347" t="s">
        <v>8</v>
      </c>
    </row>
    <row r="270" spans="1:4">
      <c r="A270" s="303"/>
      <c r="B270" s="236"/>
      <c r="C270" s="347" t="s">
        <v>8</v>
      </c>
      <c r="D270" s="347" t="s">
        <v>8</v>
      </c>
    </row>
    <row r="271" spans="1:4">
      <c r="A271" s="303"/>
      <c r="B271" s="236"/>
      <c r="C271" s="347" t="s">
        <v>8</v>
      </c>
      <c r="D271" s="347" t="s">
        <v>8</v>
      </c>
    </row>
    <row r="272" spans="1:4">
      <c r="A272" s="303"/>
      <c r="B272" s="236"/>
      <c r="C272" s="347" t="s">
        <v>8</v>
      </c>
      <c r="D272" s="347" t="s">
        <v>8</v>
      </c>
    </row>
    <row r="273" spans="1:4">
      <c r="A273" s="303"/>
      <c r="B273" s="236"/>
      <c r="C273" s="347" t="s">
        <v>8</v>
      </c>
      <c r="D273" s="347" t="s">
        <v>8</v>
      </c>
    </row>
    <row r="274" spans="1:4">
      <c r="A274" s="303"/>
      <c r="B274" s="236"/>
      <c r="C274" s="347" t="s">
        <v>8</v>
      </c>
      <c r="D274" s="347" t="s">
        <v>8</v>
      </c>
    </row>
    <row r="275" spans="1:4">
      <c r="A275" s="303"/>
      <c r="B275" s="236"/>
      <c r="C275" s="347" t="s">
        <v>8</v>
      </c>
      <c r="D275" s="347" t="s">
        <v>8</v>
      </c>
    </row>
    <row r="276" spans="1:4">
      <c r="A276" s="303"/>
      <c r="B276" s="236"/>
      <c r="C276" s="347" t="s">
        <v>8</v>
      </c>
      <c r="D276" s="347" t="s">
        <v>8</v>
      </c>
    </row>
    <row r="277" spans="1:4">
      <c r="A277" s="303"/>
      <c r="B277" s="236"/>
      <c r="C277" s="347" t="s">
        <v>8</v>
      </c>
      <c r="D277" s="347" t="s">
        <v>8</v>
      </c>
    </row>
    <row r="278" spans="1:4">
      <c r="A278" s="303"/>
      <c r="B278" s="236"/>
      <c r="C278" s="347" t="s">
        <v>8</v>
      </c>
      <c r="D278" s="347" t="s">
        <v>8</v>
      </c>
    </row>
    <row r="279" spans="1:4">
      <c r="A279" s="303"/>
      <c r="B279" s="236"/>
      <c r="C279" s="347" t="s">
        <v>8</v>
      </c>
      <c r="D279" s="347" t="s">
        <v>8</v>
      </c>
    </row>
    <row r="280" spans="1:4">
      <c r="A280" s="303"/>
      <c r="B280" s="236"/>
      <c r="C280" s="347" t="s">
        <v>8</v>
      </c>
      <c r="D280" s="347" t="s">
        <v>8</v>
      </c>
    </row>
    <row r="281" spans="1:4">
      <c r="A281" s="303"/>
      <c r="B281" s="236"/>
      <c r="C281" s="347" t="s">
        <v>8</v>
      </c>
      <c r="D281" s="347" t="s">
        <v>8</v>
      </c>
    </row>
    <row r="282" spans="1:4">
      <c r="A282" s="303"/>
      <c r="B282" s="236"/>
      <c r="C282" s="347" t="s">
        <v>8</v>
      </c>
      <c r="D282" s="347" t="s">
        <v>8</v>
      </c>
    </row>
    <row r="283" spans="1:4">
      <c r="A283" s="303"/>
      <c r="B283" s="236"/>
      <c r="C283" s="347" t="s">
        <v>8</v>
      </c>
      <c r="D283" s="347" t="s">
        <v>8</v>
      </c>
    </row>
    <row r="284" spans="1:4">
      <c r="A284" s="303"/>
      <c r="B284" s="236"/>
      <c r="C284" s="347" t="s">
        <v>8</v>
      </c>
      <c r="D284" s="347" t="s">
        <v>8</v>
      </c>
    </row>
    <row r="285" spans="1:4">
      <c r="A285" s="303"/>
      <c r="B285" s="236"/>
      <c r="C285" s="347" t="s">
        <v>8</v>
      </c>
      <c r="D285" s="347" t="s">
        <v>8</v>
      </c>
    </row>
    <row r="286" spans="1:4">
      <c r="A286" s="303"/>
      <c r="B286" s="236"/>
      <c r="C286" s="347" t="s">
        <v>8</v>
      </c>
      <c r="D286" s="347" t="s">
        <v>8</v>
      </c>
    </row>
    <row r="287" spans="1:4">
      <c r="A287" s="303"/>
      <c r="B287" s="236"/>
      <c r="C287" s="347" t="s">
        <v>8</v>
      </c>
      <c r="D287" s="347" t="s">
        <v>8</v>
      </c>
    </row>
    <row r="288" spans="1:4">
      <c r="A288" s="303"/>
      <c r="B288" s="236"/>
      <c r="C288" s="347" t="s">
        <v>8</v>
      </c>
      <c r="D288" s="347" t="s">
        <v>8</v>
      </c>
    </row>
    <row r="289" spans="1:4">
      <c r="A289" s="303"/>
      <c r="B289" s="236"/>
      <c r="C289" s="347" t="s">
        <v>8</v>
      </c>
      <c r="D289" s="347" t="s">
        <v>8</v>
      </c>
    </row>
    <row r="290" spans="1:4">
      <c r="A290" s="303"/>
      <c r="B290" s="236"/>
      <c r="C290" s="347" t="s">
        <v>8</v>
      </c>
      <c r="D290" s="347" t="s">
        <v>8</v>
      </c>
    </row>
    <row r="291" spans="1:4">
      <c r="A291" s="303"/>
      <c r="B291" s="236"/>
      <c r="C291" s="347" t="s">
        <v>8</v>
      </c>
      <c r="D291" s="347" t="s">
        <v>8</v>
      </c>
    </row>
    <row r="292" spans="1:4">
      <c r="A292" s="303"/>
      <c r="B292" s="236"/>
      <c r="C292" s="347" t="s">
        <v>8</v>
      </c>
      <c r="D292" s="347" t="s">
        <v>8</v>
      </c>
    </row>
    <row r="293" spans="1:4">
      <c r="A293" s="303"/>
      <c r="B293" s="236"/>
      <c r="C293" s="347" t="s">
        <v>8</v>
      </c>
      <c r="D293" s="347" t="s">
        <v>8</v>
      </c>
    </row>
    <row r="294" spans="1:4">
      <c r="A294" s="303"/>
      <c r="B294" s="236"/>
      <c r="C294" s="347" t="s">
        <v>8</v>
      </c>
      <c r="D294" s="347" t="s">
        <v>8</v>
      </c>
    </row>
    <row r="295" spans="1:4">
      <c r="A295" s="303"/>
      <c r="B295" s="236"/>
      <c r="C295" s="347" t="s">
        <v>8</v>
      </c>
      <c r="D295" s="347" t="s">
        <v>8</v>
      </c>
    </row>
    <row r="296" spans="1:4">
      <c r="A296" s="303"/>
      <c r="B296" s="236"/>
      <c r="C296" s="347" t="s">
        <v>8</v>
      </c>
      <c r="D296" s="347" t="s">
        <v>8</v>
      </c>
    </row>
    <row r="297" spans="1:4">
      <c r="A297" s="303"/>
      <c r="B297" s="236"/>
      <c r="C297" s="347" t="s">
        <v>8</v>
      </c>
      <c r="D297" s="347" t="s">
        <v>8</v>
      </c>
    </row>
    <row r="298" spans="1:4">
      <c r="A298" s="303"/>
      <c r="B298" s="236"/>
      <c r="C298" s="347" t="s">
        <v>8</v>
      </c>
      <c r="D298" s="347" t="s">
        <v>8</v>
      </c>
    </row>
    <row r="299" spans="1:4">
      <c r="A299" s="303"/>
      <c r="B299" s="236"/>
      <c r="C299" s="347" t="s">
        <v>8</v>
      </c>
      <c r="D299" s="347" t="s">
        <v>8</v>
      </c>
    </row>
    <row r="300" spans="1:4">
      <c r="A300" s="303"/>
      <c r="B300" s="236"/>
      <c r="C300" s="347" t="s">
        <v>8</v>
      </c>
      <c r="D300" s="347" t="s">
        <v>8</v>
      </c>
    </row>
    <row r="301" spans="1:4">
      <c r="A301" s="303"/>
      <c r="B301" s="236"/>
      <c r="C301" s="347" t="s">
        <v>8</v>
      </c>
      <c r="D301" s="347" t="s">
        <v>8</v>
      </c>
    </row>
    <row r="302" spans="1:4">
      <c r="A302" s="303"/>
      <c r="B302" s="236"/>
      <c r="C302" s="347" t="s">
        <v>8</v>
      </c>
      <c r="D302" s="347" t="s">
        <v>8</v>
      </c>
    </row>
    <row r="303" spans="1:4">
      <c r="A303" s="303"/>
      <c r="B303" s="236"/>
      <c r="C303" s="347" t="s">
        <v>8</v>
      </c>
      <c r="D303" s="347" t="s">
        <v>8</v>
      </c>
    </row>
    <row r="304" spans="1:4">
      <c r="A304" s="303"/>
      <c r="B304" s="236"/>
      <c r="C304" s="347" t="s">
        <v>8</v>
      </c>
      <c r="D304" s="347" t="s">
        <v>8</v>
      </c>
    </row>
    <row r="305" spans="1:4">
      <c r="A305" s="303"/>
      <c r="B305" s="236"/>
      <c r="C305" s="347" t="s">
        <v>8</v>
      </c>
      <c r="D305" s="347" t="s">
        <v>8</v>
      </c>
    </row>
    <row r="306" spans="1:4">
      <c r="A306" s="303"/>
      <c r="B306" s="236"/>
      <c r="C306" s="347" t="s">
        <v>8</v>
      </c>
      <c r="D306" s="347" t="s">
        <v>8</v>
      </c>
    </row>
    <row r="307" spans="1:4">
      <c r="A307" s="303"/>
      <c r="B307" s="236"/>
      <c r="C307" s="347" t="s">
        <v>8</v>
      </c>
      <c r="D307" s="347" t="s">
        <v>8</v>
      </c>
    </row>
    <row r="308" spans="1:4">
      <c r="A308" s="303"/>
      <c r="B308" s="236"/>
      <c r="C308" s="347" t="s">
        <v>8</v>
      </c>
      <c r="D308" s="347" t="s">
        <v>8</v>
      </c>
    </row>
    <row r="309" spans="1:4">
      <c r="A309" s="303"/>
      <c r="B309" s="236"/>
      <c r="C309" s="347" t="s">
        <v>8</v>
      </c>
      <c r="D309" s="347" t="s">
        <v>8</v>
      </c>
    </row>
    <row r="310" spans="1:4">
      <c r="A310" s="303"/>
      <c r="B310" s="236"/>
      <c r="C310" s="347" t="s">
        <v>8</v>
      </c>
      <c r="D310" s="347" t="s">
        <v>8</v>
      </c>
    </row>
    <row r="311" spans="1:4">
      <c r="A311" s="303"/>
      <c r="B311" s="236"/>
      <c r="C311" s="347" t="s">
        <v>8</v>
      </c>
      <c r="D311" s="347" t="s">
        <v>8</v>
      </c>
    </row>
    <row r="312" spans="1:4">
      <c r="A312" s="303"/>
      <c r="B312" s="236"/>
      <c r="C312" s="347" t="s">
        <v>8</v>
      </c>
      <c r="D312" s="347" t="s">
        <v>8</v>
      </c>
    </row>
    <row r="313" spans="1:4">
      <c r="A313" s="303"/>
      <c r="B313" s="236"/>
      <c r="C313" s="347" t="s">
        <v>8</v>
      </c>
      <c r="D313" s="347" t="s">
        <v>8</v>
      </c>
    </row>
    <row r="314" spans="1:4">
      <c r="A314" s="303"/>
      <c r="B314" s="236"/>
      <c r="C314" s="347" t="s">
        <v>8</v>
      </c>
      <c r="D314" s="347" t="s">
        <v>8</v>
      </c>
    </row>
    <row r="315" spans="1:4">
      <c r="A315" s="303"/>
      <c r="B315" s="236"/>
      <c r="C315" s="347" t="s">
        <v>8</v>
      </c>
      <c r="D315" s="347" t="s">
        <v>8</v>
      </c>
    </row>
  </sheetData>
  <protectedRanges>
    <protectedRange password="EDE0" sqref="C257:D262 D263 C264:D264 C239:D243 A246:D256 D244 C245:D245 C221:D226 A229:D238 D227 C228:D228 C204:D207 A210:D220 D208 C209:D209 C189:D194 A197:D203 D195 C196:D196 C171:D175 A178:D188 D176 C177:D177 C153:D158 A161:D170 D159 C160:D160 A142:D152 D140 C141:D141 C292:D295 D296 C297:D297 A298:D315 C120:D125 A128:D136 D126 C127:D127 C102:D106 A109:D119 D107 C108:D108 C84:D89 A92:D101 D90 C91:D91 C67:D70 A73:D83 D71 C72:D72 C52:D57 A60:D66 D58 C59:D59 C34:D38 A41:D51 D39 C40:D40 C16:D21 A24:D33 D22 C23:D23 C1:D2 A5:D15 D3 C4:D4 C137:D139 A265:D291" name="KRA_3" securityDescriptor="O:WDG:WDD:(A;;CC;;;WD)"/>
    <protectedRange password="EDE0" sqref="A264:B264 A245:B245 A228:B228 A209:B209 A196:B196 A177:B177 A160:B160 A141:B141 A297:B297 A127:B127 A108:B108 A91:B91 A72:B72 A59:B59 A40:B40 A23:B23 A4:B4" name="KRA_1_1" securityDescriptor="O:WDG:WDD:(A;;CC;;;WD)"/>
    <protectedRange password="EDE0" sqref="A257:B263 A239:B244 A221:B227 A204:B208 A189:B195 A171:B176 A153:B159 A292:B296 A120:B126 A102:B107 A84:B90 A67:B71 A52:B58 A34:B39 A16:B22 A1:B3 A137:B140" name="KRA_2_1" securityDescriptor="O:WDG:WDD:(A;;CC;;;WD)"/>
  </protectedRanges>
  <dataConsolidate/>
  <dataValidations count="1">
    <dataValidation type="list" allowBlank="1" showInputMessage="1" showErrorMessage="1" sqref="C1:D315">
      <formula1>$BP$1:$BT$1</formula1>
    </dataValidation>
  </dataValidations>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1A2086675A8694C9A4B9CEBFA9EF96F" ma:contentTypeVersion="0" ma:contentTypeDescription="Create a new document." ma:contentTypeScope="" ma:versionID="5795b4bc51223b0f04d32dbe43083410">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E03E985-3158-4D0F-B30A-D37E58F1AC59}">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7DC7616-5125-4139-AD96-AD4423D4F4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C339969E-A253-4C14-9E0D-3FC07E125B8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PACE Form</vt:lpstr>
      <vt:lpstr>Rating Remarks</vt:lpstr>
      <vt:lpstr>KRA</vt:lpstr>
      <vt:lpstr>Employee Project Details</vt:lpstr>
      <vt:lpstr>Analytics</vt:lpstr>
    </vt:vector>
  </TitlesOfParts>
  <Company>yash</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PACE FORM - 2013</dc:title>
  <cp:lastModifiedBy>praveen.dhulipalla</cp:lastModifiedBy>
  <cp:lastPrinted>2011-09-29T05:09:26Z</cp:lastPrinted>
  <dcterms:created xsi:type="dcterms:W3CDTF">2010-12-01T13:25:03Z</dcterms:created>
  <dcterms:modified xsi:type="dcterms:W3CDTF">2013-02-05T11:54:16Z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0x010100C1A2086675A8694C9A4B9CEBFA9EF96F</vt:lpwstr>
  </property>
</Properties>
</file>